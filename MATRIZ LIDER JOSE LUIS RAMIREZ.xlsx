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1. NEGOCIOS\2. OPERACION DRAGON\2. GESTIÓN DOCUMENTAL\1. GRUPO 1\MATRICES\"/>
    </mc:Choice>
  </mc:AlternateContent>
  <xr:revisionPtr revIDLastSave="0" documentId="13_ncr:1_{91F4E66C-ABE1-4384-97E2-43294C5C72AB}" xr6:coauthVersionLast="47" xr6:coauthVersionMax="47" xr10:uidLastSave="{00000000-0000-0000-0000-000000000000}"/>
  <bookViews>
    <workbookView xWindow="-120" yWindow="-120" windowWidth="29040" windowHeight="15720" xr2:uid="{48824FEC-42D6-4632-9118-8ADC756F6732}"/>
  </bookViews>
  <sheets>
    <sheet name="DATOS GENERALES" sheetId="1" r:id="rId1"/>
    <sheet name="MATRIZ LISTADO" sheetId="3" r:id="rId2"/>
    <sheet name="RESUMEN INDIVIDUAL" sheetId="4" r:id="rId3"/>
    <sheet name="CONVERTIDOR" sheetId="2" r:id="rId4"/>
  </sheets>
  <definedNames>
    <definedName name="_xlnm._FilterDatabase" localSheetId="0" hidden="1">'DATOS GENERALES'!$A$1:$T$168</definedName>
    <definedName name="_xlnm._FilterDatabase" localSheetId="1" hidden="1">'MATRIZ LISTADO'!$A$19:$DB$19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3" l="1"/>
  <c r="E21" i="3" l="1"/>
  <c r="G21" i="3"/>
  <c r="I21" i="3"/>
  <c r="E22" i="3"/>
  <c r="G22" i="3"/>
  <c r="I22" i="3"/>
  <c r="E23" i="3"/>
  <c r="E24" i="3"/>
  <c r="G24" i="3"/>
  <c r="I24" i="3"/>
  <c r="E25" i="3"/>
  <c r="G25" i="3"/>
  <c r="I25" i="3"/>
  <c r="E26" i="3"/>
  <c r="G26" i="3"/>
  <c r="I26" i="3"/>
  <c r="E27" i="3"/>
  <c r="G27" i="3"/>
  <c r="I27" i="3"/>
  <c r="E28" i="3"/>
  <c r="G28" i="3"/>
  <c r="I28" i="3"/>
  <c r="E29" i="3"/>
  <c r="G29" i="3"/>
  <c r="I29" i="3"/>
  <c r="E30" i="3"/>
  <c r="E31" i="3"/>
  <c r="G31" i="3"/>
  <c r="E32" i="3"/>
  <c r="G32" i="3"/>
  <c r="K32" i="3"/>
  <c r="E33" i="3"/>
  <c r="G33" i="3"/>
  <c r="E34" i="3"/>
  <c r="G34" i="3"/>
  <c r="I34" i="3"/>
  <c r="E35" i="3"/>
  <c r="G35" i="3"/>
  <c r="E36" i="3"/>
  <c r="G36" i="3"/>
  <c r="I36" i="3"/>
  <c r="K36" i="3"/>
  <c r="E37" i="3"/>
  <c r="G37" i="3"/>
  <c r="I37" i="3"/>
  <c r="K37" i="3"/>
  <c r="E38" i="3"/>
  <c r="E39" i="3"/>
  <c r="E40" i="3"/>
  <c r="G40" i="3"/>
  <c r="I40" i="3"/>
  <c r="K40" i="3"/>
  <c r="E41" i="3"/>
  <c r="G41" i="3"/>
  <c r="I41" i="3"/>
  <c r="E42" i="3"/>
  <c r="G42" i="3"/>
  <c r="I42" i="3"/>
  <c r="K42" i="3"/>
  <c r="E43" i="3"/>
  <c r="G43" i="3"/>
  <c r="I43" i="3"/>
  <c r="E44" i="3"/>
  <c r="G44" i="3"/>
  <c r="I44" i="3"/>
  <c r="E45" i="3"/>
  <c r="G45" i="3"/>
  <c r="E46" i="3"/>
  <c r="G46" i="3"/>
  <c r="E47" i="3"/>
  <c r="G47" i="3"/>
  <c r="I47" i="3"/>
  <c r="E48" i="3"/>
  <c r="G48" i="3"/>
  <c r="E49" i="3"/>
  <c r="G49" i="3"/>
  <c r="I49" i="3"/>
  <c r="E50" i="3"/>
  <c r="G50" i="3"/>
  <c r="I50" i="3"/>
  <c r="E51" i="3"/>
  <c r="G51" i="3"/>
  <c r="I51" i="3"/>
  <c r="E52" i="3"/>
  <c r="G53" i="3"/>
  <c r="E54" i="3"/>
  <c r="E55" i="3"/>
  <c r="G55" i="3"/>
  <c r="I55" i="3"/>
  <c r="E56" i="3"/>
  <c r="E57" i="3"/>
  <c r="G57" i="3"/>
  <c r="E58" i="3"/>
  <c r="G58" i="3"/>
  <c r="I58" i="3"/>
  <c r="O57" i="3"/>
  <c r="O58" i="3"/>
  <c r="F7" i="4"/>
  <c r="O56" i="3"/>
  <c r="O55" i="3"/>
  <c r="O54" i="3"/>
  <c r="O53" i="3"/>
  <c r="O52" i="3"/>
  <c r="O51" i="3"/>
  <c r="O48" i="3"/>
  <c r="O32" i="3"/>
  <c r="O47" i="3"/>
  <c r="O33" i="3"/>
  <c r="E20" i="3"/>
  <c r="G20" i="3"/>
  <c r="R58" i="3" l="1"/>
  <c r="S58" i="3" s="1"/>
  <c r="T58" i="3" s="1"/>
  <c r="R57" i="3"/>
  <c r="S57" i="3" s="1"/>
  <c r="T57" i="3" s="1"/>
  <c r="R56" i="3"/>
  <c r="S56" i="3" s="1"/>
  <c r="T56" i="3" s="1"/>
  <c r="R54" i="3"/>
  <c r="S54" i="3" s="1"/>
  <c r="T54" i="3" s="1"/>
  <c r="R55" i="3"/>
  <c r="S55" i="3" s="1"/>
  <c r="T55" i="3" s="1"/>
  <c r="R52" i="3"/>
  <c r="S52" i="3" s="1"/>
  <c r="T52" i="3" s="1"/>
  <c r="R53" i="3"/>
  <c r="S53" i="3" s="1"/>
  <c r="T53" i="3" s="1"/>
  <c r="R47" i="3"/>
  <c r="S47" i="3" s="1"/>
  <c r="T47" i="3" s="1"/>
  <c r="R48" i="3"/>
  <c r="S48" i="3" s="1"/>
  <c r="T48" i="3" s="1"/>
  <c r="R51" i="3"/>
  <c r="S51" i="3" s="1"/>
  <c r="T51" i="3" s="1"/>
  <c r="R32" i="3"/>
  <c r="S32" i="3" s="1"/>
  <c r="T32" i="3" s="1"/>
  <c r="R33" i="3"/>
  <c r="S33" i="3" s="1"/>
  <c r="T33" i="3" s="1"/>
  <c r="R42" i="3"/>
  <c r="R43" i="3"/>
  <c r="G18" i="4"/>
  <c r="R21" i="3"/>
  <c r="R22" i="3"/>
  <c r="R24" i="3"/>
  <c r="R25" i="3"/>
  <c r="R26" i="3"/>
  <c r="R27" i="3"/>
  <c r="R28" i="3"/>
  <c r="R29" i="3"/>
  <c r="R30" i="3"/>
  <c r="R31" i="3"/>
  <c r="R34" i="3"/>
  <c r="R35" i="3"/>
  <c r="R36" i="3"/>
  <c r="R37" i="3"/>
  <c r="R38" i="3"/>
  <c r="R39" i="3"/>
  <c r="R40" i="3"/>
  <c r="R41" i="3"/>
  <c r="R45" i="3"/>
  <c r="R46" i="3"/>
  <c r="R49" i="3"/>
  <c r="R50" i="3"/>
  <c r="R20" i="3"/>
  <c r="F5" i="4"/>
  <c r="F20" i="4"/>
  <c r="F24" i="4"/>
  <c r="F22" i="4"/>
  <c r="G24" i="4"/>
  <c r="G22" i="4"/>
  <c r="G20" i="4"/>
  <c r="F18" i="4"/>
  <c r="G16" i="4"/>
  <c r="G14" i="4"/>
  <c r="G12" i="4"/>
  <c r="F16" i="4"/>
  <c r="F14" i="4"/>
  <c r="F12" i="4"/>
  <c r="D5" i="2"/>
  <c r="R44" i="3" l="1"/>
  <c r="R23" i="3"/>
  <c r="I14" i="4"/>
  <c r="G6" i="2" s="1"/>
  <c r="I18" i="4" l="1"/>
  <c r="I22" i="4" s="1"/>
  <c r="S49" i="3" l="1"/>
  <c r="T49" i="3" s="1"/>
  <c r="S41" i="3"/>
  <c r="T41" i="3" s="1"/>
  <c r="S40" i="3"/>
  <c r="T40" i="3" s="1"/>
  <c r="S30" i="3"/>
  <c r="T30" i="3" s="1"/>
  <c r="S28" i="3"/>
  <c r="T28" i="3" s="1"/>
  <c r="S25" i="3"/>
  <c r="T25" i="3" s="1"/>
  <c r="S45" i="3"/>
  <c r="T45" i="3" s="1"/>
  <c r="S42" i="3"/>
  <c r="T42" i="3" s="1"/>
  <c r="S38" i="3"/>
  <c r="T38" i="3" s="1"/>
  <c r="S36" i="3"/>
  <c r="T36" i="3" s="1"/>
  <c r="S31" i="3"/>
  <c r="T31" i="3" s="1"/>
  <c r="S46" i="3"/>
  <c r="T46" i="3" s="1"/>
  <c r="S43" i="3"/>
  <c r="T43" i="3" s="1"/>
  <c r="S39" i="3"/>
  <c r="T39" i="3" s="1"/>
  <c r="S26" i="3"/>
  <c r="T26" i="3" s="1"/>
  <c r="S22" i="3"/>
  <c r="T22" i="3" s="1"/>
  <c r="S50" i="3"/>
  <c r="T50" i="3" s="1"/>
  <c r="S44" i="3"/>
  <c r="T44" i="3" s="1"/>
  <c r="S37" i="3"/>
  <c r="T37" i="3" s="1"/>
  <c r="S35" i="3"/>
  <c r="T35" i="3" s="1"/>
  <c r="S34" i="3"/>
  <c r="T34" i="3" s="1"/>
  <c r="S29" i="3"/>
  <c r="T29" i="3" s="1"/>
  <c r="S27" i="3"/>
  <c r="T27" i="3" s="1"/>
  <c r="S24" i="3"/>
  <c r="T24" i="3" s="1"/>
  <c r="S23" i="3"/>
  <c r="T23" i="3" s="1"/>
  <c r="S21" i="3"/>
  <c r="T21" i="3" s="1"/>
  <c r="A21" i="3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l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S20" i="3"/>
  <c r="T20" i="3" s="1"/>
  <c r="A47" i="3" l="1"/>
  <c r="G7" i="2"/>
  <c r="G8" i="2" s="1"/>
  <c r="H8" i="2" s="1"/>
  <c r="A48" i="3" l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G9" i="2"/>
  <c r="H9" i="2" s="1"/>
  <c r="H7" i="2"/>
</calcChain>
</file>

<file path=xl/sharedStrings.xml><?xml version="1.0" encoding="utf-8"?>
<sst xmlns="http://schemas.openxmlformats.org/spreadsheetml/2006/main" count="2798" uniqueCount="454">
  <si>
    <t>ENVIADO</t>
  </si>
  <si>
    <t>BANCOLOMBIA</t>
  </si>
  <si>
    <t>2Q</t>
  </si>
  <si>
    <t>N/A</t>
  </si>
  <si>
    <t>NEQUI</t>
  </si>
  <si>
    <t>2Q+2N</t>
  </si>
  <si>
    <t>10Q</t>
  </si>
  <si>
    <t>6Q</t>
  </si>
  <si>
    <t>2Q+5N+2V</t>
  </si>
  <si>
    <t>COMODIN</t>
  </si>
  <si>
    <t>2Q+3N</t>
  </si>
  <si>
    <t>1Q+1N+1V</t>
  </si>
  <si>
    <t>2Q+3N+2V</t>
  </si>
  <si>
    <t>1Q+1N+2V</t>
  </si>
  <si>
    <t>BOLD</t>
  </si>
  <si>
    <t>1Q</t>
  </si>
  <si>
    <t>SKR SI/NO</t>
  </si>
  <si>
    <t>LIDER</t>
  </si>
  <si>
    <t>MONTO</t>
  </si>
  <si>
    <t>NOMBRE COMPLETO</t>
  </si>
  <si>
    <t>FECHA</t>
  </si>
  <si>
    <t xml:space="preserve">Consulta  con el valor del dólar (TRM) </t>
  </si>
  <si>
    <t>TOTAL</t>
  </si>
  <si>
    <t>QUINTILLION</t>
  </si>
  <si>
    <t>VIGINTILLION</t>
  </si>
  <si>
    <t>AGROCHEQUE</t>
  </si>
  <si>
    <t>DÓLARES</t>
  </si>
  <si>
    <t>USD</t>
  </si>
  <si>
    <t>PESOS COLOMBIANOS</t>
  </si>
  <si>
    <t>PAGO TOTAL</t>
  </si>
  <si>
    <t>$ COL</t>
  </si>
  <si>
    <t>PAGO INICIAL</t>
  </si>
  <si>
    <t xml:space="preserve">LIDER: </t>
  </si>
  <si>
    <t>QUINTILLION 5M</t>
  </si>
  <si>
    <t>NONGENTILLION 10M</t>
  </si>
  <si>
    <t>AGROCHEQUE50M</t>
  </si>
  <si>
    <t>TOTAL -10%</t>
  </si>
  <si>
    <t>1% PAGO INICIAL</t>
  </si>
  <si>
    <t>FIDUCIA/NUBE</t>
  </si>
  <si>
    <t>//</t>
  </si>
  <si>
    <t>VALLE DE TENZA</t>
  </si>
  <si>
    <t>LISTA</t>
  </si>
  <si>
    <t>NONGENTILLION</t>
  </si>
  <si>
    <t>MONEDA DE ZIM</t>
  </si>
  <si>
    <t>BILLETE DE ZIM</t>
  </si>
  <si>
    <t>NOMBRE</t>
  </si>
  <si>
    <t>CC/ID/DNI</t>
  </si>
  <si>
    <t>CANT</t>
  </si>
  <si>
    <t>MONTO3</t>
  </si>
  <si>
    <t>MONTO2</t>
  </si>
  <si>
    <t>MONTO4</t>
  </si>
  <si>
    <t>MONTO5</t>
  </si>
  <si>
    <t>CC-ID-DNI</t>
  </si>
  <si>
    <t>BILLETE DE ZIMBABWE</t>
  </si>
  <si>
    <t>OTROS</t>
  </si>
  <si>
    <t>CANT2</t>
  </si>
  <si>
    <t>CANT4</t>
  </si>
  <si>
    <t>CANT6</t>
  </si>
  <si>
    <t>MONTO7</t>
  </si>
  <si>
    <t>PAGO</t>
  </si>
  <si>
    <t xml:space="preserve">NOTA: </t>
  </si>
  <si>
    <t>ALGUNOS ELEMENTOS NO  TIENEN POSTURA, PUEDE QUE EN ESTA SIMULACIÒN APAREZCAN  EN $0 TODAVIA.</t>
  </si>
  <si>
    <t>SI</t>
  </si>
  <si>
    <t>NO</t>
  </si>
  <si>
    <t>FIDUCIA</t>
  </si>
  <si>
    <t>NUBE</t>
  </si>
  <si>
    <t>CANT3</t>
  </si>
  <si>
    <t>CANT5</t>
  </si>
  <si>
    <t>MONTO6</t>
  </si>
  <si>
    <t>CANT7</t>
  </si>
  <si>
    <t>(SI NO TIENE VALOR ES PORQUE NO HAN DADO POSTURA)</t>
  </si>
  <si>
    <t xml:space="preserve">OTROS 
</t>
  </si>
  <si>
    <t>VIGINTILLION 7,5M</t>
  </si>
  <si>
    <t>MONEDA ZIMBABWE 500k</t>
  </si>
  <si>
    <t>COCTEL IMPERIAL</t>
  </si>
  <si>
    <t>6Q+5N+2V</t>
  </si>
  <si>
    <t>JOSE LUIS RAMIREZ</t>
  </si>
  <si>
    <t>ADRIANA MILENA PABON CUESTA</t>
  </si>
  <si>
    <t>ANA MERCEDES RAMIREZ AYALA</t>
  </si>
  <si>
    <t>BORYS RAFAEL DE LA HAYES ARROYO</t>
  </si>
  <si>
    <t>CARLOS RAMIRO MOGOLLON TORRES</t>
  </si>
  <si>
    <t>CESAR AUGUSTO TAPIAS CHAVARRO</t>
  </si>
  <si>
    <t>CINDY PAOLA CORREDOR OTALORA</t>
  </si>
  <si>
    <t>EDILBERTO CORREDOR ROPERO</t>
  </si>
  <si>
    <t>ELDA NELLY RODRIGUEZ ANGEL</t>
  </si>
  <si>
    <t>ETELSI MARIN CERDAS</t>
  </si>
  <si>
    <t>FLOR ALICIA CORREDOR ROPERO</t>
  </si>
  <si>
    <t>FLOR ANGELA RIOS ZAPATA</t>
  </si>
  <si>
    <t>JOSE LUIS RAMIREZ CORREDOR</t>
  </si>
  <si>
    <t>JUAN DAVID MOSQUERA FONSECA</t>
  </si>
  <si>
    <t>LAURA KATHERINE GOMEZ DUARTE</t>
  </si>
  <si>
    <t>LUIS AGUILAR HINCAPIE</t>
  </si>
  <si>
    <t>LUIS ENRIQUE DUARTE GOYENECHE</t>
  </si>
  <si>
    <t>LUIS ENRIQUE DUARTE RODRIGUEZ</t>
  </si>
  <si>
    <t>LUIS GILBERTO RIOS ZAPATA</t>
  </si>
  <si>
    <t>LUZ MERY RAMIREZ CORREDOR</t>
  </si>
  <si>
    <t>NAIRO MANCILLA RODRIGUEZ</t>
  </si>
  <si>
    <t>NELSON ENRIQUE PALACIOS MORENO</t>
  </si>
  <si>
    <t>OMAR DE JESUS DAZA ZAPATA</t>
  </si>
  <si>
    <t>PAULA DANIELA MARROQUIN OTALORA</t>
  </si>
  <si>
    <t>ROBINSON TALERO PEÑA</t>
  </si>
  <si>
    <t>SARA OTALORA BARBOSA</t>
  </si>
  <si>
    <t>SUSAN VERONICA DUARTE RODRIGUEZ</t>
  </si>
  <si>
    <t>TR2018290030</t>
  </si>
  <si>
    <t>M45588456</t>
  </si>
  <si>
    <t>TOGV408P1J9</t>
  </si>
  <si>
    <t>TWRXILIODBE</t>
  </si>
  <si>
    <t>M15787898</t>
  </si>
  <si>
    <t>TUYLLIF4R7Y</t>
  </si>
  <si>
    <t>TQ283VTDGAM</t>
  </si>
  <si>
    <t>TCV1M9919P2</t>
  </si>
  <si>
    <t>M23525650</t>
  </si>
  <si>
    <t>M18253942</t>
  </si>
  <si>
    <t>M18731708</t>
  </si>
  <si>
    <t>T4XA05HJFQ4</t>
  </si>
  <si>
    <t>M4423866</t>
  </si>
  <si>
    <t>TBQOIVHIMGO</t>
  </si>
  <si>
    <t>M05208588</t>
  </si>
  <si>
    <t>TS332MP9ZKS</t>
  </si>
  <si>
    <t>TYGREAVEMWP</t>
  </si>
  <si>
    <t>TESSBKC6YHZ</t>
  </si>
  <si>
    <t>4Q</t>
  </si>
  <si>
    <t>TBA297KU43P</t>
  </si>
  <si>
    <t>TCVUWZNEMVO</t>
  </si>
  <si>
    <t>TR1ZU6UEIJL</t>
  </si>
  <si>
    <t>T3363306733</t>
  </si>
  <si>
    <t>10V</t>
  </si>
  <si>
    <t>M17097559</t>
  </si>
  <si>
    <t>M09568639</t>
  </si>
  <si>
    <t xml:space="preserve">NEQUI </t>
  </si>
  <si>
    <t>TI7SM74LLUO</t>
  </si>
  <si>
    <t>TIUFM941LKV</t>
  </si>
  <si>
    <t>THB4756JMWN</t>
  </si>
  <si>
    <t>TAIM46HPBCR</t>
  </si>
  <si>
    <t>T1W8CQLMAHY</t>
  </si>
  <si>
    <t>M14815503</t>
  </si>
  <si>
    <t>T68B07D08E8</t>
  </si>
  <si>
    <t>TIRKJZM4VKJ</t>
  </si>
  <si>
    <t>4Q+5N+2V</t>
  </si>
  <si>
    <t>TYGXQLHH56A</t>
  </si>
  <si>
    <t>TSGHU3F3KH3</t>
  </si>
  <si>
    <t>TVO34KEFBTC</t>
  </si>
  <si>
    <t>TR251003061404yjq104</t>
  </si>
  <si>
    <t>1536529</t>
  </si>
  <si>
    <t>M13361484</t>
  </si>
  <si>
    <t>TOH6YP5S672</t>
  </si>
  <si>
    <t>TER3145HVDM</t>
  </si>
  <si>
    <t>TPE4AO8LFM7</t>
  </si>
  <si>
    <t>TXK455AL6S6</t>
  </si>
  <si>
    <t>TPX602E6U37</t>
  </si>
  <si>
    <t>TYODB00OSOH</t>
  </si>
  <si>
    <t>M24660134</t>
  </si>
  <si>
    <t>T6DGDA10GOT</t>
  </si>
  <si>
    <t>T21H9FQB5NE</t>
  </si>
  <si>
    <t>M22356073</t>
  </si>
  <si>
    <t>DAVIVIENDA</t>
  </si>
  <si>
    <t>T2YOPITNKOP</t>
  </si>
  <si>
    <t>T74UDOUSEEC</t>
  </si>
  <si>
    <t>TBG6DPZBGG9</t>
  </si>
  <si>
    <t>TYP3CX6H6SP</t>
  </si>
  <si>
    <t>M16771784</t>
  </si>
  <si>
    <t>T38C2RM3IEO</t>
  </si>
  <si>
    <t>M9115781</t>
  </si>
  <si>
    <t>TMSIS65O7PT</t>
  </si>
  <si>
    <t>PASAPORTE</t>
  </si>
  <si>
    <t>CIUDAD</t>
  </si>
  <si>
    <t>COLOMBIA</t>
  </si>
  <si>
    <t>BF481828</t>
  </si>
  <si>
    <t>(+57) 3113339442</t>
  </si>
  <si>
    <t>ANTIOQUIA</t>
  </si>
  <si>
    <t>ENVIGADO</t>
  </si>
  <si>
    <t>(+57) 3137707574</t>
  </si>
  <si>
    <t>(+57) 3004634256</t>
  </si>
  <si>
    <t>ATLANTICO</t>
  </si>
  <si>
    <t>BARRANQUILLA</t>
  </si>
  <si>
    <t>edilco@hotmail.com</t>
  </si>
  <si>
    <t>(+57) 3124848005</t>
  </si>
  <si>
    <t>LA ESTRELLA</t>
  </si>
  <si>
    <t>flor_corredor@hotmail.com</t>
  </si>
  <si>
    <t>AW665250</t>
  </si>
  <si>
    <t>(+57) 3204618523</t>
  </si>
  <si>
    <t>BOYACA</t>
  </si>
  <si>
    <t>luzmeryramico@gmail.com</t>
  </si>
  <si>
    <t>BG487116</t>
  </si>
  <si>
    <t>(+57) 3106288858</t>
  </si>
  <si>
    <t>CUNDINAMARCA</t>
  </si>
  <si>
    <t>BOGOTA</t>
  </si>
  <si>
    <t>profeboxing@hotmail.com</t>
  </si>
  <si>
    <t>5Q+2N</t>
  </si>
  <si>
    <t>M02264304</t>
  </si>
  <si>
    <t>2Q+2N+2V</t>
  </si>
  <si>
    <t>M23639805</t>
  </si>
  <si>
    <t>M09662928</t>
  </si>
  <si>
    <t>M17503794</t>
  </si>
  <si>
    <t>JOHN HENRY NIÑO RAMIREZ</t>
  </si>
  <si>
    <t>M11479371</t>
  </si>
  <si>
    <t>M18249344</t>
  </si>
  <si>
    <t>M13294909</t>
  </si>
  <si>
    <t>M13798226</t>
  </si>
  <si>
    <t>M10761884</t>
  </si>
  <si>
    <t>M16190121</t>
  </si>
  <si>
    <t>10Q+4N</t>
  </si>
  <si>
    <t>M15722792</t>
  </si>
  <si>
    <t>M19943208</t>
  </si>
  <si>
    <t>1N</t>
  </si>
  <si>
    <t>M10595951</t>
  </si>
  <si>
    <t>M29343127</t>
  </si>
  <si>
    <t>M17438777</t>
  </si>
  <si>
    <t>SAMUEL EDGARDO MUNAR SUAREZ</t>
  </si>
  <si>
    <t>2Q+1V</t>
  </si>
  <si>
    <t>M18110670</t>
  </si>
  <si>
    <t>JENNIFER JULIETH TORRALBA MARTINEZ</t>
  </si>
  <si>
    <t>SANDRA ROCIO PALACIOS MORENO</t>
  </si>
  <si>
    <t>BOGOTA D.C</t>
  </si>
  <si>
    <t>bbnanaduarte@hotmail.com</t>
  </si>
  <si>
    <t>(+57) 3213598329</t>
  </si>
  <si>
    <t>BD890831</t>
  </si>
  <si>
    <t>ENGATIVA</t>
  </si>
  <si>
    <t>(+57) 3144136425</t>
  </si>
  <si>
    <t>BOLIVAR</t>
  </si>
  <si>
    <t>MAGANGUE</t>
  </si>
  <si>
    <t>(+57) 3107022137</t>
  </si>
  <si>
    <t>AW840913</t>
  </si>
  <si>
    <t>(+57) 3017648948</t>
  </si>
  <si>
    <t>DUITAMA</t>
  </si>
  <si>
    <t>maximo2652@gmail.com</t>
  </si>
  <si>
    <t>(+57) 3156332627</t>
  </si>
  <si>
    <t>COMPLEMENTO COMODIN</t>
  </si>
  <si>
    <t>cindycorredor13@gmail.com</t>
  </si>
  <si>
    <t>(+57) 3008023778</t>
  </si>
  <si>
    <t>COFRE</t>
  </si>
  <si>
    <t>080016</t>
  </si>
  <si>
    <t>luendugo1951@hotmail.com</t>
  </si>
  <si>
    <t>(+57) 3134646874</t>
  </si>
  <si>
    <t>MAGDALENA</t>
  </si>
  <si>
    <t>SANTA MARTA</t>
  </si>
  <si>
    <t>alejos1119@hotmail.es</t>
  </si>
  <si>
    <t>(+57) 3153938093</t>
  </si>
  <si>
    <t>B01136336</t>
  </si>
  <si>
    <t>UNITED STATES</t>
  </si>
  <si>
    <t>ILLINOIS</t>
  </si>
  <si>
    <t>ALTON</t>
  </si>
  <si>
    <t>etmarinc@gmail.com</t>
  </si>
  <si>
    <t>(+1) 6189001741</t>
  </si>
  <si>
    <t>OO55460</t>
  </si>
  <si>
    <t>COCTEL NOBLE</t>
  </si>
  <si>
    <t>BA295919</t>
  </si>
  <si>
    <t>(+57) 3195331330</t>
  </si>
  <si>
    <t>M23683378</t>
  </si>
  <si>
    <t>1V</t>
  </si>
  <si>
    <t>GIRO RULETA</t>
  </si>
  <si>
    <t>CL 16 NO 2 96 AP 303</t>
  </si>
  <si>
    <t>hnino.asesoriasit@gmail.com</t>
  </si>
  <si>
    <t>(+57) 3174244137</t>
  </si>
  <si>
    <t>M19400056</t>
  </si>
  <si>
    <t>AT186230</t>
  </si>
  <si>
    <t>joluraco@gmail.com</t>
  </si>
  <si>
    <t>(+57) 3046350721</t>
  </si>
  <si>
    <t>AX854234</t>
  </si>
  <si>
    <t>Jjdavid77@hotmail.com</t>
  </si>
  <si>
    <t>(+57) 3204802553</t>
  </si>
  <si>
    <t>BF979585</t>
  </si>
  <si>
    <t>LKGOMEZ2207@GMAIL.COM</t>
  </si>
  <si>
    <t>(+57) 3108570672</t>
  </si>
  <si>
    <t>luisaguilarhincapie@gmail.com</t>
  </si>
  <si>
    <t>(+57) 3046396027</t>
  </si>
  <si>
    <t>COMPLEMENTO COCTEL IMPERIAL</t>
  </si>
  <si>
    <t>(+57) 3133561995</t>
  </si>
  <si>
    <t>COMBO</t>
  </si>
  <si>
    <t>MEDELLIN</t>
  </si>
  <si>
    <t>Lgilrios@hotmail.com</t>
  </si>
  <si>
    <t>CASANARE</t>
  </si>
  <si>
    <t>YOPAL</t>
  </si>
  <si>
    <t>namar1128@gmail.com</t>
  </si>
  <si>
    <t>(+57) 3204621489</t>
  </si>
  <si>
    <t>BD125949</t>
  </si>
  <si>
    <t>nelpalasmo04@gmail.com</t>
  </si>
  <si>
    <t>(+57)  3116585599</t>
  </si>
  <si>
    <t>(+57) 3116585599</t>
  </si>
  <si>
    <t>FUNDACION</t>
  </si>
  <si>
    <t>omardaza0611@hotmail.com</t>
  </si>
  <si>
    <t>(+57) 3108907178</t>
  </si>
  <si>
    <t>COMPLEMENTO COMBO</t>
  </si>
  <si>
    <t>BD342441</t>
  </si>
  <si>
    <t>Danielamarroquin.1997@gmail.com</t>
  </si>
  <si>
    <t>(+57) 3202940635</t>
  </si>
  <si>
    <t>SOGAMOSO</t>
  </si>
  <si>
    <t>Robinsontalero@hotmail.com</t>
  </si>
  <si>
    <t>(+57) 3125829798</t>
  </si>
  <si>
    <t>munsuasam@gmail.com</t>
  </si>
  <si>
    <t>(+57) 3125898862</t>
  </si>
  <si>
    <t>srpalacios@sena.edu.co</t>
  </si>
  <si>
    <t>(+57) 3102165582</t>
  </si>
  <si>
    <t>M24410139</t>
  </si>
  <si>
    <t>KR 41G # 113-125</t>
  </si>
  <si>
    <t>sotalora27@hotmail.com</t>
  </si>
  <si>
    <t>(+57) 3008023120</t>
  </si>
  <si>
    <t>(+57) 3176217447</t>
  </si>
  <si>
    <t>ID/CC/DNI</t>
  </si>
  <si>
    <t>PAIS</t>
  </si>
  <si>
    <t>ESTADO</t>
  </si>
  <si>
    <t>DIRECCION</t>
  </si>
  <si>
    <t>COD POSTAL</t>
  </si>
  <si>
    <t>CORREO</t>
  </si>
  <si>
    <t xml:space="preserve">TELEFONO </t>
  </si>
  <si>
    <t>ITEM</t>
  </si>
  <si>
    <t>PRODUCTO/MATERIAL</t>
  </si>
  <si>
    <t>REF</t>
  </si>
  <si>
    <t>CIS/ MANDATE</t>
  </si>
  <si>
    <t>MONEDA DE ZIMBABWE</t>
  </si>
  <si>
    <t>ANA LIGIA MARTINEZ PEREZ</t>
  </si>
  <si>
    <t>ana-ligia25@hotmail.com</t>
  </si>
  <si>
    <t>(+57) 3114542623</t>
  </si>
  <si>
    <t>DRAGON PLATEADO</t>
  </si>
  <si>
    <t>M25971021</t>
  </si>
  <si>
    <t>M07173628</t>
  </si>
  <si>
    <t>M05846944</t>
  </si>
  <si>
    <t>2N</t>
  </si>
  <si>
    <t>M12012138</t>
  </si>
  <si>
    <t>M23481337</t>
  </si>
  <si>
    <t>1ZIMCOIN</t>
  </si>
  <si>
    <t>HENRY DE JESUS AMADO ROJAS</t>
  </si>
  <si>
    <t>Henryamado55@gmail.com</t>
  </si>
  <si>
    <t>(+57) 3177363259</t>
  </si>
  <si>
    <t>M15114185</t>
  </si>
  <si>
    <t>6Q+6N</t>
  </si>
  <si>
    <t>M13109535</t>
  </si>
  <si>
    <t>JOHN GARCIA JARA</t>
  </si>
  <si>
    <t>carkazo1975@gmail.com</t>
  </si>
  <si>
    <t>(+57) 3138556882</t>
  </si>
  <si>
    <t>M22260396</t>
  </si>
  <si>
    <t>M13036203</t>
  </si>
  <si>
    <t>4N</t>
  </si>
  <si>
    <t>M19126581</t>
  </si>
  <si>
    <t>M12925991</t>
  </si>
  <si>
    <t>2V</t>
  </si>
  <si>
    <t>MARIA ELISA AVILA ROCHA</t>
  </si>
  <si>
    <t>eliavila53@gmail.com</t>
  </si>
  <si>
    <t>(+57) 3132185835</t>
  </si>
  <si>
    <t>M25149615</t>
  </si>
  <si>
    <t>MAURICIO AVILA ROCHA</t>
  </si>
  <si>
    <t>mauricioavilarr716@gmail.com</t>
  </si>
  <si>
    <t>(+57) 3213972071</t>
  </si>
  <si>
    <t>M25822222</t>
  </si>
  <si>
    <t>M07353816</t>
  </si>
  <si>
    <t>YAEL HUYET CARRANZA GUAYAZAN</t>
  </si>
  <si>
    <t>huy_et@hotmail.com</t>
  </si>
  <si>
    <t>(+57) 3134045515</t>
  </si>
  <si>
    <t>M23454863</t>
  </si>
  <si>
    <t>BANK</t>
  </si>
  <si>
    <t xml:space="preserve">PASAPORTE </t>
  </si>
  <si>
    <t>REFERIDOS</t>
  </si>
  <si>
    <t>3N+3V</t>
  </si>
  <si>
    <t>M20040129</t>
  </si>
  <si>
    <t>ENMANUEL HUMBERTO OSPINA SUAREZ</t>
  </si>
  <si>
    <t>BH792029</t>
  </si>
  <si>
    <t>M30866289</t>
  </si>
  <si>
    <t>3ZIMCOIN</t>
  </si>
  <si>
    <t>951753</t>
  </si>
  <si>
    <t>DAVIPLATA</t>
  </si>
  <si>
    <t>X VENTAS  25 SEP - 4 NOV</t>
  </si>
  <si>
    <t>22ZIMCOIN</t>
  </si>
  <si>
    <t>X VENTAS HASTA 7 ABRIL</t>
  </si>
  <si>
    <t>93Q</t>
  </si>
  <si>
    <t>X VENTAS HASTA 8 DE MAYO</t>
  </si>
  <si>
    <t>M25395357</t>
  </si>
  <si>
    <t xml:space="preserve">DRAGON ZAFIRO </t>
  </si>
  <si>
    <t>3Q+4N+3V</t>
  </si>
  <si>
    <t>M02360186</t>
  </si>
  <si>
    <t>DRAGON DORADO</t>
  </si>
  <si>
    <t>4Q+6N+4V</t>
  </si>
  <si>
    <t>M28711020</t>
  </si>
  <si>
    <t>QUINTILION</t>
  </si>
  <si>
    <t>100Q</t>
  </si>
  <si>
    <t>GANADOR PREMIO</t>
  </si>
  <si>
    <t>DRAGON BLANCO</t>
  </si>
  <si>
    <t>3Q+1V</t>
  </si>
  <si>
    <t>M20676196</t>
  </si>
  <si>
    <t>OMAIRA ALEXY PABON CUESTA</t>
  </si>
  <si>
    <t>andrespaboncuesta@gmail.com</t>
  </si>
  <si>
    <t>(+57) 3137455024</t>
  </si>
  <si>
    <t>M06832113</t>
  </si>
  <si>
    <t>ZAREYDI CORREDOR OTALORA</t>
  </si>
  <si>
    <t>M06728564</t>
  </si>
  <si>
    <t>URBANO C 15 N 3 - 38</t>
  </si>
  <si>
    <t>BI015017</t>
  </si>
  <si>
    <t>BH041994</t>
  </si>
  <si>
    <t>055428</t>
  </si>
  <si>
    <t>KR 4 24 59 AP 2401</t>
  </si>
  <si>
    <t>BH912513</t>
  </si>
  <si>
    <t>CL  15 KR 14B -22 PISO 1</t>
  </si>
  <si>
    <t>BH015643</t>
  </si>
  <si>
    <t>CL 8 D NO 82 B 30 PI 1</t>
  </si>
  <si>
    <t>BH916195</t>
  </si>
  <si>
    <t>KR 96 A NO 60 SUR 12</t>
  </si>
  <si>
    <t>CR 41 G 113 125 TO 5 AP 402</t>
  </si>
  <si>
    <t>080001</t>
  </si>
  <si>
    <t>CL 6B # 80G -17 IN 10 AP 401</t>
  </si>
  <si>
    <t xml:space="preserve">CL 26 SUR 95A 49 18B C07 </t>
  </si>
  <si>
    <t>PENDIENTE</t>
  </si>
  <si>
    <t xml:space="preserve">DG 89B 118-45 INT 5 APT 101 </t>
  </si>
  <si>
    <t>VIGENTE</t>
  </si>
  <si>
    <t>CR 3 CL 6 - 53</t>
  </si>
  <si>
    <t xml:space="preserve">CR 51 CL 84- 61 BLO 1 PISO 2  APTO 02 </t>
  </si>
  <si>
    <t>CL 120 CR 42B -112 TO 2 APTO 101</t>
  </si>
  <si>
    <t>VENCIDO</t>
  </si>
  <si>
    <t xml:space="preserve">CR 41G 113 125 TO 5 AP 402 </t>
  </si>
  <si>
    <t>CL 6C 82A 07 T01</t>
  </si>
  <si>
    <t xml:space="preserve">MZ 12 C 23 </t>
  </si>
  <si>
    <t>5008 PERU LN</t>
  </si>
  <si>
    <t xml:space="preserve">CL 83 C SUR CR 55 – 56 INTERIOR 3  </t>
  </si>
  <si>
    <t xml:space="preserve">CL 39 B SUR CR 34 A - 31 </t>
  </si>
  <si>
    <t>CL 39 B SUR CR 34 A - 31</t>
  </si>
  <si>
    <t xml:space="preserve">C 15A N 4 -19 21 AP 301 </t>
  </si>
  <si>
    <t xml:space="preserve"> CL 8A 88 61 C46 </t>
  </si>
  <si>
    <t xml:space="preserve">CL 8A 88 61 C46 </t>
  </si>
  <si>
    <t xml:space="preserve">CL 16 NO 2 96 AP 303 </t>
  </si>
  <si>
    <t xml:space="preserve">CR 51 CL 96 B SUR – 119 INTERIOR 509 </t>
  </si>
  <si>
    <t xml:space="preserve">TV 53A 2 D 6 </t>
  </si>
  <si>
    <t xml:space="preserve">TV 53 A NO 2 D-06 </t>
  </si>
  <si>
    <t xml:space="preserve">CL  15 KR 14B -22 PISO 1 </t>
  </si>
  <si>
    <t xml:space="preserve">CL 6B 80G 17 IN 10 AP 401 </t>
  </si>
  <si>
    <t xml:space="preserve">CL 6C 82 A 7 TO1 </t>
  </si>
  <si>
    <t>CL 39B SUR  CR  34A-31 INTERIOR 201</t>
  </si>
  <si>
    <t xml:space="preserve">K 12 N 8 68-72 </t>
  </si>
  <si>
    <t xml:space="preserve">K- 31A -N -30 - 60 </t>
  </si>
  <si>
    <t>K – 27B – N -35A -16</t>
  </si>
  <si>
    <t xml:space="preserve">T 24 4 - 12 T 24 4 -28 </t>
  </si>
  <si>
    <t>CL 6B NO 80G 49 BQ 10 AP 401</t>
  </si>
  <si>
    <t>CL 5 KR 12- 65</t>
  </si>
  <si>
    <t xml:space="preserve">CL 4 NO 06 85 INT 1 AP 103 </t>
  </si>
  <si>
    <t>COTA</t>
  </si>
  <si>
    <t xml:space="preserve">KR 24 D NO 52 SUR 90 BQ 3 AP 506  </t>
  </si>
  <si>
    <t xml:space="preserve">T 24 4  12 T 24  4 - 28 </t>
  </si>
  <si>
    <t>KR 85 I NO 64 A 30 AP 106</t>
  </si>
  <si>
    <t xml:space="preserve">KR 96 A NO 60 SUR 12 </t>
  </si>
  <si>
    <t>CARLOS EDUARDO ROMERO MORENO</t>
  </si>
  <si>
    <t>(+57) 3118572874</t>
  </si>
  <si>
    <t>M08573932</t>
  </si>
  <si>
    <t>M26596886</t>
  </si>
  <si>
    <t>M03922378</t>
  </si>
  <si>
    <t xml:space="preserve">SARA LUCIA PABON CUESTA </t>
  </si>
  <si>
    <t>(+57) 3148703211</t>
  </si>
  <si>
    <t>644864</t>
  </si>
  <si>
    <t xml:space="preserve">OBSERVACIONES </t>
  </si>
  <si>
    <t>CAJA</t>
  </si>
  <si>
    <t>EDGAR OSWANDO ARIAS REYES</t>
  </si>
  <si>
    <t>negritaytein@gmail.com</t>
  </si>
  <si>
    <t>borisdelahayesarroyo@gmail.com</t>
  </si>
  <si>
    <t>carlosmogollon1979@gmail.com</t>
  </si>
  <si>
    <t>angelarioszapata11@gmail.com</t>
  </si>
  <si>
    <t>henryamado55@gmail.com</t>
  </si>
  <si>
    <t>jennifertorralba11@gmail.com</t>
  </si>
  <si>
    <t>susanveronicad@yahoo.es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</si>
</sst>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"/>
    <numFmt numFmtId="165" formatCode="d/mm/yyyy;@"/>
    <numFmt numFmtId="166" formatCode="dd/mm/yyyy;@"/>
    <numFmt numFmtId="167" formatCode="&quot;$&quot;\ #,##0.00"/>
  </numFmts>
  <fonts count="61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9C57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color theme="2" tint="-4.9989318521683403E-2"/>
      <name val="Calibri"/>
      <family val="2"/>
      <scheme val="minor"/>
    </font>
    <font>
      <b/>
      <sz val="16"/>
      <color theme="2" tint="-4.9989318521683403E-2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8"/>
      <color theme="2" tint="-4.9989318521683403E-2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2"/>
      <color theme="1"/>
      <name val="Arial Black"/>
      <family val="2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4" tint="0.79998168889431442"/>
      <name val="Calibri"/>
      <family val="2"/>
      <scheme val="minor"/>
    </font>
    <font>
      <b/>
      <sz val="26"/>
      <color theme="4" tint="0.79998168889431442"/>
      <name val="Calibri"/>
      <family val="2"/>
      <scheme val="minor"/>
    </font>
    <font>
      <b/>
      <sz val="20"/>
      <color theme="4" tint="0.79998168889431442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sz val="14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Arial"/>
      <family val="2"/>
    </font>
    <font>
      <b/>
      <sz val="28"/>
      <color theme="0"/>
      <name val="Calibri"/>
      <family val="2"/>
      <scheme val="minor"/>
    </font>
    <font>
      <sz val="16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theme="1"/>
      <name val="Arial Black"/>
      <family val="2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6"/>
      <color theme="0" tint="-0.249977111117893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48"/>
      <color theme="6" tint="-0.249977111117893"/>
      <name val="Britannic Bold"/>
      <family val="2"/>
    </font>
    <font>
      <sz val="11"/>
      <name val="Calibri"/>
      <family val="2"/>
      <scheme val="minor"/>
    </font>
    <font>
      <sz val="20"/>
      <color theme="1"/>
      <name val="Bahnschrift SemiBold SemiConden"/>
      <family val="2"/>
    </font>
    <font>
      <sz val="28"/>
      <color theme="6" tint="-0.249977111117893"/>
      <name val="Britannic Bold"/>
      <family val="2"/>
    </font>
    <font>
      <sz val="14"/>
      <color rgb="FF000000"/>
      <name val="Calibri"/>
      <family val="2"/>
      <scheme val="minor"/>
    </font>
    <font>
      <b/>
      <sz val="26"/>
      <color theme="5" tint="0.7999816888943144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4"/>
      <color theme="1"/>
      <name val="Cascadia Code Light"/>
      <family val="3"/>
    </font>
    <font>
      <b/>
      <sz val="14"/>
      <color theme="5" tint="0.79998168889431442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FDBF9"/>
        <bgColor indexed="64"/>
      </patternFill>
    </fill>
    <fill>
      <patternFill patternType="solid">
        <fgColor rgb="FF72FAF4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6" tint="0.3999755851924192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6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6" tint="0.3999755851924192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6" tint="0.3999755851924192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5" fillId="2" borderId="0" applyNumberFormat="0" applyBorder="0" applyAlignment="0" applyProtection="0"/>
    <xf numFmtId="0" fontId="6" fillId="3" borderId="1" applyNumberFormat="0" applyAlignment="0" applyProtection="0"/>
    <xf numFmtId="0" fontId="7" fillId="0" borderId="0"/>
    <xf numFmtId="0" fontId="4" fillId="0" borderId="0"/>
    <xf numFmtId="0" fontId="2" fillId="0" borderId="0"/>
    <xf numFmtId="0" fontId="1" fillId="28" borderId="0" applyNumberFormat="0" applyBorder="0" applyAlignment="0" applyProtection="0"/>
    <xf numFmtId="0" fontId="60" fillId="0" borderId="0" applyNumberFormat="0" applyFill="0" applyBorder="0" applyAlignment="0" applyProtection="0"/>
  </cellStyleXfs>
  <cellXfs count="169">
    <xf numFmtId="0" fontId="0" fillId="0" borderId="0" xfId="0"/>
    <xf numFmtId="0" fontId="8" fillId="4" borderId="0" xfId="1" applyFont="1" applyFill="1" applyBorder="1"/>
    <xf numFmtId="1" fontId="7" fillId="4" borderId="0" xfId="0" applyNumberFormat="1" applyFont="1" applyFill="1" applyAlignment="1">
      <alignment horizontal="right"/>
    </xf>
    <xf numFmtId="0" fontId="7" fillId="4" borderId="0" xfId="0" applyFont="1" applyFill="1" applyAlignment="1">
      <alignment horizontal="right"/>
    </xf>
    <xf numFmtId="0" fontId="9" fillId="0" borderId="0" xfId="0" applyFont="1" applyAlignment="1">
      <alignment vertical="center"/>
    </xf>
    <xf numFmtId="0" fontId="7" fillId="4" borderId="0" xfId="3" applyFill="1"/>
    <xf numFmtId="0" fontId="11" fillId="4" borderId="0" xfId="3" applyFont="1" applyFill="1" applyAlignment="1">
      <alignment horizontal="right"/>
    </xf>
    <xf numFmtId="167" fontId="11" fillId="4" borderId="2" xfId="3" applyNumberFormat="1" applyFont="1" applyFill="1" applyBorder="1" applyAlignment="1">
      <alignment vertical="center"/>
    </xf>
    <xf numFmtId="167" fontId="11" fillId="4" borderId="0" xfId="3" applyNumberFormat="1" applyFont="1" applyFill="1" applyAlignment="1">
      <alignment vertical="center"/>
    </xf>
    <xf numFmtId="0" fontId="13" fillId="9" borderId="0" xfId="3" applyFont="1" applyFill="1"/>
    <xf numFmtId="0" fontId="14" fillId="9" borderId="0" xfId="3" applyFont="1" applyFill="1" applyAlignment="1">
      <alignment horizontal="right"/>
    </xf>
    <xf numFmtId="164" fontId="15" fillId="4" borderId="3" xfId="3" applyNumberFormat="1" applyFont="1" applyFill="1" applyBorder="1" applyAlignment="1">
      <alignment horizontal="right"/>
    </xf>
    <xf numFmtId="0" fontId="7" fillId="11" borderId="0" xfId="3" applyFill="1"/>
    <xf numFmtId="9" fontId="10" fillId="12" borderId="0" xfId="3" applyNumberFormat="1" applyFont="1" applyFill="1"/>
    <xf numFmtId="0" fontId="16" fillId="13" borderId="0" xfId="3" applyFont="1" applyFill="1" applyAlignment="1">
      <alignment horizontal="right"/>
    </xf>
    <xf numFmtId="164" fontId="17" fillId="4" borderId="2" xfId="3" applyNumberFormat="1" applyFont="1" applyFill="1" applyBorder="1" applyAlignment="1">
      <alignment horizontal="right"/>
    </xf>
    <xf numFmtId="0" fontId="10" fillId="12" borderId="0" xfId="3" applyFont="1" applyFill="1"/>
    <xf numFmtId="9" fontId="16" fillId="13" borderId="0" xfId="3" applyNumberFormat="1" applyFont="1" applyFill="1" applyAlignment="1">
      <alignment horizontal="right"/>
    </xf>
    <xf numFmtId="167" fontId="18" fillId="4" borderId="2" xfId="3" applyNumberFormat="1" applyFont="1" applyFill="1" applyBorder="1" applyAlignment="1">
      <alignment horizontal="right"/>
    </xf>
    <xf numFmtId="9" fontId="10" fillId="14" borderId="0" xfId="3" applyNumberFormat="1" applyFont="1" applyFill="1" applyAlignment="1">
      <alignment vertical="center"/>
    </xf>
    <xf numFmtId="164" fontId="19" fillId="4" borderId="2" xfId="3" applyNumberFormat="1" applyFont="1" applyFill="1" applyBorder="1"/>
    <xf numFmtId="0" fontId="4" fillId="4" borderId="0" xfId="4" applyFill="1" applyAlignment="1">
      <alignment horizontal="center"/>
    </xf>
    <xf numFmtId="0" fontId="4" fillId="4" borderId="0" xfId="4" applyFill="1"/>
    <xf numFmtId="0" fontId="4" fillId="4" borderId="0" xfId="4" applyFill="1" applyAlignment="1">
      <alignment horizontal="center" vertical="center"/>
    </xf>
    <xf numFmtId="0" fontId="4" fillId="15" borderId="0" xfId="4" applyFill="1" applyAlignment="1">
      <alignment horizontal="center" vertical="center"/>
    </xf>
    <xf numFmtId="0" fontId="4" fillId="0" borderId="0" xfId="4"/>
    <xf numFmtId="0" fontId="4" fillId="0" borderId="0" xfId="4" applyAlignment="1">
      <alignment horizontal="center"/>
    </xf>
    <xf numFmtId="0" fontId="29" fillId="2" borderId="0" xfId="1" applyFont="1" applyBorder="1" applyAlignment="1">
      <alignment horizontal="center" vertical="center" wrapText="1"/>
    </xf>
    <xf numFmtId="1" fontId="7" fillId="4" borderId="0" xfId="3" applyNumberFormat="1" applyFill="1" applyAlignment="1">
      <alignment horizontal="left"/>
    </xf>
    <xf numFmtId="164" fontId="7" fillId="4" borderId="0" xfId="3" applyNumberFormat="1" applyFill="1" applyAlignment="1">
      <alignment horizontal="center"/>
    </xf>
    <xf numFmtId="49" fontId="7" fillId="4" borderId="0" xfId="3" applyNumberFormat="1" applyFill="1"/>
    <xf numFmtId="0" fontId="7" fillId="4" borderId="0" xfId="3" applyFill="1" applyAlignment="1">
      <alignment horizontal="left"/>
    </xf>
    <xf numFmtId="1" fontId="7" fillId="6" borderId="0" xfId="3" applyNumberFormat="1" applyFill="1" applyAlignment="1">
      <alignment horizontal="left"/>
    </xf>
    <xf numFmtId="164" fontId="7" fillId="6" borderId="0" xfId="3" applyNumberFormat="1" applyFill="1" applyAlignment="1">
      <alignment horizontal="center"/>
    </xf>
    <xf numFmtId="49" fontId="7" fillId="6" borderId="0" xfId="3" applyNumberFormat="1" applyFill="1"/>
    <xf numFmtId="0" fontId="3" fillId="19" borderId="0" xfId="4" applyFont="1" applyFill="1" applyAlignment="1">
      <alignment horizontal="center"/>
    </xf>
    <xf numFmtId="0" fontId="4" fillId="19" borderId="0" xfId="4" applyFill="1" applyAlignment="1">
      <alignment horizontal="center"/>
    </xf>
    <xf numFmtId="0" fontId="31" fillId="19" borderId="0" xfId="4" applyFont="1" applyFill="1" applyAlignment="1">
      <alignment horizontal="right"/>
    </xf>
    <xf numFmtId="0" fontId="23" fillId="17" borderId="9" xfId="4" applyFont="1" applyFill="1" applyBorder="1" applyAlignment="1">
      <alignment horizontal="center" vertical="center" wrapText="1"/>
    </xf>
    <xf numFmtId="0" fontId="24" fillId="17" borderId="9" xfId="4" applyFont="1" applyFill="1" applyBorder="1" applyAlignment="1">
      <alignment horizontal="center" vertical="center" wrapText="1"/>
    </xf>
    <xf numFmtId="0" fontId="25" fillId="17" borderId="9" xfId="4" applyFont="1" applyFill="1" applyBorder="1" applyAlignment="1">
      <alignment horizontal="center" vertical="center" wrapText="1"/>
    </xf>
    <xf numFmtId="0" fontId="28" fillId="16" borderId="9" xfId="4" applyFont="1" applyFill="1" applyBorder="1" applyAlignment="1">
      <alignment horizontal="center" vertical="center" wrapText="1"/>
    </xf>
    <xf numFmtId="0" fontId="28" fillId="16" borderId="10" xfId="4" applyFont="1" applyFill="1" applyBorder="1" applyAlignment="1">
      <alignment horizontal="center" vertical="center" wrapText="1"/>
    </xf>
    <xf numFmtId="0" fontId="22" fillId="22" borderId="11" xfId="4" applyFont="1" applyFill="1" applyBorder="1" applyAlignment="1">
      <alignment horizontal="center"/>
    </xf>
    <xf numFmtId="3" fontId="22" fillId="4" borderId="11" xfId="4" applyNumberFormat="1" applyFont="1" applyFill="1" applyBorder="1" applyAlignment="1">
      <alignment horizontal="center"/>
    </xf>
    <xf numFmtId="164" fontId="22" fillId="4" borderId="11" xfId="4" applyNumberFormat="1" applyFont="1" applyFill="1" applyBorder="1" applyAlignment="1">
      <alignment horizontal="center"/>
    </xf>
    <xf numFmtId="0" fontId="22" fillId="23" borderId="12" xfId="4" applyFont="1" applyFill="1" applyBorder="1" applyAlignment="1">
      <alignment horizontal="center"/>
    </xf>
    <xf numFmtId="3" fontId="22" fillId="4" borderId="12" xfId="4" applyNumberFormat="1" applyFont="1" applyFill="1" applyBorder="1" applyAlignment="1">
      <alignment horizontal="center"/>
    </xf>
    <xf numFmtId="164" fontId="22" fillId="4" borderId="12" xfId="4" applyNumberFormat="1" applyFont="1" applyFill="1" applyBorder="1" applyAlignment="1">
      <alignment horizontal="center"/>
    </xf>
    <xf numFmtId="0" fontId="22" fillId="22" borderId="12" xfId="4" applyFont="1" applyFill="1" applyBorder="1" applyAlignment="1">
      <alignment horizontal="center"/>
    </xf>
    <xf numFmtId="0" fontId="4" fillId="24" borderId="0" xfId="4" applyFill="1" applyAlignment="1">
      <alignment horizontal="center"/>
    </xf>
    <xf numFmtId="0" fontId="32" fillId="18" borderId="0" xfId="4" applyFont="1" applyFill="1" applyAlignment="1">
      <alignment horizontal="center"/>
    </xf>
    <xf numFmtId="0" fontId="27" fillId="4" borderId="0" xfId="4" applyFont="1" applyFill="1" applyAlignment="1">
      <alignment horizontal="center"/>
    </xf>
    <xf numFmtId="0" fontId="43" fillId="17" borderId="7" xfId="4" applyFont="1" applyFill="1" applyBorder="1" applyAlignment="1">
      <alignment horizontal="center" vertical="center"/>
    </xf>
    <xf numFmtId="0" fontId="32" fillId="17" borderId="7" xfId="4" applyFont="1" applyFill="1" applyBorder="1" applyAlignment="1">
      <alignment horizontal="center" vertical="center"/>
    </xf>
    <xf numFmtId="0" fontId="44" fillId="17" borderId="7" xfId="4" applyFont="1" applyFill="1" applyBorder="1" applyAlignment="1">
      <alignment horizontal="center" vertical="center" wrapText="1"/>
    </xf>
    <xf numFmtId="0" fontId="0" fillId="4" borderId="0" xfId="0" applyFill="1"/>
    <xf numFmtId="0" fontId="20" fillId="4" borderId="0" xfId="4" applyFont="1" applyFill="1" applyAlignment="1">
      <alignment horizontal="right" vertical="center"/>
    </xf>
    <xf numFmtId="0" fontId="44" fillId="17" borderId="16" xfId="4" applyFont="1" applyFill="1" applyBorder="1" applyAlignment="1">
      <alignment horizontal="center" vertical="center" wrapText="1"/>
    </xf>
    <xf numFmtId="0" fontId="32" fillId="17" borderId="16" xfId="4" applyFont="1" applyFill="1" applyBorder="1" applyAlignment="1">
      <alignment horizontal="center" vertical="center"/>
    </xf>
    <xf numFmtId="0" fontId="46" fillId="19" borderId="0" xfId="4" applyFont="1" applyFill="1" applyAlignment="1">
      <alignment horizontal="center"/>
    </xf>
    <xf numFmtId="0" fontId="27" fillId="8" borderId="0" xfId="4" applyFont="1" applyFill="1" applyAlignment="1">
      <alignment horizontal="center"/>
    </xf>
    <xf numFmtId="164" fontId="38" fillId="4" borderId="0" xfId="4" applyNumberFormat="1" applyFont="1" applyFill="1" applyAlignment="1">
      <alignment horizontal="center"/>
    </xf>
    <xf numFmtId="0" fontId="21" fillId="24" borderId="0" xfId="4" applyFont="1" applyFill="1" applyAlignment="1">
      <alignment horizontal="center"/>
    </xf>
    <xf numFmtId="0" fontId="42" fillId="25" borderId="0" xfId="4" applyFont="1" applyFill="1" applyAlignment="1">
      <alignment horizontal="center"/>
    </xf>
    <xf numFmtId="0" fontId="37" fillId="24" borderId="0" xfId="4" applyFont="1" applyFill="1" applyAlignment="1">
      <alignment horizontal="center"/>
    </xf>
    <xf numFmtId="0" fontId="34" fillId="8" borderId="17" xfId="4" applyFont="1" applyFill="1" applyBorder="1" applyAlignment="1">
      <alignment horizontal="center"/>
    </xf>
    <xf numFmtId="0" fontId="47" fillId="19" borderId="0" xfId="4" applyFont="1" applyFill="1" applyAlignment="1">
      <alignment horizontal="right" vertical="center"/>
    </xf>
    <xf numFmtId="0" fontId="47" fillId="19" borderId="0" xfId="4" applyFont="1" applyFill="1" applyAlignment="1">
      <alignment horizontal="center" vertical="center"/>
    </xf>
    <xf numFmtId="0" fontId="41" fillId="25" borderId="19" xfId="4" applyFont="1" applyFill="1" applyBorder="1" applyAlignment="1">
      <alignment horizontal="center"/>
    </xf>
    <xf numFmtId="0" fontId="4" fillId="24" borderId="5" xfId="4" applyFill="1" applyBorder="1" applyAlignment="1">
      <alignment horizontal="center"/>
    </xf>
    <xf numFmtId="164" fontId="40" fillId="4" borderId="4" xfId="4" applyNumberFormat="1" applyFont="1" applyFill="1" applyBorder="1" applyAlignment="1">
      <alignment horizontal="center"/>
    </xf>
    <xf numFmtId="0" fontId="19" fillId="0" borderId="0" xfId="0" applyFont="1" applyAlignment="1">
      <alignment horizontal="right" vertical="center"/>
    </xf>
    <xf numFmtId="0" fontId="38" fillId="21" borderId="0" xfId="4" applyFont="1" applyFill="1" applyAlignment="1">
      <alignment horizontal="center"/>
    </xf>
    <xf numFmtId="0" fontId="22" fillId="8" borderId="0" xfId="4" applyFont="1" applyFill="1" applyAlignment="1">
      <alignment horizontal="center"/>
    </xf>
    <xf numFmtId="0" fontId="40" fillId="4" borderId="0" xfId="4" applyFont="1" applyFill="1" applyAlignment="1">
      <alignment horizontal="center"/>
    </xf>
    <xf numFmtId="0" fontId="23" fillId="26" borderId="9" xfId="4" applyFont="1" applyFill="1" applyBorder="1" applyAlignment="1">
      <alignment horizontal="center" vertical="center" wrapText="1"/>
    </xf>
    <xf numFmtId="0" fontId="24" fillId="26" borderId="9" xfId="4" applyFont="1" applyFill="1" applyBorder="1" applyAlignment="1">
      <alignment horizontal="center" vertical="center" wrapText="1"/>
    </xf>
    <xf numFmtId="0" fontId="25" fillId="26" borderId="9" xfId="4" applyFont="1" applyFill="1" applyBorder="1" applyAlignment="1">
      <alignment horizontal="center" vertical="center" wrapText="1"/>
    </xf>
    <xf numFmtId="0" fontId="50" fillId="27" borderId="9" xfId="4" applyFont="1" applyFill="1" applyBorder="1" applyAlignment="1">
      <alignment horizontal="center" vertical="center" wrapText="1"/>
    </xf>
    <xf numFmtId="0" fontId="50" fillId="27" borderId="10" xfId="4" applyFont="1" applyFill="1" applyBorder="1" applyAlignment="1">
      <alignment horizontal="center" vertical="center" wrapText="1"/>
    </xf>
    <xf numFmtId="0" fontId="30" fillId="4" borderId="0" xfId="4" applyFont="1" applyFill="1" applyAlignment="1">
      <alignment horizontal="center"/>
    </xf>
    <xf numFmtId="164" fontId="39" fillId="4" borderId="0" xfId="4" applyNumberFormat="1" applyFont="1" applyFill="1" applyAlignment="1">
      <alignment horizontal="center"/>
    </xf>
    <xf numFmtId="0" fontId="35" fillId="7" borderId="7" xfId="4" applyFont="1" applyFill="1" applyBorder="1" applyAlignment="1">
      <alignment horizontal="center" vertical="center" wrapText="1"/>
    </xf>
    <xf numFmtId="0" fontId="35" fillId="7" borderId="8" xfId="4" applyFont="1" applyFill="1" applyBorder="1" applyAlignment="1">
      <alignment horizontal="center" vertical="center" wrapText="1"/>
    </xf>
    <xf numFmtId="0" fontId="35" fillId="5" borderId="7" xfId="4" applyFont="1" applyFill="1" applyBorder="1" applyAlignment="1">
      <alignment horizontal="center" vertical="center" wrapText="1"/>
    </xf>
    <xf numFmtId="0" fontId="35" fillId="5" borderId="8" xfId="4" applyFont="1" applyFill="1" applyBorder="1" applyAlignment="1">
      <alignment horizontal="center" vertical="center" wrapText="1"/>
    </xf>
    <xf numFmtId="0" fontId="35" fillId="20" borderId="7" xfId="4" applyFont="1" applyFill="1" applyBorder="1" applyAlignment="1">
      <alignment horizontal="center" vertical="center" wrapText="1"/>
    </xf>
    <xf numFmtId="0" fontId="35" fillId="20" borderId="8" xfId="4" applyFont="1" applyFill="1" applyBorder="1" applyAlignment="1">
      <alignment horizontal="center" vertical="center" wrapText="1"/>
    </xf>
    <xf numFmtId="0" fontId="35" fillId="12" borderId="7" xfId="4" applyFont="1" applyFill="1" applyBorder="1" applyAlignment="1">
      <alignment horizontal="center" vertical="center" wrapText="1"/>
    </xf>
    <xf numFmtId="0" fontId="35" fillId="12" borderId="8" xfId="4" applyFont="1" applyFill="1" applyBorder="1" applyAlignment="1">
      <alignment horizontal="center" vertical="center" wrapText="1"/>
    </xf>
    <xf numFmtId="0" fontId="35" fillId="24" borderId="7" xfId="4" applyFont="1" applyFill="1" applyBorder="1" applyAlignment="1">
      <alignment horizontal="center" vertical="center" wrapText="1"/>
    </xf>
    <xf numFmtId="0" fontId="35" fillId="24" borderId="8" xfId="4" applyFont="1" applyFill="1" applyBorder="1" applyAlignment="1">
      <alignment horizontal="center" vertical="center" wrapText="1"/>
    </xf>
    <xf numFmtId="0" fontId="35" fillId="6" borderId="7" xfId="4" applyFont="1" applyFill="1" applyBorder="1" applyAlignment="1">
      <alignment horizontal="center" vertical="center" wrapText="1"/>
    </xf>
    <xf numFmtId="0" fontId="35" fillId="6" borderId="8" xfId="4" applyFont="1" applyFill="1" applyBorder="1" applyAlignment="1">
      <alignment horizontal="center" vertical="center" wrapText="1"/>
    </xf>
    <xf numFmtId="0" fontId="35" fillId="15" borderId="7" xfId="4" applyFont="1" applyFill="1" applyBorder="1" applyAlignment="1">
      <alignment horizontal="center" vertical="center" wrapText="1"/>
    </xf>
    <xf numFmtId="0" fontId="35" fillId="15" borderId="8" xfId="4" applyFont="1" applyFill="1" applyBorder="1" applyAlignment="1">
      <alignment horizontal="center" vertical="center" wrapText="1"/>
    </xf>
    <xf numFmtId="165" fontId="7" fillId="4" borderId="0" xfId="3" applyNumberFormat="1" applyFill="1"/>
    <xf numFmtId="165" fontId="7" fillId="4" borderId="0" xfId="3" applyNumberFormat="1" applyFill="1" applyAlignment="1">
      <alignment horizontal="right"/>
    </xf>
    <xf numFmtId="164" fontId="22" fillId="4" borderId="21" xfId="4" applyNumberFormat="1" applyFont="1" applyFill="1" applyBorder="1" applyAlignment="1">
      <alignment horizontal="center"/>
    </xf>
    <xf numFmtId="164" fontId="26" fillId="0" borderId="21" xfId="5" applyNumberFormat="1" applyFont="1" applyBorder="1" applyAlignment="1">
      <alignment horizontal="right"/>
    </xf>
    <xf numFmtId="1" fontId="7" fillId="4" borderId="0" xfId="3" applyNumberFormat="1" applyFill="1"/>
    <xf numFmtId="164" fontId="7" fillId="6" borderId="0" xfId="3" applyNumberFormat="1" applyFill="1" applyAlignment="1">
      <alignment horizontal="left"/>
    </xf>
    <xf numFmtId="164" fontId="26" fillId="0" borderId="21" xfId="4" applyNumberFormat="1" applyFont="1" applyBorder="1" applyAlignment="1">
      <alignment horizontal="right"/>
    </xf>
    <xf numFmtId="164" fontId="26" fillId="0" borderId="12" xfId="4" applyNumberFormat="1" applyFont="1" applyBorder="1" applyAlignment="1">
      <alignment horizontal="right"/>
    </xf>
    <xf numFmtId="164" fontId="27" fillId="0" borderId="11" xfId="4" applyNumberFormat="1" applyFont="1" applyBorder="1" applyAlignment="1">
      <alignment horizontal="right"/>
    </xf>
    <xf numFmtId="164" fontId="27" fillId="0" borderId="13" xfId="4" applyNumberFormat="1" applyFont="1" applyBorder="1" applyAlignment="1">
      <alignment horizontal="right"/>
    </xf>
    <xf numFmtId="0" fontId="52" fillId="4" borderId="0" xfId="4" applyFont="1" applyFill="1"/>
    <xf numFmtId="166" fontId="7" fillId="4" borderId="0" xfId="3" applyNumberFormat="1" applyFill="1"/>
    <xf numFmtId="164" fontId="22" fillId="4" borderId="15" xfId="4" applyNumberFormat="1" applyFont="1" applyFill="1" applyBorder="1" applyAlignment="1">
      <alignment horizontal="center"/>
    </xf>
    <xf numFmtId="3" fontId="22" fillId="4" borderId="15" xfId="4" applyNumberFormat="1" applyFont="1" applyFill="1" applyBorder="1" applyAlignment="1">
      <alignment horizontal="center"/>
    </xf>
    <xf numFmtId="164" fontId="22" fillId="4" borderId="22" xfId="4" applyNumberFormat="1" applyFont="1" applyFill="1" applyBorder="1" applyAlignment="1">
      <alignment horizontal="center"/>
    </xf>
    <xf numFmtId="164" fontId="26" fillId="0" borderId="3" xfId="4" applyNumberFormat="1" applyFont="1" applyBorder="1" applyAlignment="1">
      <alignment horizontal="right"/>
    </xf>
    <xf numFmtId="0" fontId="53" fillId="0" borderId="0" xfId="0" applyFont="1"/>
    <xf numFmtId="0" fontId="7" fillId="6" borderId="0" xfId="3" applyFill="1"/>
    <xf numFmtId="164" fontId="7" fillId="4" borderId="0" xfId="3" applyNumberFormat="1" applyFill="1"/>
    <xf numFmtId="0" fontId="17" fillId="10" borderId="0" xfId="3" applyFont="1" applyFill="1" applyAlignment="1">
      <alignment horizontal="left" vertical="center"/>
    </xf>
    <xf numFmtId="0" fontId="10" fillId="10" borderId="0" xfId="3" applyFont="1" applyFill="1" applyAlignment="1">
      <alignment horizontal="left" vertical="center"/>
    </xf>
    <xf numFmtId="0" fontId="10" fillId="10" borderId="0" xfId="3" applyFont="1" applyFill="1" applyAlignment="1">
      <alignment vertical="center"/>
    </xf>
    <xf numFmtId="0" fontId="54" fillId="3" borderId="0" xfId="2" applyFont="1" applyBorder="1" applyAlignment="1">
      <alignment horizontal="center" vertical="center" wrapText="1"/>
    </xf>
    <xf numFmtId="0" fontId="33" fillId="0" borderId="11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3" fontId="22" fillId="4" borderId="14" xfId="4" applyNumberFormat="1" applyFont="1" applyFill="1" applyBorder="1" applyAlignment="1">
      <alignment horizontal="center"/>
    </xf>
    <xf numFmtId="0" fontId="22" fillId="4" borderId="21" xfId="4" applyFont="1" applyFill="1" applyBorder="1" applyAlignment="1">
      <alignment horizontal="center"/>
    </xf>
    <xf numFmtId="3" fontId="22" fillId="4" borderId="21" xfId="4" applyNumberFormat="1" applyFont="1" applyFill="1" applyBorder="1" applyAlignment="1">
      <alignment horizontal="center"/>
    </xf>
    <xf numFmtId="0" fontId="7" fillId="4" borderId="0" xfId="3" applyFill="1" applyAlignment="1">
      <alignment horizontal="center"/>
    </xf>
    <xf numFmtId="0" fontId="56" fillId="28" borderId="0" xfId="6" applyFont="1" applyBorder="1" applyAlignment="1">
      <alignment horizontal="center" vertical="center" wrapText="1"/>
    </xf>
    <xf numFmtId="0" fontId="57" fillId="29" borderId="9" xfId="4" applyFont="1" applyFill="1" applyBorder="1" applyAlignment="1">
      <alignment horizontal="center" vertical="center" wrapText="1"/>
    </xf>
    <xf numFmtId="49" fontId="7" fillId="4" borderId="0" xfId="3" applyNumberFormat="1" applyFill="1" applyAlignment="1">
      <alignment horizontal="left"/>
    </xf>
    <xf numFmtId="164" fontId="22" fillId="4" borderId="0" xfId="4" applyNumberFormat="1" applyFont="1" applyFill="1" applyAlignment="1">
      <alignment horizontal="center"/>
    </xf>
    <xf numFmtId="0" fontId="33" fillId="0" borderId="21" xfId="4" applyFont="1" applyBorder="1" applyAlignment="1">
      <alignment horizontal="left"/>
    </xf>
    <xf numFmtId="0" fontId="58" fillId="30" borderId="0" xfId="3" applyFont="1" applyFill="1"/>
    <xf numFmtId="0" fontId="7" fillId="30" borderId="0" xfId="3" applyFill="1"/>
    <xf numFmtId="1" fontId="60" fillId="4" borderId="0" xfId="7" applyNumberFormat="1" applyFill="1" applyAlignment="1">
      <alignment horizontal="left"/>
    </xf>
    <xf numFmtId="0" fontId="10" fillId="10" borderId="0" xfId="3" applyFont="1" applyFill="1" applyAlignment="1">
      <alignment horizontal="right" vertical="center"/>
    </xf>
    <xf numFmtId="1" fontId="7" fillId="4" borderId="0" xfId="3" applyNumberFormat="1" applyFill="1" applyAlignment="1">
      <alignment horizontal="right"/>
    </xf>
    <xf numFmtId="0" fontId="7" fillId="4" borderId="0" xfId="3" applyFill="1" applyAlignment="1">
      <alignment horizontal="right"/>
    </xf>
    <xf numFmtId="49" fontId="7" fillId="4" borderId="0" xfId="3" applyNumberFormat="1" applyFill="1" applyAlignment="1">
      <alignment horizontal="right"/>
    </xf>
    <xf numFmtId="0" fontId="0" fillId="0" borderId="0" xfId="0" applyAlignment="1">
      <alignment horizontal="right"/>
    </xf>
    <xf numFmtId="0" fontId="58" fillId="4" borderId="0" xfId="3" applyFont="1" applyFill="1"/>
    <xf numFmtId="0" fontId="58" fillId="4" borderId="0" xfId="3" applyFont="1" applyFill="1" applyAlignment="1">
      <alignment horizontal="left"/>
    </xf>
    <xf numFmtId="0" fontId="58" fillId="4" borderId="0" xfId="3" applyFont="1" applyFill="1" applyAlignment="1">
      <alignment horizontal="right"/>
    </xf>
    <xf numFmtId="1" fontId="58" fillId="4" borderId="0" xfId="3" applyNumberFormat="1" applyFont="1" applyFill="1" applyAlignment="1">
      <alignment horizontal="left"/>
    </xf>
    <xf numFmtId="164" fontId="58" fillId="4" borderId="0" xfId="3" applyNumberFormat="1" applyFont="1" applyFill="1" applyAlignment="1">
      <alignment horizontal="center"/>
    </xf>
    <xf numFmtId="49" fontId="58" fillId="4" borderId="0" xfId="3" applyNumberFormat="1" applyFont="1" applyFill="1"/>
    <xf numFmtId="0" fontId="0" fillId="0" borderId="0" xfId="0" applyFont="1"/>
    <xf numFmtId="0" fontId="0" fillId="4" borderId="0" xfId="0" applyFont="1" applyFill="1"/>
    <xf numFmtId="0" fontId="7" fillId="4" borderId="0" xfId="3" applyFill="1" applyAlignment="1">
      <alignment horizontal="center"/>
    </xf>
    <xf numFmtId="0" fontId="7" fillId="4" borderId="0" xfId="3" applyFill="1" applyAlignment="1">
      <alignment horizontal="center"/>
    </xf>
    <xf numFmtId="0" fontId="45" fillId="4" borderId="0" xfId="4" applyFont="1" applyFill="1" applyAlignment="1">
      <alignment horizontal="left" vertical="center"/>
    </xf>
    <xf numFmtId="0" fontId="36" fillId="15" borderId="6" xfId="4" applyFont="1" applyFill="1" applyBorder="1" applyAlignment="1">
      <alignment horizontal="center" vertical="center"/>
    </xf>
    <xf numFmtId="0" fontId="36" fillId="7" borderId="6" xfId="4" applyFont="1" applyFill="1" applyBorder="1" applyAlignment="1">
      <alignment horizontal="center" vertical="center" wrapText="1"/>
    </xf>
    <xf numFmtId="0" fontId="36" fillId="7" borderId="20" xfId="4" applyFont="1" applyFill="1" applyBorder="1" applyAlignment="1">
      <alignment horizontal="center" vertical="center" wrapText="1"/>
    </xf>
    <xf numFmtId="0" fontId="51" fillId="4" borderId="0" xfId="4" applyFont="1" applyFill="1" applyAlignment="1">
      <alignment horizontal="center"/>
    </xf>
    <xf numFmtId="0" fontId="36" fillId="5" borderId="6" xfId="4" applyFont="1" applyFill="1" applyBorder="1" applyAlignment="1">
      <alignment horizontal="center" vertical="center"/>
    </xf>
    <xf numFmtId="0" fontId="36" fillId="20" borderId="6" xfId="4" applyFont="1" applyFill="1" applyBorder="1" applyAlignment="1">
      <alignment horizontal="center" vertical="center"/>
    </xf>
    <xf numFmtId="0" fontId="36" fillId="12" borderId="6" xfId="4" applyFont="1" applyFill="1" applyBorder="1" applyAlignment="1">
      <alignment horizontal="center" vertical="center" wrapText="1"/>
    </xf>
    <xf numFmtId="0" fontId="36" fillId="24" borderId="6" xfId="4" applyFont="1" applyFill="1" applyBorder="1" applyAlignment="1">
      <alignment horizontal="center" vertical="center" wrapText="1"/>
    </xf>
    <xf numFmtId="0" fontId="36" fillId="6" borderId="6" xfId="4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48" fillId="4" borderId="0" xfId="4" applyFont="1" applyFill="1" applyAlignment="1">
      <alignment horizontal="center" vertical="center"/>
    </xf>
    <xf numFmtId="0" fontId="40" fillId="21" borderId="14" xfId="4" applyFont="1" applyFill="1" applyBorder="1" applyAlignment="1">
      <alignment horizontal="center"/>
    </xf>
    <xf numFmtId="0" fontId="55" fillId="5" borderId="18" xfId="4" applyFont="1" applyFill="1" applyBorder="1" applyAlignment="1" applyProtection="1">
      <alignment horizontal="center"/>
      <protection hidden="1"/>
    </xf>
    <xf numFmtId="0" fontId="55" fillId="5" borderId="0" xfId="4" applyFont="1" applyFill="1" applyAlignment="1" applyProtection="1">
      <alignment horizontal="center"/>
      <protection hidden="1"/>
    </xf>
    <xf numFmtId="0" fontId="7" fillId="4" borderId="0" xfId="3" applyFill="1" applyAlignment="1">
      <alignment horizontal="center" vertical="center"/>
    </xf>
    <xf numFmtId="0" fontId="7" fillId="4" borderId="0" xfId="3" applyFill="1" applyAlignment="1">
      <alignment horizontal="center"/>
    </xf>
    <xf numFmtId="0" fontId="12" fillId="8" borderId="0" xfId="3" applyFont="1" applyFill="1" applyAlignment="1">
      <alignment horizontal="center"/>
    </xf>
    <xf numFmtId="0" fontId="60" fillId="4" borderId="0" xfId="7" applyFill="1"/>
    <xf numFmtId="0" fontId="60" fillId="4" borderId="0" xfId="7" applyFill="1" applyAlignment="1">
      <alignment horizontal="left"/>
    </xf>
  </cellXfs>
  <cellStyles count="8">
    <cellStyle name="20% - Énfasis6 2" xfId="6" xr:uid="{0C34EADC-D147-45E1-A695-BF546B81DCD8}"/>
    <cellStyle name="Celda de comprobación" xfId="2" builtinId="23"/>
    <cellStyle name="Hipervínculo" xfId="7" builtinId="8"/>
    <cellStyle name="Neutral" xfId="1" builtinId="28"/>
    <cellStyle name="Normal" xfId="0" builtinId="0"/>
    <cellStyle name="Normal 2" xfId="3" xr:uid="{A58FF782-1C81-47A9-938A-AF560EEE3662}"/>
    <cellStyle name="Normal 3" xfId="4" xr:uid="{3267825F-23EB-4266-9502-D21803C62868}"/>
    <cellStyle name="Normal 3 2" xfId="5" xr:uid="{5B457A1D-C3DE-4484-8FDA-CE414A4DCC1D}"/>
  </cellStyles>
  <dxfs count="29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rgb="FF00FF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2" tint="-4.9989318521683403E-2"/>
      </font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ont>
        <color theme="2" tint="-4.9989318521683403E-2"/>
      </font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ont>
        <color theme="2" tint="-4.9989318521683403E-2"/>
      </font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2" tint="-4.9989318521683403E-2"/>
      </font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2" tint="-4.9989318521683403E-2"/>
      </font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72FAF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theme="6" tint="0.59999389629810485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</dxfs>
  <tableStyles count="0" defaultTableStyle="TableStyleMedium2" defaultPivotStyle="PivotStyleLight16"/>
  <colors>
    <mruColors>
      <color rgb="FFDFDBF9"/>
      <color rgb="FF72F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500063</xdr:colOff>
      <xdr:row>0</xdr:row>
      <xdr:rowOff>1</xdr:rowOff>
    </xdr:from>
    <xdr:to>
      <xdr:col>2</xdr:col>
      <xdr:colOff>568327</xdr:colOff>
      <xdr:row>16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2CAB5F-7BF1-45AD-B571-8FB631C42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571626" y="1"/>
          <a:ext cx="3640139" cy="3643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1125682</xdr:colOff>
      <xdr:row>3</xdr:row>
      <xdr:rowOff>17317</xdr:rowOff>
    </xdr:from>
    <xdr:to>
      <xdr:col>10</xdr:col>
      <xdr:colOff>190501</xdr:colOff>
      <xdr:row>26</xdr:row>
      <xdr:rowOff>1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CBF3EB24-38B4-44C3-AC4E-71E901D9C748}"/>
            </a:ext>
          </a:extLst>
        </xdr:cNvPr>
        <xdr:cNvSpPr/>
      </xdr:nvSpPr>
      <xdr:spPr>
        <a:xfrm>
          <a:off x="3411682" y="484908"/>
          <a:ext cx="9334501" cy="6667502"/>
        </a:xfrm>
        <a:prstGeom prst="roundRect">
          <a:avLst>
            <a:gd name="adj" fmla="val 5556"/>
          </a:avLst>
        </a:prstGeom>
        <a:noFill/>
        <a:effectLst>
          <a:glow>
            <a:schemeClr val="accent1"/>
          </a:glow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8</xdr:col>
      <xdr:colOff>277092</xdr:colOff>
      <xdr:row>3</xdr:row>
      <xdr:rowOff>95194</xdr:rowOff>
    </xdr:from>
    <xdr:to>
      <xdr:col>8</xdr:col>
      <xdr:colOff>2424546</xdr:colOff>
      <xdr:row>9</xdr:row>
      <xdr:rowOff>103909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695A1F7-6B28-4A8A-A5E4-A6DF1AE82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945092" y="562785"/>
          <a:ext cx="2147454" cy="21561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755650</xdr:colOff>
      <xdr:row>1</xdr:row>
      <xdr:rowOff>339725</xdr:rowOff>
    </xdr:from>
    <xdr:to>
      <xdr:col>3</xdr:col>
      <xdr:colOff>996950</xdr:colOff>
      <xdr:row>3</xdr:row>
      <xdr:rowOff>63500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B2E8384-2D9D-4838-A320-50A57BD29D98}"/>
            </a:ext>
          </a:extLst>
        </xdr:cNvPr>
        <xdr:cNvSpPr/>
      </xdr:nvSpPr>
      <xdr:spPr>
        <a:xfrm>
          <a:off x="2279650" y="504825"/>
          <a:ext cx="1003300" cy="403225"/>
        </a:xfrm>
        <a:prstGeom prst="rightArrow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O" sz="1100"/>
            <a:t>TRM</a:t>
          </a:r>
          <a:r>
            <a:rPr lang="es-CO" sz="1100" baseline="0"/>
            <a:t> AQUÍ</a:t>
          </a:r>
          <a:endParaRPr lang="es-CO" sz="1100"/>
        </a:p>
      </xdr:txBody>
    </xdr:sp>
    <xdr:clientData/>
  </xdr:twoCellAnchor>
  <xdr:twoCellAnchor editAs="oneCell">
    <xdr:from>
      <xdr:col>1</xdr:col>
      <xdr:colOff>203201</xdr:colOff>
      <xdr:row>1</xdr:row>
      <xdr:rowOff>1</xdr:rowOff>
    </xdr:from>
    <xdr:to>
      <xdr:col>2</xdr:col>
      <xdr:colOff>476251</xdr:colOff>
      <xdr:row>5</xdr:row>
      <xdr:rowOff>40133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81C97D-9004-4116-BBBA-59F173646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965201" y="165101"/>
          <a:ext cx="1035050" cy="104978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9B5F03-0682-406B-8ADF-38315312E67D}" name="Tabla3" displayName="Tabla3" ref="A19:T58" totalsRowShown="0">
  <autoFilter ref="A19:T58" xr:uid="{189B5F03-0682-406B-8ADF-38315312E67D}"/>
  <sortState xmlns:xlrd2="http://schemas.microsoft.com/office/spreadsheetml/2017/richdata2" ref="A20:T50">
    <sortCondition ref="C50"/>
  </sortState>
  <tableColumns count="20">
    <tableColumn id="1" xr3:uid="{24928231-2D11-450F-A164-9DCC0B4F2FA4}" name="LISTA" dataDxfId="2960" dataCellStyle="Normal 3">
      <calculatedColumnFormula>(A19+1)</calculatedColumnFormula>
    </tableColumn>
    <tableColumn id="2" xr3:uid="{26996E8E-494E-49B5-8DA5-60DDB5FAB7C0}" name="CC-ID-DNI" dataDxfId="2959" dataCellStyle="Normal 3"/>
    <tableColumn id="21" xr3:uid="{940FA4C9-8C82-45D9-8FE5-780FB0A652A6}" name="NOMBRE" dataDxfId="2958" dataCellStyle="Normal 3"/>
    <tableColumn id="4" xr3:uid="{1FD2DB22-FDB6-41E3-BC33-776BA57625FB}" name="CANT" dataDxfId="2957" dataCellStyle="Normal 3"/>
    <tableColumn id="5" xr3:uid="{87BD2DDF-3751-41C6-BDDB-7A5ABB14FFD1}" name="MONTO" dataDxfId="2956" dataCellStyle="Normal 3">
      <calculatedColumnFormula>(Tabla3[[#This Row],[CANT]]*5000000)</calculatedColumnFormula>
    </tableColumn>
    <tableColumn id="6" xr3:uid="{164D5526-0F4D-46C0-AF53-4865FA82E041}" name="CANT2" dataDxfId="2955" dataCellStyle="Normal 3"/>
    <tableColumn id="7" xr3:uid="{27356B0F-A0CC-47B8-AC1D-43DA285AFD9C}" name="MONTO2" dataDxfId="2954" dataCellStyle="Normal 3">
      <calculatedColumnFormula>(Tabla3[[#This Row],[CANT2]]*10000000)</calculatedColumnFormula>
    </tableColumn>
    <tableColumn id="8" xr3:uid="{E7312A44-1FA2-4BA4-9AE0-D0D6ED06925F}" name="CANT3" dataDxfId="2953" dataCellStyle="Normal 3"/>
    <tableColumn id="9" xr3:uid="{C09806EE-B718-4A53-8362-DA4B910374D0}" name="MONTO3" dataDxfId="2952" dataCellStyle="Normal 3">
      <calculatedColumnFormula>(Tabla3[[#This Row],[CANT3]]*7500000)</calculatedColumnFormula>
    </tableColumn>
    <tableColumn id="10" xr3:uid="{1F1E94B6-2632-46FD-A511-095BB8BE3DCC}" name="CANT4" dataDxfId="2951" dataCellStyle="Normal 3"/>
    <tableColumn id="11" xr3:uid="{43AB87BB-D6EB-44DD-8CF3-A356C2F817F9}" name="MONTO4" dataDxfId="2950" dataCellStyle="Normal 3">
      <calculatedColumnFormula>(Tabla3[[#This Row],[CANT4]]*500000)</calculatedColumnFormula>
    </tableColumn>
    <tableColumn id="12" xr3:uid="{B3C9F811-47C5-4575-9EAF-86CD80CEEAA6}" name="CANT5" dataDxfId="2949" dataCellStyle="Normal 3"/>
    <tableColumn id="13" xr3:uid="{73E4C2C2-9F23-45C0-BF58-91227225B16E}" name="MONTO5" dataDxfId="2948" dataCellStyle="Normal 3"/>
    <tableColumn id="14" xr3:uid="{506BF3C4-0A4C-4E2A-984C-234B8C3F2CBB}" name="CANT6" dataDxfId="2947" dataCellStyle="Normal 3"/>
    <tableColumn id="15" xr3:uid="{F8FC4239-491A-4090-928B-EF9DD52F1107}" name="MONTO6" dataDxfId="2946" dataCellStyle="Normal 3">
      <calculatedColumnFormula>(Tabla3[[#This Row],[CANT6]]*50000000)</calculatedColumnFormula>
    </tableColumn>
    <tableColumn id="16" xr3:uid="{5D647CD4-805D-4017-96EB-8B074DE69F6B}" name="CANT7" dataDxfId="2945" dataCellStyle="Normal 3"/>
    <tableColumn id="17" xr3:uid="{6F019255-6203-4441-941C-53DA87F606CC}" name="MONTO7" dataDxfId="2944" dataCellStyle="Normal 3"/>
    <tableColumn id="18" xr3:uid="{370850A5-8634-4FA6-A75E-BD9FA7347480}" name="USD" dataDxfId="2943" dataCellStyle="Normal 3">
      <calculatedColumnFormula>(E20+G20+I20+K20+M20+O20+Q20)</calculatedColumnFormula>
    </tableColumn>
    <tableColumn id="19" xr3:uid="{48A6BD56-5370-47EB-9C51-7ACFF538DD6C}" name="TOTAL -10%" dataDxfId="2942" dataCellStyle="Normal 3">
      <calculatedColumnFormula>R20-(R20*10%)</calculatedColumnFormula>
    </tableColumn>
    <tableColumn id="20" xr3:uid="{A8971EC0-711A-45DC-8FF1-2D0C44FDF9BF}" name="1% PAGO INICIAL" dataDxfId="2941" dataCellStyle="Normal 3">
      <calculatedColumnFormula>(S20*1%)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risdelahayesarroyo@gmail.com" TargetMode="External"/><Relationship Id="rId13" Type="http://schemas.openxmlformats.org/officeDocument/2006/relationships/hyperlink" Target="mailto:angelarioszapata11@gmail.com" TargetMode="External"/><Relationship Id="rId18" Type="http://schemas.openxmlformats.org/officeDocument/2006/relationships/hyperlink" Target="mailto:jennifertorralba11@gmail.com" TargetMode="External"/><Relationship Id="rId26" Type="http://schemas.openxmlformats.org/officeDocument/2006/relationships/hyperlink" Target="mailto:jennifertorralba11@gmail.com" TargetMode="External"/><Relationship Id="rId3" Type="http://schemas.openxmlformats.org/officeDocument/2006/relationships/hyperlink" Target="mailto:flor_corredor@hotmail.com" TargetMode="External"/><Relationship Id="rId21" Type="http://schemas.openxmlformats.org/officeDocument/2006/relationships/hyperlink" Target="mailto:jennifertorralba11@gmail.com" TargetMode="External"/><Relationship Id="rId7" Type="http://schemas.openxmlformats.org/officeDocument/2006/relationships/hyperlink" Target="mailto:negritaytein@gmail.com" TargetMode="External"/><Relationship Id="rId12" Type="http://schemas.openxmlformats.org/officeDocument/2006/relationships/hyperlink" Target="mailto:angelarioszapata11@gmail.com" TargetMode="External"/><Relationship Id="rId17" Type="http://schemas.openxmlformats.org/officeDocument/2006/relationships/hyperlink" Target="mailto:henryamado55@gmail.com" TargetMode="External"/><Relationship Id="rId25" Type="http://schemas.openxmlformats.org/officeDocument/2006/relationships/hyperlink" Target="mailto:jennifertorralba11@gmail.com" TargetMode="External"/><Relationship Id="rId2" Type="http://schemas.openxmlformats.org/officeDocument/2006/relationships/hyperlink" Target="mailto:flor_corredor@hotmail.com" TargetMode="External"/><Relationship Id="rId16" Type="http://schemas.openxmlformats.org/officeDocument/2006/relationships/hyperlink" Target="mailto:henryamado55@gmail.com" TargetMode="External"/><Relationship Id="rId20" Type="http://schemas.openxmlformats.org/officeDocument/2006/relationships/hyperlink" Target="mailto:jennifertorralba11@gmail.com" TargetMode="External"/><Relationship Id="rId29" Type="http://schemas.openxmlformats.org/officeDocument/2006/relationships/hyperlink" Target="mailto:edilco@hotmail.com" TargetMode="External"/><Relationship Id="rId1" Type="http://schemas.openxmlformats.org/officeDocument/2006/relationships/hyperlink" Target="mailto:flor_corredor@hotmail.com" TargetMode="External"/><Relationship Id="rId6" Type="http://schemas.openxmlformats.org/officeDocument/2006/relationships/hyperlink" Target="mailto:mauricioavilarr716@gmail.com" TargetMode="External"/><Relationship Id="rId11" Type="http://schemas.openxmlformats.org/officeDocument/2006/relationships/hyperlink" Target="mailto:angelarioszapata11@gmail.com" TargetMode="External"/><Relationship Id="rId24" Type="http://schemas.openxmlformats.org/officeDocument/2006/relationships/hyperlink" Target="mailto:jennifertorralba11@gmail.com" TargetMode="External"/><Relationship Id="rId5" Type="http://schemas.openxmlformats.org/officeDocument/2006/relationships/hyperlink" Target="mailto:flor_corredor@hotmail.com" TargetMode="External"/><Relationship Id="rId15" Type="http://schemas.openxmlformats.org/officeDocument/2006/relationships/hyperlink" Target="mailto:angelarioszapata11@gmail.com" TargetMode="External"/><Relationship Id="rId23" Type="http://schemas.openxmlformats.org/officeDocument/2006/relationships/hyperlink" Target="mailto:jennifertorralba11@gmail.com" TargetMode="External"/><Relationship Id="rId28" Type="http://schemas.openxmlformats.org/officeDocument/2006/relationships/hyperlink" Target="mailto:edilco@hotmail.com" TargetMode="External"/><Relationship Id="rId10" Type="http://schemas.openxmlformats.org/officeDocument/2006/relationships/hyperlink" Target="mailto:carlosmogollon1979@gmail.com" TargetMode="External"/><Relationship Id="rId19" Type="http://schemas.openxmlformats.org/officeDocument/2006/relationships/hyperlink" Target="mailto:jennifertorralba11@gmail.com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flor_corredor@hotmail.com" TargetMode="External"/><Relationship Id="rId9" Type="http://schemas.openxmlformats.org/officeDocument/2006/relationships/hyperlink" Target="mailto:borisdelahayesarroyo@gmail.com" TargetMode="External"/><Relationship Id="rId14" Type="http://schemas.openxmlformats.org/officeDocument/2006/relationships/hyperlink" Target="mailto:angelarioszapata11@gmail.com" TargetMode="External"/><Relationship Id="rId22" Type="http://schemas.openxmlformats.org/officeDocument/2006/relationships/hyperlink" Target="mailto:jennifertorralba11@gmail.com" TargetMode="External"/><Relationship Id="rId27" Type="http://schemas.openxmlformats.org/officeDocument/2006/relationships/hyperlink" Target="mailto:edilco@hotmail.com" TargetMode="External"/><Relationship Id="rId30" Type="http://schemas.openxmlformats.org/officeDocument/2006/relationships/hyperlink" Target="mailto:susanveronicad@yahoo.e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9A06-041E-4BD8-B15E-F417C7709518}">
  <sheetPr codeName="Hoja1"/>
  <dimension ref="A1:T180"/>
  <sheetViews>
    <sheetView showGridLines="0" tabSelected="1" zoomScale="70" zoomScaleNormal="70" workbookViewId="0">
      <pane ySplit="1" topLeftCell="A135" activePane="bottomLeft" state="frozen"/>
      <selection pane="bottomLeft" activeCell="J163" sqref="J163"/>
    </sheetView>
  </sheetViews>
  <sheetFormatPr baseColWidth="10" defaultRowHeight="12.75" x14ac:dyDescent="0.2"/>
  <cols>
    <col min="2" max="2" width="41.42578125" customWidth="1"/>
    <col min="3" max="3" width="15.5703125" customWidth="1"/>
    <col min="4" max="4" width="14.42578125" customWidth="1"/>
    <col min="5" max="5" width="19.42578125" customWidth="1"/>
    <col min="6" max="6" width="22.28515625" customWidth="1"/>
    <col min="7" max="7" width="17.140625" customWidth="1"/>
    <col min="8" max="8" width="15.7109375" customWidth="1"/>
    <col min="9" max="9" width="14.140625" style="138" customWidth="1"/>
    <col min="10" max="10" width="24.42578125" customWidth="1"/>
    <col min="11" max="11" width="16.5703125" customWidth="1"/>
    <col min="12" max="12" width="13.85546875" customWidth="1"/>
    <col min="15" max="15" width="21.85546875" customWidth="1"/>
    <col min="17" max="17" width="27.28515625" customWidth="1"/>
    <col min="18" max="18" width="13.85546875" customWidth="1"/>
    <col min="19" max="19" width="21.140625" customWidth="1"/>
    <col min="20" max="20" width="43" customWidth="1"/>
  </cols>
  <sheetData>
    <row r="1" spans="1:20" s="4" customFormat="1" ht="56.25" x14ac:dyDescent="0.2">
      <c r="A1" s="116" t="s">
        <v>20</v>
      </c>
      <c r="B1" s="116" t="s">
        <v>19</v>
      </c>
      <c r="C1" s="117" t="s">
        <v>298</v>
      </c>
      <c r="D1" s="117" t="s">
        <v>164</v>
      </c>
      <c r="E1" s="117" t="s">
        <v>299</v>
      </c>
      <c r="F1" s="117" t="s">
        <v>300</v>
      </c>
      <c r="G1" s="117" t="s">
        <v>165</v>
      </c>
      <c r="H1" s="118" t="s">
        <v>301</v>
      </c>
      <c r="I1" s="134" t="s">
        <v>302</v>
      </c>
      <c r="J1" s="117" t="s">
        <v>303</v>
      </c>
      <c r="K1" s="117" t="s">
        <v>304</v>
      </c>
      <c r="L1" s="117" t="s">
        <v>305</v>
      </c>
      <c r="M1" s="27" t="s">
        <v>306</v>
      </c>
      <c r="N1" s="27" t="s">
        <v>18</v>
      </c>
      <c r="O1" s="27" t="s">
        <v>307</v>
      </c>
      <c r="P1" s="27" t="s">
        <v>349</v>
      </c>
      <c r="Q1" s="27" t="s">
        <v>17</v>
      </c>
      <c r="R1" s="119" t="s">
        <v>308</v>
      </c>
      <c r="S1" s="126" t="s">
        <v>350</v>
      </c>
      <c r="T1" s="127" t="s">
        <v>444</v>
      </c>
    </row>
    <row r="2" spans="1:20" x14ac:dyDescent="0.2">
      <c r="A2" s="97">
        <v>45959</v>
      </c>
      <c r="B2" s="114" t="s">
        <v>77</v>
      </c>
      <c r="C2" s="31">
        <v>43275496</v>
      </c>
      <c r="D2" s="31" t="s">
        <v>3</v>
      </c>
      <c r="E2" s="5" t="s">
        <v>166</v>
      </c>
      <c r="F2" s="5" t="s">
        <v>185</v>
      </c>
      <c r="G2" s="5" t="s">
        <v>213</v>
      </c>
      <c r="H2" s="145" t="s">
        <v>397</v>
      </c>
      <c r="I2" s="135">
        <v>110821</v>
      </c>
      <c r="J2" s="31" t="s">
        <v>214</v>
      </c>
      <c r="K2" s="28" t="s">
        <v>215</v>
      </c>
      <c r="L2" s="28" t="s">
        <v>74</v>
      </c>
      <c r="M2" s="28" t="s">
        <v>10</v>
      </c>
      <c r="N2" s="29">
        <v>300000</v>
      </c>
      <c r="O2" s="30" t="s">
        <v>103</v>
      </c>
      <c r="P2" s="31" t="s">
        <v>14</v>
      </c>
      <c r="Q2" s="5" t="s">
        <v>76</v>
      </c>
      <c r="R2" s="1" t="s">
        <v>0</v>
      </c>
      <c r="S2" s="125" t="s">
        <v>3</v>
      </c>
    </row>
    <row r="3" spans="1:20" x14ac:dyDescent="0.2">
      <c r="A3" s="108">
        <v>46150</v>
      </c>
      <c r="B3" s="5" t="s">
        <v>77</v>
      </c>
      <c r="C3" s="31">
        <v>43275496</v>
      </c>
      <c r="D3" s="31" t="s">
        <v>3</v>
      </c>
      <c r="E3" s="5" t="s">
        <v>166</v>
      </c>
      <c r="F3" s="5" t="s">
        <v>185</v>
      </c>
      <c r="G3" s="5" t="s">
        <v>213</v>
      </c>
      <c r="H3" s="145" t="s">
        <v>397</v>
      </c>
      <c r="I3" s="135">
        <v>110821</v>
      </c>
      <c r="J3" s="31" t="s">
        <v>214</v>
      </c>
      <c r="K3" s="28" t="s">
        <v>215</v>
      </c>
      <c r="L3" s="28" t="s">
        <v>74</v>
      </c>
      <c r="M3" s="101" t="s">
        <v>204</v>
      </c>
      <c r="N3" s="29">
        <v>0</v>
      </c>
      <c r="O3" s="28" t="s">
        <v>351</v>
      </c>
      <c r="P3" s="31" t="s">
        <v>3</v>
      </c>
      <c r="Q3" s="5" t="s">
        <v>76</v>
      </c>
      <c r="R3" s="1" t="s">
        <v>0</v>
      </c>
      <c r="S3" s="125" t="s">
        <v>3</v>
      </c>
    </row>
    <row r="4" spans="1:20" x14ac:dyDescent="0.2">
      <c r="A4" s="108">
        <v>46133</v>
      </c>
      <c r="B4" s="114" t="s">
        <v>310</v>
      </c>
      <c r="C4" s="31">
        <v>39542295</v>
      </c>
      <c r="D4" s="31" t="s">
        <v>3</v>
      </c>
      <c r="E4" s="5" t="s">
        <v>166</v>
      </c>
      <c r="F4" s="5" t="s">
        <v>185</v>
      </c>
      <c r="G4" s="5" t="s">
        <v>186</v>
      </c>
      <c r="H4" s="145" t="s">
        <v>398</v>
      </c>
      <c r="I4" s="136">
        <v>110831</v>
      </c>
      <c r="J4" s="28" t="s">
        <v>311</v>
      </c>
      <c r="K4" s="28" t="s">
        <v>312</v>
      </c>
      <c r="L4" s="28" t="s">
        <v>313</v>
      </c>
      <c r="M4" s="101" t="s">
        <v>188</v>
      </c>
      <c r="N4" s="29">
        <v>200000</v>
      </c>
      <c r="O4" s="28" t="s">
        <v>314</v>
      </c>
      <c r="P4" s="31" t="s">
        <v>4</v>
      </c>
      <c r="Q4" s="5" t="s">
        <v>76</v>
      </c>
      <c r="R4" s="1" t="s">
        <v>0</v>
      </c>
      <c r="S4" s="125" t="s">
        <v>3</v>
      </c>
    </row>
    <row r="5" spans="1:20" x14ac:dyDescent="0.2">
      <c r="A5" s="108">
        <v>46133</v>
      </c>
      <c r="B5" s="114" t="s">
        <v>310</v>
      </c>
      <c r="C5" s="31">
        <v>39542295</v>
      </c>
      <c r="D5" s="31" t="s">
        <v>3</v>
      </c>
      <c r="E5" s="5" t="s">
        <v>166</v>
      </c>
      <c r="F5" s="5" t="s">
        <v>185</v>
      </c>
      <c r="G5" s="5" t="s">
        <v>186</v>
      </c>
      <c r="H5" s="145" t="s">
        <v>398</v>
      </c>
      <c r="I5" s="136">
        <v>110831</v>
      </c>
      <c r="J5" s="28" t="s">
        <v>311</v>
      </c>
      <c r="K5" s="28" t="s">
        <v>312</v>
      </c>
      <c r="L5" s="28" t="s">
        <v>24</v>
      </c>
      <c r="M5" s="101" t="s">
        <v>249</v>
      </c>
      <c r="N5" s="29">
        <v>0</v>
      </c>
      <c r="O5" s="28" t="s">
        <v>250</v>
      </c>
      <c r="P5" s="31" t="s">
        <v>3</v>
      </c>
      <c r="Q5" s="5" t="s">
        <v>76</v>
      </c>
      <c r="R5" s="1" t="s">
        <v>0</v>
      </c>
      <c r="S5" s="125" t="s">
        <v>3</v>
      </c>
    </row>
    <row r="6" spans="1:20" x14ac:dyDescent="0.2">
      <c r="A6" s="97">
        <v>45902.998043981483</v>
      </c>
      <c r="B6" s="114" t="s">
        <v>78</v>
      </c>
      <c r="C6" s="31">
        <v>41659982</v>
      </c>
      <c r="D6" s="31" t="s">
        <v>216</v>
      </c>
      <c r="E6" s="5" t="s">
        <v>166</v>
      </c>
      <c r="F6" s="5" t="s">
        <v>185</v>
      </c>
      <c r="G6" s="5" t="s">
        <v>217</v>
      </c>
      <c r="H6" s="145" t="s">
        <v>400</v>
      </c>
      <c r="I6" s="136">
        <v>111031</v>
      </c>
      <c r="J6" s="167" t="s">
        <v>447</v>
      </c>
      <c r="K6" s="28" t="s">
        <v>218</v>
      </c>
      <c r="L6" s="28" t="s">
        <v>74</v>
      </c>
      <c r="M6" s="28" t="s">
        <v>12</v>
      </c>
      <c r="N6" s="29">
        <v>300000</v>
      </c>
      <c r="O6" s="30" t="s">
        <v>104</v>
      </c>
      <c r="P6" s="31" t="s">
        <v>4</v>
      </c>
      <c r="Q6" s="5" t="s">
        <v>76</v>
      </c>
      <c r="R6" s="1" t="s">
        <v>0</v>
      </c>
      <c r="S6" s="125" t="s">
        <v>401</v>
      </c>
    </row>
    <row r="7" spans="1:20" x14ac:dyDescent="0.2">
      <c r="A7" s="97">
        <v>45959</v>
      </c>
      <c r="B7" s="114" t="s">
        <v>79</v>
      </c>
      <c r="C7" s="31">
        <v>3876694</v>
      </c>
      <c r="D7" s="31" t="s">
        <v>3</v>
      </c>
      <c r="E7" s="5" t="s">
        <v>166</v>
      </c>
      <c r="F7" s="5" t="s">
        <v>219</v>
      </c>
      <c r="G7" s="5" t="s">
        <v>220</v>
      </c>
      <c r="H7" s="145" t="s">
        <v>402</v>
      </c>
      <c r="I7" s="135">
        <v>132512</v>
      </c>
      <c r="J7" s="168" t="s">
        <v>448</v>
      </c>
      <c r="K7" s="28" t="s">
        <v>221</v>
      </c>
      <c r="L7" s="28" t="s">
        <v>23</v>
      </c>
      <c r="M7" s="28" t="s">
        <v>2</v>
      </c>
      <c r="N7" s="29">
        <v>100000</v>
      </c>
      <c r="O7" s="30" t="s">
        <v>106</v>
      </c>
      <c r="P7" s="31" t="s">
        <v>14</v>
      </c>
      <c r="Q7" s="5" t="s">
        <v>76</v>
      </c>
      <c r="R7" s="1" t="s">
        <v>0</v>
      </c>
      <c r="S7" s="125" t="s">
        <v>3</v>
      </c>
    </row>
    <row r="8" spans="1:20" x14ac:dyDescent="0.2">
      <c r="A8" s="98">
        <v>46040</v>
      </c>
      <c r="B8" s="114" t="s">
        <v>79</v>
      </c>
      <c r="C8" s="31">
        <v>3876694</v>
      </c>
      <c r="D8" s="31" t="s">
        <v>3</v>
      </c>
      <c r="E8" s="5" t="s">
        <v>166</v>
      </c>
      <c r="F8" s="5" t="s">
        <v>219</v>
      </c>
      <c r="G8" s="5" t="s">
        <v>220</v>
      </c>
      <c r="H8" s="145" t="s">
        <v>402</v>
      </c>
      <c r="I8" s="135">
        <v>132512</v>
      </c>
      <c r="J8" s="168" t="s">
        <v>448</v>
      </c>
      <c r="K8" s="28" t="s">
        <v>221</v>
      </c>
      <c r="L8" s="28" t="s">
        <v>23</v>
      </c>
      <c r="M8" s="28" t="s">
        <v>7</v>
      </c>
      <c r="N8" s="29">
        <v>150000</v>
      </c>
      <c r="O8" s="30" t="s">
        <v>105</v>
      </c>
      <c r="P8" s="31" t="s">
        <v>14</v>
      </c>
      <c r="Q8" s="5" t="s">
        <v>76</v>
      </c>
      <c r="R8" s="1" t="s">
        <v>0</v>
      </c>
      <c r="S8" s="125" t="s">
        <v>3</v>
      </c>
    </row>
    <row r="9" spans="1:20" x14ac:dyDescent="0.2">
      <c r="A9" s="97">
        <v>45905.463472222225</v>
      </c>
      <c r="B9" s="114" t="s">
        <v>80</v>
      </c>
      <c r="C9" s="31">
        <v>72242857</v>
      </c>
      <c r="D9" s="31" t="s">
        <v>222</v>
      </c>
      <c r="E9" s="5" t="s">
        <v>166</v>
      </c>
      <c r="F9" s="5" t="s">
        <v>173</v>
      </c>
      <c r="G9" s="5" t="s">
        <v>174</v>
      </c>
      <c r="H9" s="145" t="s">
        <v>403</v>
      </c>
      <c r="I9" s="136">
        <v>80001</v>
      </c>
      <c r="J9" s="167" t="s">
        <v>449</v>
      </c>
      <c r="K9" s="28" t="s">
        <v>223</v>
      </c>
      <c r="L9" s="28" t="s">
        <v>74</v>
      </c>
      <c r="M9" s="28" t="s">
        <v>12</v>
      </c>
      <c r="N9" s="29">
        <v>300000</v>
      </c>
      <c r="O9" s="30" t="s">
        <v>107</v>
      </c>
      <c r="P9" s="31" t="s">
        <v>4</v>
      </c>
      <c r="Q9" s="5" t="s">
        <v>76</v>
      </c>
      <c r="R9" s="1" t="s">
        <v>0</v>
      </c>
      <c r="S9" s="125" t="s">
        <v>401</v>
      </c>
    </row>
    <row r="10" spans="1:20" x14ac:dyDescent="0.2">
      <c r="A10" s="97">
        <v>45955</v>
      </c>
      <c r="B10" s="114" t="s">
        <v>81</v>
      </c>
      <c r="C10" s="31">
        <v>7228626</v>
      </c>
      <c r="D10" s="31" t="s">
        <v>3</v>
      </c>
      <c r="E10" s="5" t="s">
        <v>166</v>
      </c>
      <c r="F10" s="5" t="s">
        <v>181</v>
      </c>
      <c r="G10" s="5" t="s">
        <v>224</v>
      </c>
      <c r="H10" s="145" t="s">
        <v>384</v>
      </c>
      <c r="I10" s="135">
        <v>150461</v>
      </c>
      <c r="J10" s="31" t="s">
        <v>225</v>
      </c>
      <c r="K10" s="28" t="s">
        <v>226</v>
      </c>
      <c r="L10" s="28" t="s">
        <v>9</v>
      </c>
      <c r="M10" s="32" t="s">
        <v>9</v>
      </c>
      <c r="N10" s="33">
        <v>200000</v>
      </c>
      <c r="O10" s="34" t="s">
        <v>110</v>
      </c>
      <c r="P10" s="31" t="s">
        <v>14</v>
      </c>
      <c r="Q10" s="5" t="s">
        <v>76</v>
      </c>
      <c r="R10" s="1" t="s">
        <v>0</v>
      </c>
      <c r="S10" s="125" t="s">
        <v>3</v>
      </c>
    </row>
    <row r="11" spans="1:20" x14ac:dyDescent="0.2">
      <c r="A11" s="97">
        <v>45985</v>
      </c>
      <c r="B11" s="114" t="s">
        <v>81</v>
      </c>
      <c r="C11" s="31">
        <v>7228626</v>
      </c>
      <c r="D11" s="31" t="s">
        <v>3</v>
      </c>
      <c r="E11" s="5" t="s">
        <v>166</v>
      </c>
      <c r="F11" s="5" t="s">
        <v>181</v>
      </c>
      <c r="G11" s="5" t="s">
        <v>224</v>
      </c>
      <c r="H11" s="145" t="s">
        <v>384</v>
      </c>
      <c r="I11" s="135">
        <v>150461</v>
      </c>
      <c r="J11" s="31" t="s">
        <v>225</v>
      </c>
      <c r="K11" s="28" t="s">
        <v>226</v>
      </c>
      <c r="L11" s="28" t="s">
        <v>227</v>
      </c>
      <c r="M11" s="32" t="s">
        <v>8</v>
      </c>
      <c r="N11" s="33">
        <v>100000</v>
      </c>
      <c r="O11" s="34" t="s">
        <v>109</v>
      </c>
      <c r="P11" s="31" t="s">
        <v>14</v>
      </c>
      <c r="Q11" s="5" t="s">
        <v>76</v>
      </c>
      <c r="R11" s="1" t="s">
        <v>0</v>
      </c>
      <c r="S11" s="125" t="s">
        <v>3</v>
      </c>
    </row>
    <row r="12" spans="1:20" x14ac:dyDescent="0.2">
      <c r="A12" s="98">
        <v>46030</v>
      </c>
      <c r="B12" s="114" t="s">
        <v>81</v>
      </c>
      <c r="C12" s="31">
        <v>7228626</v>
      </c>
      <c r="D12" s="31" t="s">
        <v>3</v>
      </c>
      <c r="E12" s="5" t="s">
        <v>166</v>
      </c>
      <c r="F12" s="5" t="s">
        <v>181</v>
      </c>
      <c r="G12" s="5" t="s">
        <v>224</v>
      </c>
      <c r="H12" s="145" t="s">
        <v>384</v>
      </c>
      <c r="I12" s="135">
        <v>150461</v>
      </c>
      <c r="J12" s="31" t="s">
        <v>225</v>
      </c>
      <c r="K12" s="28" t="s">
        <v>226</v>
      </c>
      <c r="L12" s="28" t="s">
        <v>227</v>
      </c>
      <c r="M12" s="102" t="s">
        <v>39</v>
      </c>
      <c r="N12" s="33">
        <v>100000</v>
      </c>
      <c r="O12" s="34" t="s">
        <v>108</v>
      </c>
      <c r="P12" s="31" t="s">
        <v>14</v>
      </c>
      <c r="Q12" s="5" t="s">
        <v>76</v>
      </c>
      <c r="R12" s="1" t="s">
        <v>0</v>
      </c>
      <c r="S12" s="125" t="s">
        <v>3</v>
      </c>
    </row>
    <row r="13" spans="1:20" x14ac:dyDescent="0.2">
      <c r="A13" s="108">
        <v>46128</v>
      </c>
      <c r="B13" s="114" t="s">
        <v>81</v>
      </c>
      <c r="C13" s="31">
        <v>7228626</v>
      </c>
      <c r="D13" s="31" t="s">
        <v>3</v>
      </c>
      <c r="E13" s="5" t="s">
        <v>166</v>
      </c>
      <c r="F13" s="5" t="s">
        <v>181</v>
      </c>
      <c r="G13" s="5" t="s">
        <v>224</v>
      </c>
      <c r="H13" s="145" t="s">
        <v>384</v>
      </c>
      <c r="I13" s="135">
        <v>150461</v>
      </c>
      <c r="J13" s="31" t="s">
        <v>225</v>
      </c>
      <c r="K13" s="28" t="s">
        <v>226</v>
      </c>
      <c r="L13" s="28" t="s">
        <v>23</v>
      </c>
      <c r="M13" s="101" t="s">
        <v>2</v>
      </c>
      <c r="N13" s="29">
        <v>100000</v>
      </c>
      <c r="O13" s="28" t="s">
        <v>315</v>
      </c>
      <c r="P13" s="31" t="s">
        <v>4</v>
      </c>
      <c r="Q13" s="5" t="s">
        <v>76</v>
      </c>
      <c r="R13" s="1" t="s">
        <v>0</v>
      </c>
      <c r="S13" s="125" t="s">
        <v>3</v>
      </c>
    </row>
    <row r="14" spans="1:20" x14ac:dyDescent="0.2">
      <c r="A14" s="108">
        <v>46128</v>
      </c>
      <c r="B14" s="114" t="s">
        <v>81</v>
      </c>
      <c r="C14" s="31">
        <v>7228626</v>
      </c>
      <c r="D14" s="31" t="s">
        <v>3</v>
      </c>
      <c r="E14" s="5" t="s">
        <v>166</v>
      </c>
      <c r="F14" s="5" t="s">
        <v>181</v>
      </c>
      <c r="G14" s="5" t="s">
        <v>224</v>
      </c>
      <c r="H14" s="145" t="s">
        <v>384</v>
      </c>
      <c r="I14" s="135">
        <v>150461</v>
      </c>
      <c r="J14" s="31" t="s">
        <v>225</v>
      </c>
      <c r="K14" s="28" t="s">
        <v>226</v>
      </c>
      <c r="L14" s="28" t="s">
        <v>23</v>
      </c>
      <c r="M14" s="101" t="s">
        <v>15</v>
      </c>
      <c r="N14" s="29">
        <v>0</v>
      </c>
      <c r="O14" s="28" t="s">
        <v>250</v>
      </c>
      <c r="P14" s="31" t="s">
        <v>3</v>
      </c>
      <c r="Q14" s="5" t="s">
        <v>76</v>
      </c>
      <c r="R14" s="1" t="s">
        <v>0</v>
      </c>
      <c r="S14" s="125" t="s">
        <v>3</v>
      </c>
    </row>
    <row r="15" spans="1:20" x14ac:dyDescent="0.2">
      <c r="A15" s="108">
        <v>46150</v>
      </c>
      <c r="B15" s="114" t="s">
        <v>81</v>
      </c>
      <c r="C15" s="31">
        <v>7228626</v>
      </c>
      <c r="D15" s="31" t="s">
        <v>3</v>
      </c>
      <c r="E15" s="5" t="s">
        <v>166</v>
      </c>
      <c r="F15" s="5" t="s">
        <v>181</v>
      </c>
      <c r="G15" s="5" t="s">
        <v>224</v>
      </c>
      <c r="H15" s="145" t="s">
        <v>384</v>
      </c>
      <c r="I15" s="135">
        <v>150461</v>
      </c>
      <c r="J15" s="5" t="s">
        <v>225</v>
      </c>
      <c r="K15" s="28" t="s">
        <v>226</v>
      </c>
      <c r="L15" s="28" t="s">
        <v>42</v>
      </c>
      <c r="M15" s="101" t="s">
        <v>204</v>
      </c>
      <c r="N15" s="29">
        <v>0</v>
      </c>
      <c r="O15" s="28" t="s">
        <v>351</v>
      </c>
      <c r="P15" s="31" t="s">
        <v>3</v>
      </c>
      <c r="Q15" s="5" t="s">
        <v>76</v>
      </c>
      <c r="R15" s="1" t="s">
        <v>0</v>
      </c>
      <c r="S15" s="125" t="s">
        <v>3</v>
      </c>
    </row>
    <row r="16" spans="1:20" x14ac:dyDescent="0.2">
      <c r="A16" s="97">
        <v>45908.95548611111</v>
      </c>
      <c r="B16" s="114" t="s">
        <v>82</v>
      </c>
      <c r="C16" s="31">
        <v>1129536308</v>
      </c>
      <c r="D16" s="31" t="s">
        <v>3</v>
      </c>
      <c r="E16" s="5" t="s">
        <v>166</v>
      </c>
      <c r="F16" s="5" t="s">
        <v>173</v>
      </c>
      <c r="G16" s="5" t="s">
        <v>174</v>
      </c>
      <c r="H16" s="145" t="s">
        <v>404</v>
      </c>
      <c r="I16" s="136">
        <v>80001</v>
      </c>
      <c r="J16" s="5" t="s">
        <v>228</v>
      </c>
      <c r="K16" s="28" t="s">
        <v>229</v>
      </c>
      <c r="L16" s="28" t="s">
        <v>230</v>
      </c>
      <c r="M16" s="28" t="s">
        <v>13</v>
      </c>
      <c r="N16" s="29">
        <v>200000</v>
      </c>
      <c r="O16" s="30" t="s">
        <v>111</v>
      </c>
      <c r="P16" s="31" t="s">
        <v>4</v>
      </c>
      <c r="Q16" s="5" t="s">
        <v>76</v>
      </c>
      <c r="R16" s="1" t="s">
        <v>0</v>
      </c>
      <c r="S16" s="125" t="s">
        <v>405</v>
      </c>
    </row>
    <row r="17" spans="1:19" x14ac:dyDescent="0.2">
      <c r="A17" s="108">
        <v>45825.943696250004</v>
      </c>
      <c r="B17" s="114" t="s">
        <v>83</v>
      </c>
      <c r="C17" s="31">
        <v>19123670</v>
      </c>
      <c r="D17" s="31" t="s">
        <v>385</v>
      </c>
      <c r="E17" s="5" t="s">
        <v>166</v>
      </c>
      <c r="F17" s="5" t="s">
        <v>173</v>
      </c>
      <c r="G17" s="5" t="s">
        <v>174</v>
      </c>
      <c r="H17" s="145" t="s">
        <v>406</v>
      </c>
      <c r="I17" s="135" t="s">
        <v>231</v>
      </c>
      <c r="J17" s="5" t="s">
        <v>175</v>
      </c>
      <c r="K17" s="28" t="s">
        <v>172</v>
      </c>
      <c r="L17" s="28" t="s">
        <v>23</v>
      </c>
      <c r="M17" s="28" t="s">
        <v>6</v>
      </c>
      <c r="N17" s="29">
        <v>200000</v>
      </c>
      <c r="O17" s="30" t="s">
        <v>113</v>
      </c>
      <c r="P17" s="31" t="s">
        <v>4</v>
      </c>
      <c r="Q17" s="5" t="s">
        <v>76</v>
      </c>
      <c r="R17" s="1" t="s">
        <v>0</v>
      </c>
      <c r="S17" s="125" t="s">
        <v>401</v>
      </c>
    </row>
    <row r="18" spans="1:19" x14ac:dyDescent="0.2">
      <c r="A18" s="108">
        <v>45905</v>
      </c>
      <c r="B18" s="114" t="s">
        <v>83</v>
      </c>
      <c r="C18" s="31">
        <v>19123670</v>
      </c>
      <c r="D18" s="31" t="s">
        <v>385</v>
      </c>
      <c r="E18" s="5" t="s">
        <v>166</v>
      </c>
      <c r="F18" s="5" t="s">
        <v>173</v>
      </c>
      <c r="G18" s="5" t="s">
        <v>174</v>
      </c>
      <c r="H18" s="145" t="s">
        <v>406</v>
      </c>
      <c r="I18" s="135" t="s">
        <v>231</v>
      </c>
      <c r="J18" s="5" t="s">
        <v>175</v>
      </c>
      <c r="K18" s="28" t="s">
        <v>172</v>
      </c>
      <c r="L18" s="28" t="s">
        <v>74</v>
      </c>
      <c r="M18" s="28" t="s">
        <v>12</v>
      </c>
      <c r="N18" s="29">
        <v>300000</v>
      </c>
      <c r="O18" s="30" t="s">
        <v>112</v>
      </c>
      <c r="P18" s="31" t="s">
        <v>4</v>
      </c>
      <c r="Q18" s="5" t="s">
        <v>76</v>
      </c>
      <c r="R18" s="1" t="s">
        <v>0</v>
      </c>
      <c r="S18" s="125" t="s">
        <v>401</v>
      </c>
    </row>
    <row r="19" spans="1:19" x14ac:dyDescent="0.2">
      <c r="A19" s="108">
        <v>45909.455104166664</v>
      </c>
      <c r="B19" s="114" t="s">
        <v>84</v>
      </c>
      <c r="C19" s="31">
        <v>41549222</v>
      </c>
      <c r="D19" s="31" t="s">
        <v>386</v>
      </c>
      <c r="E19" s="5" t="s">
        <v>166</v>
      </c>
      <c r="F19" s="5" t="s">
        <v>185</v>
      </c>
      <c r="G19" s="5" t="s">
        <v>213</v>
      </c>
      <c r="H19" s="145" t="s">
        <v>407</v>
      </c>
      <c r="I19" s="136">
        <v>110881</v>
      </c>
      <c r="J19" s="5" t="s">
        <v>232</v>
      </c>
      <c r="K19" s="28" t="s">
        <v>233</v>
      </c>
      <c r="L19" s="28" t="s">
        <v>74</v>
      </c>
      <c r="M19" s="28" t="s">
        <v>12</v>
      </c>
      <c r="N19" s="29">
        <v>300000</v>
      </c>
      <c r="O19" s="30" t="s">
        <v>115</v>
      </c>
      <c r="P19" s="31" t="s">
        <v>4</v>
      </c>
      <c r="Q19" s="5" t="s">
        <v>76</v>
      </c>
      <c r="R19" s="1" t="s">
        <v>0</v>
      </c>
      <c r="S19" s="125" t="s">
        <v>401</v>
      </c>
    </row>
    <row r="20" spans="1:19" x14ac:dyDescent="0.2">
      <c r="A20" s="108">
        <v>45949</v>
      </c>
      <c r="B20" s="114" t="s">
        <v>84</v>
      </c>
      <c r="C20" s="31">
        <v>41549222</v>
      </c>
      <c r="D20" s="31" t="s">
        <v>386</v>
      </c>
      <c r="E20" s="5" t="s">
        <v>166</v>
      </c>
      <c r="F20" s="5" t="s">
        <v>185</v>
      </c>
      <c r="G20" s="5" t="s">
        <v>213</v>
      </c>
      <c r="H20" s="145" t="s">
        <v>407</v>
      </c>
      <c r="I20" s="136">
        <v>110881</v>
      </c>
      <c r="J20" s="31" t="s">
        <v>232</v>
      </c>
      <c r="K20" s="28" t="s">
        <v>233</v>
      </c>
      <c r="L20" s="28" t="s">
        <v>230</v>
      </c>
      <c r="M20" s="28" t="s">
        <v>11</v>
      </c>
      <c r="N20" s="29">
        <v>200000</v>
      </c>
      <c r="O20" s="30" t="s">
        <v>114</v>
      </c>
      <c r="P20" s="31" t="s">
        <v>14</v>
      </c>
      <c r="Q20" s="5" t="s">
        <v>76</v>
      </c>
      <c r="R20" s="1" t="s">
        <v>0</v>
      </c>
      <c r="S20" s="125" t="s">
        <v>401</v>
      </c>
    </row>
    <row r="21" spans="1:19" x14ac:dyDescent="0.2">
      <c r="A21" s="98">
        <v>46142</v>
      </c>
      <c r="B21" s="114" t="s">
        <v>84</v>
      </c>
      <c r="C21" s="31">
        <v>41549222</v>
      </c>
      <c r="D21" s="31" t="s">
        <v>386</v>
      </c>
      <c r="E21" s="5" t="s">
        <v>166</v>
      </c>
      <c r="F21" s="5" t="s">
        <v>185</v>
      </c>
      <c r="G21" s="5" t="s">
        <v>213</v>
      </c>
      <c r="H21" s="145" t="s">
        <v>407</v>
      </c>
      <c r="I21" s="136">
        <v>110881</v>
      </c>
      <c r="J21" s="31" t="s">
        <v>232</v>
      </c>
      <c r="K21" s="28" t="s">
        <v>233</v>
      </c>
      <c r="L21" s="28" t="s">
        <v>313</v>
      </c>
      <c r="M21" s="101" t="s">
        <v>352</v>
      </c>
      <c r="N21" s="29">
        <v>200000</v>
      </c>
      <c r="O21" s="128" t="s">
        <v>353</v>
      </c>
      <c r="P21" s="31" t="s">
        <v>4</v>
      </c>
      <c r="Q21" s="5" t="s">
        <v>76</v>
      </c>
      <c r="R21" s="1" t="s">
        <v>0</v>
      </c>
      <c r="S21" s="125" t="s">
        <v>401</v>
      </c>
    </row>
    <row r="22" spans="1:19" x14ac:dyDescent="0.2">
      <c r="A22" s="108">
        <v>46142.756608796299</v>
      </c>
      <c r="B22" s="114" t="s">
        <v>84</v>
      </c>
      <c r="C22" s="31">
        <v>41549222</v>
      </c>
      <c r="D22" s="31" t="s">
        <v>386</v>
      </c>
      <c r="E22" s="5" t="s">
        <v>166</v>
      </c>
      <c r="F22" s="5" t="s">
        <v>185</v>
      </c>
      <c r="G22" s="5" t="s">
        <v>213</v>
      </c>
      <c r="H22" s="145" t="s">
        <v>407</v>
      </c>
      <c r="I22" s="136">
        <v>110881</v>
      </c>
      <c r="J22" s="31" t="s">
        <v>232</v>
      </c>
      <c r="K22" s="28" t="s">
        <v>233</v>
      </c>
      <c r="L22" s="28" t="s">
        <v>23</v>
      </c>
      <c r="M22" s="101" t="s">
        <v>2</v>
      </c>
      <c r="N22" s="29">
        <v>0</v>
      </c>
      <c r="O22" s="30" t="s">
        <v>250</v>
      </c>
      <c r="P22" s="31" t="s">
        <v>3</v>
      </c>
      <c r="Q22" s="5" t="s">
        <v>76</v>
      </c>
      <c r="R22" s="1" t="s">
        <v>0</v>
      </c>
      <c r="S22" s="125" t="s">
        <v>401</v>
      </c>
    </row>
    <row r="23" spans="1:19" x14ac:dyDescent="0.2">
      <c r="A23" s="108">
        <v>46142.759398148148</v>
      </c>
      <c r="B23" s="114" t="s">
        <v>84</v>
      </c>
      <c r="C23" s="31">
        <v>41549222</v>
      </c>
      <c r="D23" s="31" t="s">
        <v>386</v>
      </c>
      <c r="E23" s="5" t="s">
        <v>166</v>
      </c>
      <c r="F23" s="5" t="s">
        <v>185</v>
      </c>
      <c r="G23" s="5" t="s">
        <v>213</v>
      </c>
      <c r="H23" s="145" t="s">
        <v>407</v>
      </c>
      <c r="I23" s="136">
        <v>110881</v>
      </c>
      <c r="J23" s="31" t="s">
        <v>232</v>
      </c>
      <c r="K23" s="28" t="s">
        <v>233</v>
      </c>
      <c r="L23" s="28" t="s">
        <v>23</v>
      </c>
      <c r="M23" s="101" t="s">
        <v>2</v>
      </c>
      <c r="N23" s="29">
        <v>0</v>
      </c>
      <c r="O23" s="30" t="s">
        <v>250</v>
      </c>
      <c r="P23" s="31" t="s">
        <v>3</v>
      </c>
      <c r="Q23" s="5" t="s">
        <v>76</v>
      </c>
      <c r="R23" s="1" t="s">
        <v>0</v>
      </c>
      <c r="S23" s="125" t="s">
        <v>401</v>
      </c>
    </row>
    <row r="24" spans="1:19" x14ac:dyDescent="0.2">
      <c r="A24" s="108">
        <v>45962</v>
      </c>
      <c r="B24" s="114" t="s">
        <v>354</v>
      </c>
      <c r="C24" s="31">
        <v>84032166</v>
      </c>
      <c r="D24" s="31" t="s">
        <v>355</v>
      </c>
      <c r="E24" s="5" t="s">
        <v>166</v>
      </c>
      <c r="F24" s="5" t="s">
        <v>234</v>
      </c>
      <c r="G24" s="5" t="s">
        <v>235</v>
      </c>
      <c r="H24" s="145" t="s">
        <v>408</v>
      </c>
      <c r="I24" s="136">
        <v>470008</v>
      </c>
      <c r="J24" s="31" t="s">
        <v>236</v>
      </c>
      <c r="K24" s="28" t="s">
        <v>237</v>
      </c>
      <c r="L24" s="28" t="s">
        <v>227</v>
      </c>
      <c r="M24" s="32" t="s">
        <v>39</v>
      </c>
      <c r="N24" s="33">
        <v>100000</v>
      </c>
      <c r="O24" s="34" t="s">
        <v>118</v>
      </c>
      <c r="P24" s="31" t="s">
        <v>14</v>
      </c>
      <c r="Q24" s="5" t="s">
        <v>76</v>
      </c>
      <c r="R24" s="1" t="s">
        <v>0</v>
      </c>
      <c r="S24" s="125" t="s">
        <v>401</v>
      </c>
    </row>
    <row r="25" spans="1:19" x14ac:dyDescent="0.2">
      <c r="A25" s="108">
        <v>45985</v>
      </c>
      <c r="B25" s="114" t="s">
        <v>354</v>
      </c>
      <c r="C25" s="31">
        <v>84032166</v>
      </c>
      <c r="D25" s="31" t="s">
        <v>355</v>
      </c>
      <c r="E25" s="5" t="s">
        <v>166</v>
      </c>
      <c r="F25" s="5" t="s">
        <v>234</v>
      </c>
      <c r="G25" s="5" t="s">
        <v>235</v>
      </c>
      <c r="H25" s="145" t="s">
        <v>408</v>
      </c>
      <c r="I25" s="135">
        <v>470008</v>
      </c>
      <c r="J25" s="31" t="s">
        <v>236</v>
      </c>
      <c r="K25" s="28" t="s">
        <v>237</v>
      </c>
      <c r="L25" s="28" t="s">
        <v>227</v>
      </c>
      <c r="M25" s="32" t="s">
        <v>9</v>
      </c>
      <c r="N25" s="33">
        <v>200000</v>
      </c>
      <c r="O25" s="34" t="s">
        <v>117</v>
      </c>
      <c r="P25" s="31" t="s">
        <v>4</v>
      </c>
      <c r="Q25" s="5" t="s">
        <v>76</v>
      </c>
      <c r="R25" s="1" t="s">
        <v>0</v>
      </c>
      <c r="S25" s="125" t="s">
        <v>401</v>
      </c>
    </row>
    <row r="26" spans="1:19" x14ac:dyDescent="0.2">
      <c r="A26" s="108">
        <v>46006</v>
      </c>
      <c r="B26" s="114" t="s">
        <v>354</v>
      </c>
      <c r="C26" s="31">
        <v>84032166</v>
      </c>
      <c r="D26" s="31" t="s">
        <v>355</v>
      </c>
      <c r="E26" s="5" t="s">
        <v>166</v>
      </c>
      <c r="F26" s="5" t="s">
        <v>234</v>
      </c>
      <c r="G26" s="5" t="s">
        <v>235</v>
      </c>
      <c r="H26" s="145" t="s">
        <v>408</v>
      </c>
      <c r="I26" s="136">
        <v>470008</v>
      </c>
      <c r="J26" s="31" t="s">
        <v>236</v>
      </c>
      <c r="K26" s="28" t="s">
        <v>237</v>
      </c>
      <c r="L26" s="28" t="s">
        <v>9</v>
      </c>
      <c r="M26" s="32" t="s">
        <v>8</v>
      </c>
      <c r="N26" s="33">
        <v>100000</v>
      </c>
      <c r="O26" s="34" t="s">
        <v>116</v>
      </c>
      <c r="P26" s="31" t="s">
        <v>14</v>
      </c>
      <c r="Q26" s="5" t="s">
        <v>76</v>
      </c>
      <c r="R26" s="1" t="s">
        <v>0</v>
      </c>
      <c r="S26" s="125" t="s">
        <v>401</v>
      </c>
    </row>
    <row r="27" spans="1:19" x14ac:dyDescent="0.2">
      <c r="A27" s="108">
        <v>46127</v>
      </c>
      <c r="B27" s="114" t="s">
        <v>354</v>
      </c>
      <c r="C27" s="31">
        <v>84032166</v>
      </c>
      <c r="D27" s="31" t="s">
        <v>355</v>
      </c>
      <c r="E27" s="5" t="s">
        <v>166</v>
      </c>
      <c r="F27" s="5" t="s">
        <v>234</v>
      </c>
      <c r="G27" s="5" t="s">
        <v>235</v>
      </c>
      <c r="H27" s="145" t="s">
        <v>408</v>
      </c>
      <c r="I27" s="136">
        <v>470008</v>
      </c>
      <c r="J27" s="31" t="s">
        <v>236</v>
      </c>
      <c r="K27" s="28" t="s">
        <v>237</v>
      </c>
      <c r="L27" s="28" t="s">
        <v>313</v>
      </c>
      <c r="M27" s="101" t="s">
        <v>188</v>
      </c>
      <c r="N27" s="29">
        <v>200000</v>
      </c>
      <c r="O27" s="28" t="s">
        <v>316</v>
      </c>
      <c r="P27" s="31" t="s">
        <v>4</v>
      </c>
      <c r="Q27" s="5" t="s">
        <v>76</v>
      </c>
      <c r="R27" s="1" t="s">
        <v>0</v>
      </c>
      <c r="S27" s="125" t="s">
        <v>401</v>
      </c>
    </row>
    <row r="28" spans="1:19" x14ac:dyDescent="0.2">
      <c r="A28" s="108">
        <v>46128</v>
      </c>
      <c r="B28" s="114" t="s">
        <v>354</v>
      </c>
      <c r="C28" s="31">
        <v>84032166</v>
      </c>
      <c r="D28" s="31" t="s">
        <v>355</v>
      </c>
      <c r="E28" s="5" t="s">
        <v>166</v>
      </c>
      <c r="F28" s="5" t="s">
        <v>234</v>
      </c>
      <c r="G28" s="5" t="s">
        <v>235</v>
      </c>
      <c r="H28" s="145" t="s">
        <v>408</v>
      </c>
      <c r="I28" s="136">
        <v>470008</v>
      </c>
      <c r="J28" s="31" t="s">
        <v>236</v>
      </c>
      <c r="K28" s="28" t="s">
        <v>237</v>
      </c>
      <c r="L28" s="28" t="s">
        <v>42</v>
      </c>
      <c r="M28" s="101" t="s">
        <v>317</v>
      </c>
      <c r="N28" s="29">
        <v>0</v>
      </c>
      <c r="O28" s="28" t="s">
        <v>250</v>
      </c>
      <c r="P28" s="31" t="s">
        <v>3</v>
      </c>
      <c r="Q28" s="5" t="s">
        <v>76</v>
      </c>
      <c r="R28" s="1" t="s">
        <v>0</v>
      </c>
      <c r="S28" s="125" t="s">
        <v>401</v>
      </c>
    </row>
    <row r="29" spans="1:19" x14ac:dyDescent="0.2">
      <c r="A29" s="108">
        <v>46128</v>
      </c>
      <c r="B29" s="114" t="s">
        <v>354</v>
      </c>
      <c r="C29" s="31">
        <v>84032166</v>
      </c>
      <c r="D29" s="31" t="s">
        <v>355</v>
      </c>
      <c r="E29" s="5" t="s">
        <v>166</v>
      </c>
      <c r="F29" s="5" t="s">
        <v>234</v>
      </c>
      <c r="G29" s="5" t="s">
        <v>235</v>
      </c>
      <c r="H29" s="145" t="s">
        <v>408</v>
      </c>
      <c r="I29" s="136">
        <v>470008</v>
      </c>
      <c r="J29" s="31" t="s">
        <v>236</v>
      </c>
      <c r="K29" s="28" t="s">
        <v>237</v>
      </c>
      <c r="L29" s="28" t="s">
        <v>23</v>
      </c>
      <c r="M29" s="101" t="s">
        <v>15</v>
      </c>
      <c r="N29" s="29">
        <v>0</v>
      </c>
      <c r="O29" s="28" t="s">
        <v>250</v>
      </c>
      <c r="P29" s="31" t="s">
        <v>3</v>
      </c>
      <c r="Q29" s="5" t="s">
        <v>76</v>
      </c>
      <c r="R29" s="1" t="s">
        <v>0</v>
      </c>
      <c r="S29" s="125" t="s">
        <v>401</v>
      </c>
    </row>
    <row r="30" spans="1:19" x14ac:dyDescent="0.2">
      <c r="A30" s="108">
        <v>45951.601979166669</v>
      </c>
      <c r="B30" s="114" t="s">
        <v>85</v>
      </c>
      <c r="C30" s="140">
        <v>900760096</v>
      </c>
      <c r="D30" s="140" t="s">
        <v>238</v>
      </c>
      <c r="E30" s="139" t="s">
        <v>239</v>
      </c>
      <c r="F30" s="139" t="s">
        <v>240</v>
      </c>
      <c r="G30" s="139" t="s">
        <v>241</v>
      </c>
      <c r="H30" s="145" t="s">
        <v>409</v>
      </c>
      <c r="I30" s="141">
        <v>62002</v>
      </c>
      <c r="J30" s="140" t="s">
        <v>242</v>
      </c>
      <c r="K30" s="142" t="s">
        <v>243</v>
      </c>
      <c r="L30" s="142" t="s">
        <v>23</v>
      </c>
      <c r="M30" s="142" t="s">
        <v>2</v>
      </c>
      <c r="N30" s="143">
        <v>100000</v>
      </c>
      <c r="O30" s="144" t="s">
        <v>119</v>
      </c>
      <c r="P30" s="140" t="s">
        <v>14</v>
      </c>
      <c r="Q30" s="139" t="s">
        <v>76</v>
      </c>
      <c r="R30" s="1" t="s">
        <v>0</v>
      </c>
      <c r="S30" s="125" t="s">
        <v>401</v>
      </c>
    </row>
    <row r="31" spans="1:19" x14ac:dyDescent="0.2">
      <c r="A31" s="108">
        <v>46015</v>
      </c>
      <c r="B31" s="114" t="s">
        <v>86</v>
      </c>
      <c r="C31" s="31">
        <v>20315971</v>
      </c>
      <c r="D31" s="31" t="s">
        <v>3</v>
      </c>
      <c r="E31" s="5" t="s">
        <v>166</v>
      </c>
      <c r="F31" s="5" t="s">
        <v>169</v>
      </c>
      <c r="G31" s="5" t="s">
        <v>177</v>
      </c>
      <c r="H31" s="145" t="s">
        <v>410</v>
      </c>
      <c r="I31" s="135" t="s">
        <v>244</v>
      </c>
      <c r="J31" s="31" t="s">
        <v>178</v>
      </c>
      <c r="K31" s="28" t="s">
        <v>176</v>
      </c>
      <c r="L31" s="28" t="s">
        <v>23</v>
      </c>
      <c r="M31" s="28" t="s">
        <v>121</v>
      </c>
      <c r="N31" s="29">
        <v>100000</v>
      </c>
      <c r="O31" s="30" t="s">
        <v>122</v>
      </c>
      <c r="P31" s="31" t="s">
        <v>14</v>
      </c>
      <c r="Q31" s="5" t="s">
        <v>76</v>
      </c>
      <c r="R31" s="1" t="s">
        <v>0</v>
      </c>
      <c r="S31" s="125" t="s">
        <v>3</v>
      </c>
    </row>
    <row r="32" spans="1:19" x14ac:dyDescent="0.2">
      <c r="A32" s="108">
        <v>46022</v>
      </c>
      <c r="B32" s="114" t="s">
        <v>86</v>
      </c>
      <c r="C32" s="31">
        <v>20315971</v>
      </c>
      <c r="D32" s="31" t="s">
        <v>3</v>
      </c>
      <c r="E32" s="5" t="s">
        <v>166</v>
      </c>
      <c r="F32" s="5" t="s">
        <v>169</v>
      </c>
      <c r="G32" s="5" t="s">
        <v>177</v>
      </c>
      <c r="H32" s="145" t="s">
        <v>410</v>
      </c>
      <c r="I32" s="136" t="s">
        <v>244</v>
      </c>
      <c r="J32" s="31" t="s">
        <v>178</v>
      </c>
      <c r="K32" s="28" t="s">
        <v>176</v>
      </c>
      <c r="L32" s="28" t="s">
        <v>245</v>
      </c>
      <c r="M32" s="28" t="s">
        <v>5</v>
      </c>
      <c r="N32" s="29">
        <v>100000</v>
      </c>
      <c r="O32" s="30" t="s">
        <v>120</v>
      </c>
      <c r="P32" s="31" t="s">
        <v>14</v>
      </c>
      <c r="Q32" s="5" t="s">
        <v>76</v>
      </c>
      <c r="R32" s="1" t="s">
        <v>0</v>
      </c>
      <c r="S32" s="125" t="s">
        <v>3</v>
      </c>
    </row>
    <row r="33" spans="1:19" x14ac:dyDescent="0.2">
      <c r="A33" s="108">
        <v>46131</v>
      </c>
      <c r="B33" s="114" t="s">
        <v>86</v>
      </c>
      <c r="C33" s="31">
        <v>20315971</v>
      </c>
      <c r="D33" s="31" t="s">
        <v>3</v>
      </c>
      <c r="E33" s="5" t="s">
        <v>166</v>
      </c>
      <c r="F33" s="5" t="s">
        <v>169</v>
      </c>
      <c r="G33" s="5" t="s">
        <v>177</v>
      </c>
      <c r="H33" s="145" t="s">
        <v>410</v>
      </c>
      <c r="I33" s="136" t="s">
        <v>244</v>
      </c>
      <c r="J33" s="31" t="s">
        <v>178</v>
      </c>
      <c r="K33" s="28" t="s">
        <v>176</v>
      </c>
      <c r="L33" s="28" t="s">
        <v>23</v>
      </c>
      <c r="M33" s="101" t="s">
        <v>2</v>
      </c>
      <c r="N33" s="29">
        <v>100000</v>
      </c>
      <c r="O33" s="28" t="s">
        <v>318</v>
      </c>
      <c r="P33" s="31" t="s">
        <v>4</v>
      </c>
      <c r="Q33" s="5" t="s">
        <v>76</v>
      </c>
      <c r="R33" s="1" t="s">
        <v>0</v>
      </c>
      <c r="S33" s="125" t="s">
        <v>3</v>
      </c>
    </row>
    <row r="34" spans="1:19" x14ac:dyDescent="0.2">
      <c r="A34" s="108">
        <v>46131</v>
      </c>
      <c r="B34" s="114" t="s">
        <v>86</v>
      </c>
      <c r="C34" s="31">
        <v>20315971</v>
      </c>
      <c r="D34" s="31" t="s">
        <v>3</v>
      </c>
      <c r="E34" s="5" t="s">
        <v>166</v>
      </c>
      <c r="F34" s="5" t="s">
        <v>169</v>
      </c>
      <c r="G34" s="5" t="s">
        <v>177</v>
      </c>
      <c r="H34" s="145" t="s">
        <v>410</v>
      </c>
      <c r="I34" s="136" t="s">
        <v>244</v>
      </c>
      <c r="J34" s="31" t="s">
        <v>178</v>
      </c>
      <c r="K34" s="28" t="s">
        <v>176</v>
      </c>
      <c r="L34" s="28" t="s">
        <v>42</v>
      </c>
      <c r="M34" s="28" t="s">
        <v>204</v>
      </c>
      <c r="N34" s="29">
        <v>0</v>
      </c>
      <c r="O34" s="30" t="s">
        <v>250</v>
      </c>
      <c r="P34" s="31" t="s">
        <v>3</v>
      </c>
      <c r="Q34" s="5" t="s">
        <v>76</v>
      </c>
      <c r="R34" s="1" t="s">
        <v>0</v>
      </c>
      <c r="S34" s="125" t="s">
        <v>3</v>
      </c>
    </row>
    <row r="35" spans="1:19" x14ac:dyDescent="0.2">
      <c r="A35" s="108">
        <v>46150</v>
      </c>
      <c r="B35" s="114" t="s">
        <v>86</v>
      </c>
      <c r="C35" s="31">
        <v>20315971</v>
      </c>
      <c r="D35" s="31" t="s">
        <v>3</v>
      </c>
      <c r="E35" s="5" t="s">
        <v>166</v>
      </c>
      <c r="F35" s="5" t="s">
        <v>169</v>
      </c>
      <c r="G35" s="5" t="s">
        <v>177</v>
      </c>
      <c r="H35" s="145" t="s">
        <v>410</v>
      </c>
      <c r="I35" s="136" t="s">
        <v>244</v>
      </c>
      <c r="J35" s="31" t="s">
        <v>178</v>
      </c>
      <c r="K35" s="28" t="s">
        <v>176</v>
      </c>
      <c r="L35" s="28" t="s">
        <v>42</v>
      </c>
      <c r="M35" s="28" t="s">
        <v>317</v>
      </c>
      <c r="N35" s="29">
        <v>0</v>
      </c>
      <c r="O35" s="28" t="s">
        <v>351</v>
      </c>
      <c r="P35" s="31" t="s">
        <v>3</v>
      </c>
      <c r="Q35" s="5" t="s">
        <v>76</v>
      </c>
      <c r="R35" s="1" t="s">
        <v>0</v>
      </c>
      <c r="S35" s="125" t="s">
        <v>3</v>
      </c>
    </row>
    <row r="36" spans="1:19" x14ac:dyDescent="0.2">
      <c r="A36" s="108">
        <v>45938.745856481481</v>
      </c>
      <c r="B36" s="114" t="s">
        <v>87</v>
      </c>
      <c r="C36" s="31">
        <v>43808810</v>
      </c>
      <c r="D36" s="31" t="s">
        <v>246</v>
      </c>
      <c r="E36" s="5" t="s">
        <v>166</v>
      </c>
      <c r="F36" s="5" t="s">
        <v>169</v>
      </c>
      <c r="G36" s="5" t="s">
        <v>170</v>
      </c>
      <c r="H36" s="145" t="s">
        <v>411</v>
      </c>
      <c r="I36" s="137" t="s">
        <v>387</v>
      </c>
      <c r="J36" s="133" t="s">
        <v>450</v>
      </c>
      <c r="K36" s="28" t="s">
        <v>171</v>
      </c>
      <c r="L36" s="28" t="s">
        <v>23</v>
      </c>
      <c r="M36" s="28" t="s">
        <v>2</v>
      </c>
      <c r="N36" s="29">
        <v>100000</v>
      </c>
      <c r="O36" s="30" t="s">
        <v>124</v>
      </c>
      <c r="P36" s="31" t="s">
        <v>14</v>
      </c>
      <c r="Q36" s="5" t="s">
        <v>76</v>
      </c>
      <c r="R36" s="1" t="s">
        <v>0</v>
      </c>
      <c r="S36" s="125" t="s">
        <v>401</v>
      </c>
    </row>
    <row r="37" spans="1:19" x14ac:dyDescent="0.2">
      <c r="A37" s="108">
        <v>45949</v>
      </c>
      <c r="B37" s="114" t="s">
        <v>87</v>
      </c>
      <c r="C37" s="31">
        <v>43808810</v>
      </c>
      <c r="D37" s="31" t="s">
        <v>246</v>
      </c>
      <c r="E37" s="5" t="s">
        <v>166</v>
      </c>
      <c r="F37" s="5" t="s">
        <v>169</v>
      </c>
      <c r="G37" s="5" t="s">
        <v>170</v>
      </c>
      <c r="H37" s="145" t="s">
        <v>411</v>
      </c>
      <c r="I37" s="137" t="s">
        <v>387</v>
      </c>
      <c r="J37" s="133" t="s">
        <v>450</v>
      </c>
      <c r="K37" s="28" t="s">
        <v>171</v>
      </c>
      <c r="L37" s="28" t="s">
        <v>23</v>
      </c>
      <c r="M37" s="28" t="s">
        <v>2</v>
      </c>
      <c r="N37" s="29">
        <v>100000</v>
      </c>
      <c r="O37" s="30" t="s">
        <v>123</v>
      </c>
      <c r="P37" s="31" t="s">
        <v>14</v>
      </c>
      <c r="Q37" s="5" t="s">
        <v>76</v>
      </c>
      <c r="R37" s="1" t="s">
        <v>0</v>
      </c>
      <c r="S37" s="125" t="s">
        <v>401</v>
      </c>
    </row>
    <row r="38" spans="1:19" x14ac:dyDescent="0.2">
      <c r="A38" s="108">
        <v>46127</v>
      </c>
      <c r="B38" s="114" t="s">
        <v>87</v>
      </c>
      <c r="C38" s="31">
        <v>43808810</v>
      </c>
      <c r="D38" s="31" t="s">
        <v>246</v>
      </c>
      <c r="E38" s="5" t="s">
        <v>166</v>
      </c>
      <c r="F38" s="5" t="s">
        <v>169</v>
      </c>
      <c r="G38" s="5" t="s">
        <v>170</v>
      </c>
      <c r="H38" s="145" t="s">
        <v>412</v>
      </c>
      <c r="I38" s="137" t="s">
        <v>387</v>
      </c>
      <c r="J38" s="133" t="s">
        <v>450</v>
      </c>
      <c r="K38" s="28" t="s">
        <v>171</v>
      </c>
      <c r="L38" s="28" t="s">
        <v>23</v>
      </c>
      <c r="M38" s="101" t="s">
        <v>2</v>
      </c>
      <c r="N38" s="29">
        <v>100000</v>
      </c>
      <c r="O38" s="28" t="s">
        <v>319</v>
      </c>
      <c r="P38" s="31" t="s">
        <v>4</v>
      </c>
      <c r="Q38" s="5" t="s">
        <v>76</v>
      </c>
      <c r="R38" s="1" t="s">
        <v>0</v>
      </c>
      <c r="S38" s="125" t="s">
        <v>401</v>
      </c>
    </row>
    <row r="39" spans="1:19" x14ac:dyDescent="0.2">
      <c r="A39" s="108">
        <v>46127</v>
      </c>
      <c r="B39" s="114" t="s">
        <v>87</v>
      </c>
      <c r="C39" s="31">
        <v>43808810</v>
      </c>
      <c r="D39" s="31" t="s">
        <v>246</v>
      </c>
      <c r="E39" s="5" t="s">
        <v>166</v>
      </c>
      <c r="F39" s="5" t="s">
        <v>169</v>
      </c>
      <c r="G39" s="5" t="s">
        <v>170</v>
      </c>
      <c r="H39" s="145" t="s">
        <v>412</v>
      </c>
      <c r="I39" s="137" t="s">
        <v>387</v>
      </c>
      <c r="J39" s="133" t="s">
        <v>450</v>
      </c>
      <c r="K39" s="28" t="s">
        <v>171</v>
      </c>
      <c r="L39" s="28" t="s">
        <v>309</v>
      </c>
      <c r="M39" s="101" t="s">
        <v>320</v>
      </c>
      <c r="N39" s="29">
        <v>0</v>
      </c>
      <c r="O39" s="28" t="s">
        <v>250</v>
      </c>
      <c r="P39" s="31" t="s">
        <v>3</v>
      </c>
      <c r="Q39" s="5" t="s">
        <v>76</v>
      </c>
      <c r="R39" s="1" t="s">
        <v>0</v>
      </c>
      <c r="S39" s="125" t="s">
        <v>401</v>
      </c>
    </row>
    <row r="40" spans="1:19" x14ac:dyDescent="0.2">
      <c r="A40" s="108">
        <v>46131</v>
      </c>
      <c r="B40" s="114" t="s">
        <v>87</v>
      </c>
      <c r="C40" s="31">
        <v>43808810</v>
      </c>
      <c r="D40" s="31" t="s">
        <v>246</v>
      </c>
      <c r="E40" s="5" t="s">
        <v>166</v>
      </c>
      <c r="F40" s="5" t="s">
        <v>169</v>
      </c>
      <c r="G40" s="5" t="s">
        <v>170</v>
      </c>
      <c r="H40" s="145" t="s">
        <v>412</v>
      </c>
      <c r="I40" s="137" t="s">
        <v>387</v>
      </c>
      <c r="J40" s="133" t="s">
        <v>450</v>
      </c>
      <c r="K40" s="28" t="s">
        <v>171</v>
      </c>
      <c r="L40" s="28" t="s">
        <v>42</v>
      </c>
      <c r="M40" s="101" t="s">
        <v>204</v>
      </c>
      <c r="N40" s="29">
        <v>0</v>
      </c>
      <c r="O40" s="28" t="s">
        <v>250</v>
      </c>
      <c r="P40" s="31" t="s">
        <v>3</v>
      </c>
      <c r="Q40" s="5" t="s">
        <v>76</v>
      </c>
      <c r="R40" s="1" t="s">
        <v>0</v>
      </c>
      <c r="S40" s="125" t="s">
        <v>401</v>
      </c>
    </row>
    <row r="41" spans="1:19" x14ac:dyDescent="0.2">
      <c r="A41" s="108">
        <v>46129</v>
      </c>
      <c r="B41" s="114" t="s">
        <v>321</v>
      </c>
      <c r="C41" s="31">
        <v>7223846</v>
      </c>
      <c r="D41" s="31" t="s">
        <v>3</v>
      </c>
      <c r="E41" s="5" t="s">
        <v>166</v>
      </c>
      <c r="F41" s="5" t="s">
        <v>181</v>
      </c>
      <c r="G41" s="5" t="s">
        <v>224</v>
      </c>
      <c r="H41" s="145" t="s">
        <v>413</v>
      </c>
      <c r="I41" s="136">
        <v>150461</v>
      </c>
      <c r="J41" s="168" t="s">
        <v>451</v>
      </c>
      <c r="K41" s="28" t="s">
        <v>323</v>
      </c>
      <c r="L41" s="28" t="s">
        <v>23</v>
      </c>
      <c r="M41" s="101" t="s">
        <v>2</v>
      </c>
      <c r="N41" s="29">
        <v>100000</v>
      </c>
      <c r="O41" s="28" t="s">
        <v>324</v>
      </c>
      <c r="P41" s="31" t="s">
        <v>4</v>
      </c>
      <c r="Q41" s="5" t="s">
        <v>76</v>
      </c>
      <c r="R41" s="1" t="s">
        <v>0</v>
      </c>
      <c r="S41" s="125" t="s">
        <v>3</v>
      </c>
    </row>
    <row r="42" spans="1:19" x14ac:dyDescent="0.2">
      <c r="A42" s="108">
        <v>46129</v>
      </c>
      <c r="B42" s="114" t="s">
        <v>321</v>
      </c>
      <c r="C42" s="31">
        <v>7223846</v>
      </c>
      <c r="D42" s="31" t="s">
        <v>3</v>
      </c>
      <c r="E42" s="5" t="s">
        <v>166</v>
      </c>
      <c r="F42" s="5" t="s">
        <v>181</v>
      </c>
      <c r="G42" s="5" t="s">
        <v>224</v>
      </c>
      <c r="H42" s="145" t="s">
        <v>413</v>
      </c>
      <c r="I42" s="136">
        <v>150461</v>
      </c>
      <c r="J42" s="168" t="s">
        <v>451</v>
      </c>
      <c r="K42" s="28" t="s">
        <v>323</v>
      </c>
      <c r="L42" s="28" t="s">
        <v>268</v>
      </c>
      <c r="M42" s="101" t="s">
        <v>325</v>
      </c>
      <c r="N42" s="29">
        <v>0</v>
      </c>
      <c r="O42" s="28" t="s">
        <v>250</v>
      </c>
      <c r="P42" s="31" t="s">
        <v>3</v>
      </c>
      <c r="Q42" s="5" t="s">
        <v>76</v>
      </c>
      <c r="R42" s="1" t="s">
        <v>0</v>
      </c>
      <c r="S42" s="125" t="s">
        <v>3</v>
      </c>
    </row>
    <row r="43" spans="1:19" x14ac:dyDescent="0.2">
      <c r="A43" s="108">
        <v>46121</v>
      </c>
      <c r="B43" s="114" t="s">
        <v>211</v>
      </c>
      <c r="C43" s="31">
        <v>1014277008</v>
      </c>
      <c r="D43" s="31" t="s">
        <v>3</v>
      </c>
      <c r="E43" s="5" t="s">
        <v>166</v>
      </c>
      <c r="F43" s="5" t="s">
        <v>185</v>
      </c>
      <c r="G43" s="5" t="s">
        <v>186</v>
      </c>
      <c r="H43" s="145" t="s">
        <v>388</v>
      </c>
      <c r="I43" s="136">
        <v>110311</v>
      </c>
      <c r="J43" s="168" t="s">
        <v>452</v>
      </c>
      <c r="K43" s="28" t="s">
        <v>247</v>
      </c>
      <c r="L43" s="28" t="s">
        <v>23</v>
      </c>
      <c r="M43" s="28" t="s">
        <v>2</v>
      </c>
      <c r="N43" s="29">
        <v>100000</v>
      </c>
      <c r="O43" s="30" t="s">
        <v>248</v>
      </c>
      <c r="P43" s="31" t="s">
        <v>4</v>
      </c>
      <c r="Q43" s="5" t="s">
        <v>76</v>
      </c>
      <c r="R43" s="1" t="s">
        <v>0</v>
      </c>
      <c r="S43" s="125" t="s">
        <v>3</v>
      </c>
    </row>
    <row r="44" spans="1:19" x14ac:dyDescent="0.2">
      <c r="A44" s="108">
        <v>46126</v>
      </c>
      <c r="B44" s="114" t="s">
        <v>211</v>
      </c>
      <c r="C44" s="31">
        <v>1014277008</v>
      </c>
      <c r="D44" s="31" t="s">
        <v>3</v>
      </c>
      <c r="E44" s="5" t="s">
        <v>166</v>
      </c>
      <c r="F44" s="5" t="s">
        <v>185</v>
      </c>
      <c r="G44" s="5" t="s">
        <v>186</v>
      </c>
      <c r="H44" s="145" t="s">
        <v>388</v>
      </c>
      <c r="I44" s="136">
        <v>110311</v>
      </c>
      <c r="J44" s="168" t="s">
        <v>452</v>
      </c>
      <c r="K44" s="28" t="s">
        <v>247</v>
      </c>
      <c r="L44" s="28" t="s">
        <v>24</v>
      </c>
      <c r="M44" s="101" t="s">
        <v>249</v>
      </c>
      <c r="N44" s="29">
        <v>0</v>
      </c>
      <c r="O44" s="28" t="s">
        <v>250</v>
      </c>
      <c r="P44" s="31" t="s">
        <v>3</v>
      </c>
      <c r="Q44" s="5" t="s">
        <v>76</v>
      </c>
      <c r="R44" s="1" t="s">
        <v>0</v>
      </c>
      <c r="S44" s="125" t="s">
        <v>3</v>
      </c>
    </row>
    <row r="45" spans="1:19" x14ac:dyDescent="0.2">
      <c r="A45" s="108">
        <v>46129</v>
      </c>
      <c r="B45" s="114" t="s">
        <v>211</v>
      </c>
      <c r="C45" s="31">
        <v>1014277008</v>
      </c>
      <c r="D45" s="31" t="s">
        <v>3</v>
      </c>
      <c r="E45" s="5" t="s">
        <v>166</v>
      </c>
      <c r="F45" s="5" t="s">
        <v>185</v>
      </c>
      <c r="G45" s="5" t="s">
        <v>186</v>
      </c>
      <c r="H45" s="145" t="s">
        <v>388</v>
      </c>
      <c r="I45" s="136">
        <v>110311</v>
      </c>
      <c r="J45" s="168" t="s">
        <v>452</v>
      </c>
      <c r="K45" s="28" t="s">
        <v>247</v>
      </c>
      <c r="L45" s="28" t="s">
        <v>313</v>
      </c>
      <c r="M45" s="101" t="s">
        <v>188</v>
      </c>
      <c r="N45" s="29">
        <v>200000</v>
      </c>
      <c r="O45" s="28" t="s">
        <v>326</v>
      </c>
      <c r="P45" s="31" t="s">
        <v>4</v>
      </c>
      <c r="Q45" s="5" t="s">
        <v>76</v>
      </c>
      <c r="R45" s="1" t="s">
        <v>0</v>
      </c>
      <c r="S45" s="125" t="s">
        <v>3</v>
      </c>
    </row>
    <row r="46" spans="1:19" x14ac:dyDescent="0.2">
      <c r="A46" s="108">
        <v>46129</v>
      </c>
      <c r="B46" s="114" t="s">
        <v>211</v>
      </c>
      <c r="C46" s="31">
        <v>1014277008</v>
      </c>
      <c r="D46" s="31" t="s">
        <v>3</v>
      </c>
      <c r="E46" s="5" t="s">
        <v>166</v>
      </c>
      <c r="F46" s="5" t="s">
        <v>185</v>
      </c>
      <c r="G46" s="5" t="s">
        <v>186</v>
      </c>
      <c r="H46" s="145" t="s">
        <v>388</v>
      </c>
      <c r="I46" s="136">
        <v>110311</v>
      </c>
      <c r="J46" s="168" t="s">
        <v>452</v>
      </c>
      <c r="K46" s="28" t="s">
        <v>247</v>
      </c>
      <c r="L46" s="28" t="s">
        <v>23</v>
      </c>
      <c r="M46" s="101" t="s">
        <v>2</v>
      </c>
      <c r="N46" s="29">
        <v>0</v>
      </c>
      <c r="O46" s="28" t="s">
        <v>250</v>
      </c>
      <c r="P46" s="31" t="s">
        <v>3</v>
      </c>
      <c r="Q46" s="5" t="s">
        <v>76</v>
      </c>
      <c r="R46" s="1" t="s">
        <v>0</v>
      </c>
      <c r="S46" s="125" t="s">
        <v>3</v>
      </c>
    </row>
    <row r="47" spans="1:19" x14ac:dyDescent="0.2">
      <c r="A47" s="108">
        <v>46129</v>
      </c>
      <c r="B47" s="114" t="s">
        <v>211</v>
      </c>
      <c r="C47" s="31">
        <v>1014277008</v>
      </c>
      <c r="D47" s="31" t="s">
        <v>3</v>
      </c>
      <c r="E47" s="5" t="s">
        <v>166</v>
      </c>
      <c r="F47" s="5" t="s">
        <v>185</v>
      </c>
      <c r="G47" s="5" t="s">
        <v>186</v>
      </c>
      <c r="H47" s="145" t="s">
        <v>388</v>
      </c>
      <c r="I47" s="136">
        <v>110311</v>
      </c>
      <c r="J47" s="168" t="s">
        <v>452</v>
      </c>
      <c r="K47" s="28" t="s">
        <v>247</v>
      </c>
      <c r="L47" s="28" t="s">
        <v>42</v>
      </c>
      <c r="M47" s="101" t="s">
        <v>204</v>
      </c>
      <c r="N47" s="29">
        <v>0</v>
      </c>
      <c r="O47" s="28" t="s">
        <v>250</v>
      </c>
      <c r="P47" s="31" t="s">
        <v>3</v>
      </c>
      <c r="Q47" s="5" t="s">
        <v>76</v>
      </c>
      <c r="R47" s="1" t="s">
        <v>0</v>
      </c>
      <c r="S47" s="125" t="s">
        <v>3</v>
      </c>
    </row>
    <row r="48" spans="1:19" x14ac:dyDescent="0.2">
      <c r="A48" s="98">
        <v>46142</v>
      </c>
      <c r="B48" s="114" t="s">
        <v>211</v>
      </c>
      <c r="C48" s="31">
        <v>1014277008</v>
      </c>
      <c r="D48" s="31" t="s">
        <v>3</v>
      </c>
      <c r="E48" s="5" t="s">
        <v>166</v>
      </c>
      <c r="F48" s="5" t="s">
        <v>185</v>
      </c>
      <c r="G48" s="5" t="s">
        <v>186</v>
      </c>
      <c r="H48" s="145" t="s">
        <v>388</v>
      </c>
      <c r="I48" s="136">
        <v>110311</v>
      </c>
      <c r="J48" s="168" t="s">
        <v>452</v>
      </c>
      <c r="K48" s="28" t="s">
        <v>247</v>
      </c>
      <c r="L48" s="28" t="s">
        <v>313</v>
      </c>
      <c r="M48" s="101" t="s">
        <v>352</v>
      </c>
      <c r="N48" s="29">
        <v>200000</v>
      </c>
      <c r="O48" s="128" t="s">
        <v>356</v>
      </c>
      <c r="P48" s="31" t="s">
        <v>129</v>
      </c>
      <c r="Q48" s="5" t="s">
        <v>76</v>
      </c>
      <c r="R48" s="1" t="s">
        <v>0</v>
      </c>
      <c r="S48" s="125" t="s">
        <v>3</v>
      </c>
    </row>
    <row r="49" spans="1:19" x14ac:dyDescent="0.2">
      <c r="A49" s="108">
        <v>46150</v>
      </c>
      <c r="B49" s="114" t="s">
        <v>211</v>
      </c>
      <c r="C49" s="31">
        <v>1014277008</v>
      </c>
      <c r="D49" s="31" t="s">
        <v>3</v>
      </c>
      <c r="E49" s="5" t="s">
        <v>166</v>
      </c>
      <c r="F49" s="5" t="s">
        <v>185</v>
      </c>
      <c r="G49" s="5" t="s">
        <v>186</v>
      </c>
      <c r="H49" s="145" t="s">
        <v>388</v>
      </c>
      <c r="I49" s="136">
        <v>110311</v>
      </c>
      <c r="J49" s="168" t="s">
        <v>452</v>
      </c>
      <c r="K49" s="28" t="s">
        <v>247</v>
      </c>
      <c r="L49" s="28" t="s">
        <v>42</v>
      </c>
      <c r="M49" s="101" t="s">
        <v>204</v>
      </c>
      <c r="N49" s="29">
        <v>0</v>
      </c>
      <c r="O49" s="28" t="s">
        <v>351</v>
      </c>
      <c r="P49" s="31" t="s">
        <v>3</v>
      </c>
      <c r="Q49" s="5" t="s">
        <v>76</v>
      </c>
      <c r="R49" s="1" t="s">
        <v>0</v>
      </c>
      <c r="S49" s="125" t="s">
        <v>3</v>
      </c>
    </row>
    <row r="50" spans="1:19" x14ac:dyDescent="0.2">
      <c r="A50" s="108">
        <v>46142.9453587963</v>
      </c>
      <c r="B50" s="114" t="s">
        <v>211</v>
      </c>
      <c r="C50" s="31">
        <v>1014277008</v>
      </c>
      <c r="D50" s="31" t="s">
        <v>3</v>
      </c>
      <c r="E50" s="5" t="s">
        <v>166</v>
      </c>
      <c r="F50" s="5" t="s">
        <v>185</v>
      </c>
      <c r="G50" s="5" t="s">
        <v>186</v>
      </c>
      <c r="H50" s="145" t="s">
        <v>388</v>
      </c>
      <c r="I50" s="136">
        <v>110311</v>
      </c>
      <c r="J50" s="168" t="s">
        <v>452</v>
      </c>
      <c r="K50" s="28" t="s">
        <v>247</v>
      </c>
      <c r="L50" s="28" t="s">
        <v>24</v>
      </c>
      <c r="M50" s="101" t="s">
        <v>249</v>
      </c>
      <c r="N50" s="29">
        <v>0</v>
      </c>
      <c r="O50" s="30" t="s">
        <v>250</v>
      </c>
      <c r="P50" s="31" t="s">
        <v>3</v>
      </c>
      <c r="Q50" s="5" t="s">
        <v>76</v>
      </c>
      <c r="R50" s="1" t="s">
        <v>0</v>
      </c>
      <c r="S50" s="125" t="s">
        <v>3</v>
      </c>
    </row>
    <row r="51" spans="1:19" x14ac:dyDescent="0.2">
      <c r="A51" s="108">
        <v>46142.948217592595</v>
      </c>
      <c r="B51" s="114" t="s">
        <v>211</v>
      </c>
      <c r="C51" s="31">
        <v>1014277008</v>
      </c>
      <c r="D51" s="31" t="s">
        <v>3</v>
      </c>
      <c r="E51" s="5" t="s">
        <v>166</v>
      </c>
      <c r="F51" s="5" t="s">
        <v>185</v>
      </c>
      <c r="G51" s="5" t="s">
        <v>186</v>
      </c>
      <c r="H51" s="145" t="s">
        <v>388</v>
      </c>
      <c r="I51" s="136">
        <v>110311</v>
      </c>
      <c r="J51" s="168" t="s">
        <v>452</v>
      </c>
      <c r="K51" s="28" t="s">
        <v>247</v>
      </c>
      <c r="L51" s="28" t="s">
        <v>24</v>
      </c>
      <c r="M51" s="101" t="s">
        <v>249</v>
      </c>
      <c r="N51" s="29">
        <v>0</v>
      </c>
      <c r="O51" s="30" t="s">
        <v>250</v>
      </c>
      <c r="P51" s="31" t="s">
        <v>3</v>
      </c>
      <c r="Q51" s="5" t="s">
        <v>76</v>
      </c>
      <c r="R51" s="1" t="s">
        <v>0</v>
      </c>
      <c r="S51" s="125" t="s">
        <v>3</v>
      </c>
    </row>
    <row r="52" spans="1:19" x14ac:dyDescent="0.2">
      <c r="A52" s="108">
        <v>46132</v>
      </c>
      <c r="B52" s="114" t="s">
        <v>327</v>
      </c>
      <c r="C52" s="31">
        <v>79757195</v>
      </c>
      <c r="D52" s="31" t="s">
        <v>3</v>
      </c>
      <c r="E52" s="5" t="s">
        <v>166</v>
      </c>
      <c r="F52" s="5" t="s">
        <v>185</v>
      </c>
      <c r="G52" s="5" t="s">
        <v>186</v>
      </c>
      <c r="H52" s="145" t="s">
        <v>414</v>
      </c>
      <c r="I52" s="136">
        <v>110831</v>
      </c>
      <c r="J52" s="28" t="s">
        <v>328</v>
      </c>
      <c r="K52" s="28" t="s">
        <v>329</v>
      </c>
      <c r="L52" s="28" t="s">
        <v>313</v>
      </c>
      <c r="M52" s="101" t="s">
        <v>188</v>
      </c>
      <c r="N52" s="29">
        <v>200000</v>
      </c>
      <c r="O52" s="28" t="s">
        <v>330</v>
      </c>
      <c r="P52" s="31" t="s">
        <v>4</v>
      </c>
      <c r="Q52" s="5" t="s">
        <v>76</v>
      </c>
      <c r="R52" s="1" t="s">
        <v>0</v>
      </c>
      <c r="S52" s="125" t="s">
        <v>3</v>
      </c>
    </row>
    <row r="53" spans="1:19" x14ac:dyDescent="0.2">
      <c r="A53" s="108">
        <v>46134.530624999999</v>
      </c>
      <c r="B53" s="114" t="s">
        <v>327</v>
      </c>
      <c r="C53" s="31">
        <v>79757195</v>
      </c>
      <c r="D53" s="31" t="s">
        <v>3</v>
      </c>
      <c r="E53" s="5" t="s">
        <v>166</v>
      </c>
      <c r="F53" s="5" t="s">
        <v>185</v>
      </c>
      <c r="G53" s="5" t="s">
        <v>186</v>
      </c>
      <c r="H53" s="145" t="s">
        <v>415</v>
      </c>
      <c r="I53" s="136">
        <v>110831</v>
      </c>
      <c r="J53" s="28" t="s">
        <v>328</v>
      </c>
      <c r="K53" s="28" t="s">
        <v>329</v>
      </c>
      <c r="L53" s="28" t="s">
        <v>23</v>
      </c>
      <c r="M53" s="101" t="s">
        <v>2</v>
      </c>
      <c r="N53" s="29">
        <v>0</v>
      </c>
      <c r="O53" s="30" t="s">
        <v>250</v>
      </c>
      <c r="P53" s="31" t="s">
        <v>3</v>
      </c>
      <c r="Q53" s="5" t="s">
        <v>76</v>
      </c>
      <c r="R53" s="1" t="s">
        <v>0</v>
      </c>
      <c r="S53" s="125" t="s">
        <v>3</v>
      </c>
    </row>
    <row r="54" spans="1:19" x14ac:dyDescent="0.2">
      <c r="A54" s="108">
        <v>46110</v>
      </c>
      <c r="B54" s="114" t="s">
        <v>194</v>
      </c>
      <c r="C54" s="31">
        <v>13715491</v>
      </c>
      <c r="D54" s="31" t="s">
        <v>3</v>
      </c>
      <c r="E54" s="5" t="s">
        <v>166</v>
      </c>
      <c r="F54" s="5" t="s">
        <v>185</v>
      </c>
      <c r="G54" s="5" t="s">
        <v>186</v>
      </c>
      <c r="H54" s="145" t="s">
        <v>416</v>
      </c>
      <c r="I54" s="136">
        <v>111711</v>
      </c>
      <c r="J54" s="31" t="s">
        <v>252</v>
      </c>
      <c r="K54" s="28" t="s">
        <v>253</v>
      </c>
      <c r="L54" s="28" t="s">
        <v>23</v>
      </c>
      <c r="M54" s="28" t="s">
        <v>188</v>
      </c>
      <c r="N54" s="29">
        <v>200000</v>
      </c>
      <c r="O54" s="28" t="s">
        <v>195</v>
      </c>
      <c r="P54" s="31" t="s">
        <v>4</v>
      </c>
      <c r="Q54" s="5" t="s">
        <v>76</v>
      </c>
      <c r="R54" s="1" t="s">
        <v>0</v>
      </c>
      <c r="S54" s="125" t="s">
        <v>3</v>
      </c>
    </row>
    <row r="55" spans="1:19" x14ac:dyDescent="0.2">
      <c r="A55" s="108">
        <v>46113</v>
      </c>
      <c r="B55" s="114" t="s">
        <v>194</v>
      </c>
      <c r="C55" s="31">
        <v>13715491</v>
      </c>
      <c r="D55" s="31" t="s">
        <v>3</v>
      </c>
      <c r="E55" s="5" t="s">
        <v>166</v>
      </c>
      <c r="F55" s="5" t="s">
        <v>185</v>
      </c>
      <c r="G55" s="5" t="s">
        <v>186</v>
      </c>
      <c r="H55" s="145" t="s">
        <v>251</v>
      </c>
      <c r="I55" s="136">
        <v>111711</v>
      </c>
      <c r="J55" s="31" t="s">
        <v>252</v>
      </c>
      <c r="K55" s="28" t="s">
        <v>253</v>
      </c>
      <c r="L55" s="28" t="s">
        <v>23</v>
      </c>
      <c r="M55" s="28" t="s">
        <v>188</v>
      </c>
      <c r="N55" s="29">
        <v>200000</v>
      </c>
      <c r="O55" s="28" t="s">
        <v>199</v>
      </c>
      <c r="P55" s="31" t="s">
        <v>4</v>
      </c>
      <c r="Q55" s="5" t="s">
        <v>76</v>
      </c>
      <c r="R55" s="1" t="s">
        <v>0</v>
      </c>
      <c r="S55" s="125" t="s">
        <v>3</v>
      </c>
    </row>
    <row r="56" spans="1:19" x14ac:dyDescent="0.2">
      <c r="A56" s="108">
        <v>46113</v>
      </c>
      <c r="B56" s="114" t="s">
        <v>194</v>
      </c>
      <c r="C56" s="31">
        <v>13715491</v>
      </c>
      <c r="D56" s="31" t="s">
        <v>3</v>
      </c>
      <c r="E56" s="5" t="s">
        <v>166</v>
      </c>
      <c r="F56" s="5" t="s">
        <v>185</v>
      </c>
      <c r="G56" s="5" t="s">
        <v>186</v>
      </c>
      <c r="H56" s="145" t="s">
        <v>251</v>
      </c>
      <c r="I56" s="136">
        <v>111711</v>
      </c>
      <c r="J56" s="31" t="s">
        <v>252</v>
      </c>
      <c r="K56" s="28" t="s">
        <v>253</v>
      </c>
      <c r="L56" s="28" t="s">
        <v>23</v>
      </c>
      <c r="M56" s="28" t="s">
        <v>188</v>
      </c>
      <c r="N56" s="29">
        <v>200000</v>
      </c>
      <c r="O56" s="28" t="s">
        <v>200</v>
      </c>
      <c r="P56" s="31" t="s">
        <v>4</v>
      </c>
      <c r="Q56" s="5" t="s">
        <v>76</v>
      </c>
      <c r="R56" s="1" t="s">
        <v>0</v>
      </c>
      <c r="S56" s="125" t="s">
        <v>3</v>
      </c>
    </row>
    <row r="57" spans="1:19" x14ac:dyDescent="0.2">
      <c r="A57" s="108">
        <v>46114</v>
      </c>
      <c r="B57" s="114" t="s">
        <v>194</v>
      </c>
      <c r="C57" s="31">
        <v>13715491</v>
      </c>
      <c r="D57" s="31" t="s">
        <v>3</v>
      </c>
      <c r="E57" s="5" t="s">
        <v>166</v>
      </c>
      <c r="F57" s="5" t="s">
        <v>185</v>
      </c>
      <c r="G57" s="5" t="s">
        <v>186</v>
      </c>
      <c r="H57" s="145" t="s">
        <v>251</v>
      </c>
      <c r="I57" s="136">
        <v>111711</v>
      </c>
      <c r="J57" s="31" t="s">
        <v>252</v>
      </c>
      <c r="K57" s="28" t="s">
        <v>253</v>
      </c>
      <c r="L57" s="28" t="s">
        <v>23</v>
      </c>
      <c r="M57" s="101" t="s">
        <v>201</v>
      </c>
      <c r="N57" s="29">
        <v>400000</v>
      </c>
      <c r="O57" s="28" t="s">
        <v>202</v>
      </c>
      <c r="P57" s="31" t="s">
        <v>4</v>
      </c>
      <c r="Q57" s="5" t="s">
        <v>76</v>
      </c>
      <c r="R57" s="1" t="s">
        <v>0</v>
      </c>
      <c r="S57" s="125" t="s">
        <v>3</v>
      </c>
    </row>
    <row r="58" spans="1:19" x14ac:dyDescent="0.2">
      <c r="A58" s="108">
        <v>46114</v>
      </c>
      <c r="B58" s="114" t="s">
        <v>194</v>
      </c>
      <c r="C58" s="31">
        <v>13715491</v>
      </c>
      <c r="D58" s="31" t="s">
        <v>3</v>
      </c>
      <c r="E58" s="5" t="s">
        <v>166</v>
      </c>
      <c r="F58" s="5" t="s">
        <v>185</v>
      </c>
      <c r="G58" s="5" t="s">
        <v>186</v>
      </c>
      <c r="H58" s="145" t="s">
        <v>251</v>
      </c>
      <c r="I58" s="136">
        <v>111711</v>
      </c>
      <c r="J58" s="31" t="s">
        <v>252</v>
      </c>
      <c r="K58" s="28" t="s">
        <v>253</v>
      </c>
      <c r="L58" s="28" t="s">
        <v>23</v>
      </c>
      <c r="M58" s="101" t="s">
        <v>201</v>
      </c>
      <c r="N58" s="29">
        <v>400000</v>
      </c>
      <c r="O58" s="28" t="s">
        <v>203</v>
      </c>
      <c r="P58" s="31" t="s">
        <v>4</v>
      </c>
      <c r="Q58" s="5" t="s">
        <v>76</v>
      </c>
      <c r="R58" s="1" t="s">
        <v>0</v>
      </c>
      <c r="S58" s="125" t="s">
        <v>3</v>
      </c>
    </row>
    <row r="59" spans="1:19" x14ac:dyDescent="0.2">
      <c r="A59" s="108">
        <v>46124</v>
      </c>
      <c r="B59" s="114" t="s">
        <v>194</v>
      </c>
      <c r="C59" s="31">
        <v>13715491</v>
      </c>
      <c r="D59" s="31" t="s">
        <v>3</v>
      </c>
      <c r="E59" s="5" t="s">
        <v>166</v>
      </c>
      <c r="F59" s="5" t="s">
        <v>185</v>
      </c>
      <c r="G59" s="5" t="s">
        <v>186</v>
      </c>
      <c r="H59" s="145" t="s">
        <v>251</v>
      </c>
      <c r="I59" s="136">
        <v>111711</v>
      </c>
      <c r="J59" s="31" t="s">
        <v>252</v>
      </c>
      <c r="K59" s="28" t="s">
        <v>253</v>
      </c>
      <c r="L59" s="28" t="s">
        <v>23</v>
      </c>
      <c r="M59" s="28" t="s">
        <v>2</v>
      </c>
      <c r="N59" s="29">
        <v>0</v>
      </c>
      <c r="O59" s="30" t="s">
        <v>250</v>
      </c>
      <c r="P59" s="31" t="s">
        <v>3</v>
      </c>
      <c r="Q59" s="5" t="s">
        <v>76</v>
      </c>
      <c r="R59" s="1" t="s">
        <v>0</v>
      </c>
      <c r="S59" s="125" t="s">
        <v>3</v>
      </c>
    </row>
    <row r="60" spans="1:19" x14ac:dyDescent="0.2">
      <c r="A60" s="108">
        <v>46124</v>
      </c>
      <c r="B60" s="114" t="s">
        <v>194</v>
      </c>
      <c r="C60" s="31">
        <v>13715491</v>
      </c>
      <c r="D60" s="31" t="s">
        <v>3</v>
      </c>
      <c r="E60" s="5" t="s">
        <v>166</v>
      </c>
      <c r="F60" s="5" t="s">
        <v>185</v>
      </c>
      <c r="G60" s="5" t="s">
        <v>186</v>
      </c>
      <c r="H60" s="145" t="s">
        <v>251</v>
      </c>
      <c r="I60" s="136">
        <v>111711</v>
      </c>
      <c r="J60" s="31" t="s">
        <v>252</v>
      </c>
      <c r="K60" s="28" t="s">
        <v>253</v>
      </c>
      <c r="L60" s="28" t="s">
        <v>23</v>
      </c>
      <c r="M60" s="28" t="s">
        <v>188</v>
      </c>
      <c r="N60" s="29">
        <v>200000</v>
      </c>
      <c r="O60" s="28" t="s">
        <v>254</v>
      </c>
      <c r="P60" s="31" t="s">
        <v>4</v>
      </c>
      <c r="Q60" s="5" t="s">
        <v>76</v>
      </c>
      <c r="R60" s="1" t="s">
        <v>0</v>
      </c>
      <c r="S60" s="125" t="s">
        <v>3</v>
      </c>
    </row>
    <row r="61" spans="1:19" x14ac:dyDescent="0.2">
      <c r="A61" s="108">
        <v>46129</v>
      </c>
      <c r="B61" s="114" t="s">
        <v>194</v>
      </c>
      <c r="C61" s="31">
        <v>13715491</v>
      </c>
      <c r="D61" s="31" t="s">
        <v>3</v>
      </c>
      <c r="E61" s="5" t="s">
        <v>166</v>
      </c>
      <c r="F61" s="5" t="s">
        <v>185</v>
      </c>
      <c r="G61" s="5" t="s">
        <v>186</v>
      </c>
      <c r="H61" s="145" t="s">
        <v>251</v>
      </c>
      <c r="I61" s="136">
        <v>111711</v>
      </c>
      <c r="J61" s="31" t="s">
        <v>252</v>
      </c>
      <c r="K61" s="28" t="s">
        <v>253</v>
      </c>
      <c r="L61" s="28" t="s">
        <v>313</v>
      </c>
      <c r="M61" s="101" t="s">
        <v>188</v>
      </c>
      <c r="N61" s="29">
        <v>200000</v>
      </c>
      <c r="O61" s="28" t="s">
        <v>331</v>
      </c>
      <c r="P61" s="31" t="s">
        <v>4</v>
      </c>
      <c r="Q61" s="5" t="s">
        <v>76</v>
      </c>
      <c r="R61" s="1" t="s">
        <v>0</v>
      </c>
      <c r="S61" s="125" t="s">
        <v>3</v>
      </c>
    </row>
    <row r="62" spans="1:19" x14ac:dyDescent="0.2">
      <c r="A62" s="108">
        <v>46129</v>
      </c>
      <c r="B62" s="114" t="s">
        <v>194</v>
      </c>
      <c r="C62" s="31">
        <v>13715491</v>
      </c>
      <c r="D62" s="31" t="s">
        <v>3</v>
      </c>
      <c r="E62" s="5" t="s">
        <v>166</v>
      </c>
      <c r="F62" s="5" t="s">
        <v>185</v>
      </c>
      <c r="G62" s="5" t="s">
        <v>186</v>
      </c>
      <c r="H62" s="145" t="s">
        <v>251</v>
      </c>
      <c r="I62" s="136">
        <v>111711</v>
      </c>
      <c r="J62" s="31" t="s">
        <v>252</v>
      </c>
      <c r="K62" s="28" t="s">
        <v>253</v>
      </c>
      <c r="L62" s="28" t="s">
        <v>23</v>
      </c>
      <c r="M62" s="101" t="s">
        <v>15</v>
      </c>
      <c r="N62" s="29">
        <v>0</v>
      </c>
      <c r="O62" s="28" t="s">
        <v>250</v>
      </c>
      <c r="P62" s="31" t="s">
        <v>3</v>
      </c>
      <c r="Q62" s="5" t="s">
        <v>76</v>
      </c>
      <c r="R62" s="1" t="s">
        <v>0</v>
      </c>
      <c r="S62" s="125" t="s">
        <v>3</v>
      </c>
    </row>
    <row r="63" spans="1:19" x14ac:dyDescent="0.2">
      <c r="A63" s="108">
        <v>46129</v>
      </c>
      <c r="B63" s="114" t="s">
        <v>194</v>
      </c>
      <c r="C63" s="31">
        <v>13715491</v>
      </c>
      <c r="D63" s="31" t="s">
        <v>3</v>
      </c>
      <c r="E63" s="5" t="s">
        <v>166</v>
      </c>
      <c r="F63" s="5" t="s">
        <v>185</v>
      </c>
      <c r="G63" s="5" t="s">
        <v>186</v>
      </c>
      <c r="H63" s="145" t="s">
        <v>251</v>
      </c>
      <c r="I63" s="136">
        <v>111711</v>
      </c>
      <c r="J63" s="31" t="s">
        <v>252</v>
      </c>
      <c r="K63" s="28" t="s">
        <v>253</v>
      </c>
      <c r="L63" s="28" t="s">
        <v>309</v>
      </c>
      <c r="M63" s="101" t="s">
        <v>320</v>
      </c>
      <c r="N63" s="29">
        <v>0</v>
      </c>
      <c r="O63" s="28" t="s">
        <v>250</v>
      </c>
      <c r="P63" s="31" t="s">
        <v>3</v>
      </c>
      <c r="Q63" s="5" t="s">
        <v>76</v>
      </c>
      <c r="R63" s="1" t="s">
        <v>0</v>
      </c>
      <c r="S63" s="125" t="s">
        <v>3</v>
      </c>
    </row>
    <row r="64" spans="1:19" x14ac:dyDescent="0.2">
      <c r="A64" s="98">
        <v>46142</v>
      </c>
      <c r="B64" s="114" t="s">
        <v>194</v>
      </c>
      <c r="C64" s="31">
        <v>13715491</v>
      </c>
      <c r="D64" s="31" t="s">
        <v>3</v>
      </c>
      <c r="E64" s="5" t="s">
        <v>166</v>
      </c>
      <c r="F64" s="5" t="s">
        <v>185</v>
      </c>
      <c r="G64" s="5" t="s">
        <v>186</v>
      </c>
      <c r="H64" s="145" t="s">
        <v>251</v>
      </c>
      <c r="I64" s="136">
        <v>111711</v>
      </c>
      <c r="J64" s="31" t="s">
        <v>252</v>
      </c>
      <c r="K64" s="28" t="s">
        <v>253</v>
      </c>
      <c r="L64" s="28" t="s">
        <v>309</v>
      </c>
      <c r="M64" s="101" t="s">
        <v>357</v>
      </c>
      <c r="N64" s="29">
        <v>1000000</v>
      </c>
      <c r="O64" s="128" t="s">
        <v>358</v>
      </c>
      <c r="P64" s="31" t="s">
        <v>359</v>
      </c>
      <c r="Q64" s="5" t="s">
        <v>76</v>
      </c>
      <c r="R64" s="1" t="s">
        <v>0</v>
      </c>
      <c r="S64" s="125" t="s">
        <v>3</v>
      </c>
    </row>
    <row r="65" spans="1:19" x14ac:dyDescent="0.2">
      <c r="A65" s="108">
        <v>46150</v>
      </c>
      <c r="B65" s="114" t="s">
        <v>194</v>
      </c>
      <c r="C65" s="31">
        <v>13715491</v>
      </c>
      <c r="D65" s="31" t="s">
        <v>3</v>
      </c>
      <c r="E65" s="5" t="s">
        <v>166</v>
      </c>
      <c r="F65" s="5" t="s">
        <v>185</v>
      </c>
      <c r="G65" s="5" t="s">
        <v>186</v>
      </c>
      <c r="H65" s="145" t="s">
        <v>251</v>
      </c>
      <c r="I65" s="136">
        <v>111711</v>
      </c>
      <c r="J65" s="31" t="s">
        <v>252</v>
      </c>
      <c r="K65" s="28" t="s">
        <v>253</v>
      </c>
      <c r="L65" s="28" t="s">
        <v>42</v>
      </c>
      <c r="M65" s="101" t="s">
        <v>332</v>
      </c>
      <c r="N65" s="29">
        <v>0</v>
      </c>
      <c r="O65" s="28" t="s">
        <v>351</v>
      </c>
      <c r="P65" s="31" t="s">
        <v>3</v>
      </c>
      <c r="Q65" s="5" t="s">
        <v>76</v>
      </c>
      <c r="R65" s="1" t="s">
        <v>0</v>
      </c>
      <c r="S65" s="125" t="s">
        <v>3</v>
      </c>
    </row>
    <row r="66" spans="1:19" x14ac:dyDescent="0.2">
      <c r="A66" s="108">
        <v>46142.810636574075</v>
      </c>
      <c r="B66" s="114" t="s">
        <v>194</v>
      </c>
      <c r="C66" s="31">
        <v>13715491</v>
      </c>
      <c r="D66" s="31" t="s">
        <v>3</v>
      </c>
      <c r="E66" s="5" t="s">
        <v>166</v>
      </c>
      <c r="F66" s="5" t="s">
        <v>185</v>
      </c>
      <c r="G66" s="5" t="s">
        <v>186</v>
      </c>
      <c r="H66" s="145" t="s">
        <v>251</v>
      </c>
      <c r="I66" s="136">
        <v>111711</v>
      </c>
      <c r="J66" s="31" t="s">
        <v>252</v>
      </c>
      <c r="K66" s="28" t="s">
        <v>253</v>
      </c>
      <c r="L66" s="28" t="s">
        <v>24</v>
      </c>
      <c r="M66" s="101" t="s">
        <v>335</v>
      </c>
      <c r="N66" s="29">
        <v>0</v>
      </c>
      <c r="O66" s="30" t="s">
        <v>250</v>
      </c>
      <c r="P66" s="31" t="s">
        <v>3</v>
      </c>
      <c r="Q66" s="5" t="s">
        <v>76</v>
      </c>
      <c r="R66" s="1" t="s">
        <v>0</v>
      </c>
      <c r="S66" s="125" t="s">
        <v>3</v>
      </c>
    </row>
    <row r="67" spans="1:19" x14ac:dyDescent="0.2">
      <c r="A67" s="108">
        <v>46142.820833333331</v>
      </c>
      <c r="B67" s="114" t="s">
        <v>194</v>
      </c>
      <c r="C67" s="31">
        <v>13715491</v>
      </c>
      <c r="D67" s="31" t="s">
        <v>3</v>
      </c>
      <c r="E67" s="5" t="s">
        <v>166</v>
      </c>
      <c r="F67" s="5" t="s">
        <v>185</v>
      </c>
      <c r="G67" s="5" t="s">
        <v>186</v>
      </c>
      <c r="H67" s="145" t="s">
        <v>251</v>
      </c>
      <c r="I67" s="136">
        <v>111711</v>
      </c>
      <c r="J67" s="31" t="s">
        <v>252</v>
      </c>
      <c r="K67" s="28" t="s">
        <v>253</v>
      </c>
      <c r="L67" s="28" t="s">
        <v>23</v>
      </c>
      <c r="M67" s="101" t="s">
        <v>15</v>
      </c>
      <c r="N67" s="29">
        <v>0</v>
      </c>
      <c r="O67" s="30" t="s">
        <v>250</v>
      </c>
      <c r="P67" s="31" t="s">
        <v>3</v>
      </c>
      <c r="Q67" s="5" t="s">
        <v>76</v>
      </c>
      <c r="R67" s="1" t="s">
        <v>0</v>
      </c>
      <c r="S67" s="125" t="s">
        <v>3</v>
      </c>
    </row>
    <row r="68" spans="1:19" x14ac:dyDescent="0.2">
      <c r="A68" s="108">
        <v>46142.822129629632</v>
      </c>
      <c r="B68" s="114" t="s">
        <v>194</v>
      </c>
      <c r="C68" s="31">
        <v>13715491</v>
      </c>
      <c r="D68" s="31" t="s">
        <v>3</v>
      </c>
      <c r="E68" s="5" t="s">
        <v>166</v>
      </c>
      <c r="F68" s="5" t="s">
        <v>185</v>
      </c>
      <c r="G68" s="5" t="s">
        <v>186</v>
      </c>
      <c r="H68" s="145" t="s">
        <v>251</v>
      </c>
      <c r="I68" s="136">
        <v>111711</v>
      </c>
      <c r="J68" s="31" t="s">
        <v>252</v>
      </c>
      <c r="K68" s="28" t="s">
        <v>253</v>
      </c>
      <c r="L68" s="28" t="s">
        <v>42</v>
      </c>
      <c r="M68" s="101" t="s">
        <v>204</v>
      </c>
      <c r="N68" s="29">
        <v>0</v>
      </c>
      <c r="O68" s="30" t="s">
        <v>250</v>
      </c>
      <c r="P68" s="31" t="s">
        <v>3</v>
      </c>
      <c r="Q68" s="5" t="s">
        <v>76</v>
      </c>
      <c r="R68" s="1" t="s">
        <v>0</v>
      </c>
      <c r="S68" s="125" t="s">
        <v>3</v>
      </c>
    </row>
    <row r="69" spans="1:19" x14ac:dyDescent="0.2">
      <c r="A69" s="108">
        <v>46142.823344907411</v>
      </c>
      <c r="B69" s="114" t="s">
        <v>194</v>
      </c>
      <c r="C69" s="31">
        <v>13715491</v>
      </c>
      <c r="D69" s="31" t="s">
        <v>3</v>
      </c>
      <c r="E69" s="5" t="s">
        <v>166</v>
      </c>
      <c r="F69" s="5" t="s">
        <v>185</v>
      </c>
      <c r="G69" s="5" t="s">
        <v>186</v>
      </c>
      <c r="H69" s="145" t="s">
        <v>251</v>
      </c>
      <c r="I69" s="136">
        <v>111711</v>
      </c>
      <c r="J69" s="31" t="s">
        <v>252</v>
      </c>
      <c r="K69" s="28" t="s">
        <v>253</v>
      </c>
      <c r="L69" s="28" t="s">
        <v>23</v>
      </c>
      <c r="M69" s="101" t="s">
        <v>2</v>
      </c>
      <c r="N69" s="29">
        <v>0</v>
      </c>
      <c r="O69" s="30" t="s">
        <v>250</v>
      </c>
      <c r="P69" s="31" t="s">
        <v>3</v>
      </c>
      <c r="Q69" s="5" t="s">
        <v>76</v>
      </c>
      <c r="R69" s="1" t="s">
        <v>0</v>
      </c>
      <c r="S69" s="125" t="s">
        <v>3</v>
      </c>
    </row>
    <row r="70" spans="1:19" x14ac:dyDescent="0.2">
      <c r="A70" s="108">
        <v>46142.824826388889</v>
      </c>
      <c r="B70" s="114" t="s">
        <v>194</v>
      </c>
      <c r="C70" s="31">
        <v>13715491</v>
      </c>
      <c r="D70" s="31" t="s">
        <v>3</v>
      </c>
      <c r="E70" s="5" t="s">
        <v>166</v>
      </c>
      <c r="F70" s="5" t="s">
        <v>185</v>
      </c>
      <c r="G70" s="5" t="s">
        <v>186</v>
      </c>
      <c r="H70" s="145" t="s">
        <v>251</v>
      </c>
      <c r="I70" s="136">
        <v>111711</v>
      </c>
      <c r="J70" s="31" t="s">
        <v>252</v>
      </c>
      <c r="K70" s="28" t="s">
        <v>253</v>
      </c>
      <c r="L70" s="28" t="s">
        <v>42</v>
      </c>
      <c r="M70" s="101" t="s">
        <v>317</v>
      </c>
      <c r="N70" s="29">
        <v>0</v>
      </c>
      <c r="O70" s="30" t="s">
        <v>250</v>
      </c>
      <c r="P70" s="31" t="s">
        <v>3</v>
      </c>
      <c r="Q70" s="5" t="s">
        <v>76</v>
      </c>
      <c r="R70" s="1" t="s">
        <v>0</v>
      </c>
      <c r="S70" s="125" t="s">
        <v>3</v>
      </c>
    </row>
    <row r="71" spans="1:19" x14ac:dyDescent="0.2">
      <c r="A71" s="108">
        <v>46142.830625000002</v>
      </c>
      <c r="B71" s="114" t="s">
        <v>194</v>
      </c>
      <c r="C71" s="31">
        <v>13715491</v>
      </c>
      <c r="D71" s="31" t="s">
        <v>3</v>
      </c>
      <c r="E71" s="5" t="s">
        <v>166</v>
      </c>
      <c r="F71" s="5" t="s">
        <v>185</v>
      </c>
      <c r="G71" s="5" t="s">
        <v>186</v>
      </c>
      <c r="H71" s="145" t="s">
        <v>251</v>
      </c>
      <c r="I71" s="136">
        <v>111711</v>
      </c>
      <c r="J71" s="31" t="s">
        <v>252</v>
      </c>
      <c r="K71" s="28" t="s">
        <v>253</v>
      </c>
      <c r="L71" s="28" t="s">
        <v>24</v>
      </c>
      <c r="M71" s="101" t="s">
        <v>249</v>
      </c>
      <c r="N71" s="29">
        <v>0</v>
      </c>
      <c r="O71" s="30" t="s">
        <v>250</v>
      </c>
      <c r="P71" s="31" t="s">
        <v>3</v>
      </c>
      <c r="Q71" s="5" t="s">
        <v>76</v>
      </c>
      <c r="R71" s="1" t="s">
        <v>0</v>
      </c>
      <c r="S71" s="125" t="s">
        <v>3</v>
      </c>
    </row>
    <row r="72" spans="1:19" x14ac:dyDescent="0.2">
      <c r="A72" s="108">
        <v>45873.866238425922</v>
      </c>
      <c r="B72" s="132" t="s">
        <v>88</v>
      </c>
      <c r="C72" s="31">
        <v>79394729</v>
      </c>
      <c r="D72" s="31" t="s">
        <v>255</v>
      </c>
      <c r="E72" s="5" t="s">
        <v>166</v>
      </c>
      <c r="F72" s="5" t="s">
        <v>169</v>
      </c>
      <c r="G72" s="5" t="s">
        <v>177</v>
      </c>
      <c r="H72" s="145" t="s">
        <v>417</v>
      </c>
      <c r="I72" s="136">
        <v>55460</v>
      </c>
      <c r="J72" s="28" t="s">
        <v>256</v>
      </c>
      <c r="K72" s="28" t="s">
        <v>257</v>
      </c>
      <c r="L72" s="28" t="s">
        <v>227</v>
      </c>
      <c r="M72" s="101" t="s">
        <v>15</v>
      </c>
      <c r="N72" s="29">
        <v>0</v>
      </c>
      <c r="O72" s="30" t="s">
        <v>40</v>
      </c>
      <c r="P72" s="31" t="s">
        <v>3</v>
      </c>
      <c r="Q72" s="5" t="s">
        <v>76</v>
      </c>
      <c r="R72" s="1" t="s">
        <v>0</v>
      </c>
      <c r="S72" s="125" t="s">
        <v>401</v>
      </c>
    </row>
    <row r="73" spans="1:19" x14ac:dyDescent="0.2">
      <c r="A73" s="108">
        <v>45873.866238425922</v>
      </c>
      <c r="B73" s="132" t="s">
        <v>88</v>
      </c>
      <c r="C73" s="31">
        <v>79394729</v>
      </c>
      <c r="D73" s="31" t="s">
        <v>255</v>
      </c>
      <c r="E73" s="5" t="s">
        <v>166</v>
      </c>
      <c r="F73" s="5" t="s">
        <v>169</v>
      </c>
      <c r="G73" s="5" t="s">
        <v>177</v>
      </c>
      <c r="H73" s="145" t="s">
        <v>417</v>
      </c>
      <c r="I73" s="136">
        <v>55460</v>
      </c>
      <c r="J73" s="28" t="s">
        <v>256</v>
      </c>
      <c r="K73" s="28" t="s">
        <v>257</v>
      </c>
      <c r="L73" s="28" t="s">
        <v>227</v>
      </c>
      <c r="M73" s="32" t="s">
        <v>9</v>
      </c>
      <c r="N73" s="33">
        <v>200000</v>
      </c>
      <c r="O73" s="34" t="s">
        <v>127</v>
      </c>
      <c r="P73" s="31" t="s">
        <v>4</v>
      </c>
      <c r="Q73" s="5" t="s">
        <v>76</v>
      </c>
      <c r="R73" s="1" t="s">
        <v>0</v>
      </c>
      <c r="S73" s="125" t="s">
        <v>401</v>
      </c>
    </row>
    <row r="74" spans="1:19" x14ac:dyDescent="0.2">
      <c r="A74" s="108">
        <v>45968</v>
      </c>
      <c r="B74" s="132" t="s">
        <v>88</v>
      </c>
      <c r="C74" s="31">
        <v>79394729</v>
      </c>
      <c r="D74" s="31" t="s">
        <v>255</v>
      </c>
      <c r="E74" s="5" t="s">
        <v>166</v>
      </c>
      <c r="F74" s="5" t="s">
        <v>169</v>
      </c>
      <c r="G74" s="5" t="s">
        <v>177</v>
      </c>
      <c r="H74" s="145" t="s">
        <v>417</v>
      </c>
      <c r="I74" s="136">
        <v>55460</v>
      </c>
      <c r="J74" s="31" t="s">
        <v>256</v>
      </c>
      <c r="K74" s="28" t="s">
        <v>257</v>
      </c>
      <c r="L74" s="28" t="s">
        <v>24</v>
      </c>
      <c r="M74" s="28" t="s">
        <v>126</v>
      </c>
      <c r="N74" s="29">
        <v>0</v>
      </c>
      <c r="O74" s="30" t="s">
        <v>360</v>
      </c>
      <c r="P74" s="115" t="s">
        <v>3</v>
      </c>
      <c r="Q74" s="5" t="s">
        <v>76</v>
      </c>
      <c r="R74" s="1" t="s">
        <v>0</v>
      </c>
      <c r="S74" s="125" t="s">
        <v>401</v>
      </c>
    </row>
    <row r="75" spans="1:19" x14ac:dyDescent="0.2">
      <c r="A75" s="108">
        <v>46015</v>
      </c>
      <c r="B75" s="131" t="s">
        <v>88</v>
      </c>
      <c r="C75" s="31">
        <v>79394729</v>
      </c>
      <c r="D75" s="31" t="s">
        <v>255</v>
      </c>
      <c r="E75" s="5" t="s">
        <v>166</v>
      </c>
      <c r="F75" s="5" t="s">
        <v>169</v>
      </c>
      <c r="G75" s="5" t="s">
        <v>177</v>
      </c>
      <c r="H75" s="145" t="s">
        <v>417</v>
      </c>
      <c r="I75" s="136">
        <v>55460</v>
      </c>
      <c r="J75" s="31" t="s">
        <v>256</v>
      </c>
      <c r="K75" s="28" t="s">
        <v>257</v>
      </c>
      <c r="L75" s="28" t="s">
        <v>9</v>
      </c>
      <c r="M75" s="32" t="s">
        <v>75</v>
      </c>
      <c r="N75" s="33">
        <v>200000</v>
      </c>
      <c r="O75" s="34" t="s">
        <v>125</v>
      </c>
      <c r="P75" s="31" t="s">
        <v>14</v>
      </c>
      <c r="Q75" s="5" t="s">
        <v>76</v>
      </c>
      <c r="R75" s="1" t="s">
        <v>0</v>
      </c>
      <c r="S75" s="125" t="s">
        <v>401</v>
      </c>
    </row>
    <row r="76" spans="1:19" x14ac:dyDescent="0.2">
      <c r="A76" s="108">
        <v>46131</v>
      </c>
      <c r="B76" s="131" t="s">
        <v>88</v>
      </c>
      <c r="C76" s="31">
        <v>79394729</v>
      </c>
      <c r="D76" s="31" t="s">
        <v>255</v>
      </c>
      <c r="E76" s="5" t="s">
        <v>166</v>
      </c>
      <c r="F76" s="5" t="s">
        <v>169</v>
      </c>
      <c r="G76" s="5" t="s">
        <v>177</v>
      </c>
      <c r="H76" s="145" t="s">
        <v>417</v>
      </c>
      <c r="I76" s="136">
        <v>55460</v>
      </c>
      <c r="J76" s="31" t="s">
        <v>256</v>
      </c>
      <c r="K76" s="28" t="s">
        <v>257</v>
      </c>
      <c r="L76" s="28" t="s">
        <v>24</v>
      </c>
      <c r="M76" s="101" t="s">
        <v>249</v>
      </c>
      <c r="N76" s="29">
        <v>0</v>
      </c>
      <c r="O76" s="28" t="s">
        <v>250</v>
      </c>
      <c r="P76" s="31" t="s">
        <v>3</v>
      </c>
      <c r="Q76" s="5" t="s">
        <v>76</v>
      </c>
      <c r="R76" s="1" t="s">
        <v>0</v>
      </c>
      <c r="S76" s="125" t="s">
        <v>401</v>
      </c>
    </row>
    <row r="77" spans="1:19" x14ac:dyDescent="0.2">
      <c r="A77" s="98">
        <v>46134</v>
      </c>
      <c r="B77" s="131" t="s">
        <v>88</v>
      </c>
      <c r="C77" s="31">
        <v>79394729</v>
      </c>
      <c r="D77" s="31" t="s">
        <v>255</v>
      </c>
      <c r="E77" s="5" t="s">
        <v>166</v>
      </c>
      <c r="F77" s="5" t="s">
        <v>169</v>
      </c>
      <c r="G77" s="5" t="s">
        <v>177</v>
      </c>
      <c r="H77" s="145" t="s">
        <v>417</v>
      </c>
      <c r="I77" s="136">
        <v>55460</v>
      </c>
      <c r="J77" s="31" t="s">
        <v>256</v>
      </c>
      <c r="K77" s="28" t="s">
        <v>257</v>
      </c>
      <c r="L77" s="28" t="s">
        <v>24</v>
      </c>
      <c r="M77" s="101" t="s">
        <v>249</v>
      </c>
      <c r="N77" s="29">
        <v>0</v>
      </c>
      <c r="O77" s="30" t="s">
        <v>250</v>
      </c>
      <c r="P77" s="31" t="s">
        <v>3</v>
      </c>
      <c r="Q77" s="5" t="s">
        <v>76</v>
      </c>
      <c r="R77" s="1" t="s">
        <v>0</v>
      </c>
      <c r="S77" s="125" t="s">
        <v>401</v>
      </c>
    </row>
    <row r="78" spans="1:19" x14ac:dyDescent="0.2">
      <c r="A78" s="108">
        <v>46150.636400462965</v>
      </c>
      <c r="B78" s="132" t="s">
        <v>88</v>
      </c>
      <c r="C78" s="31">
        <v>79394729</v>
      </c>
      <c r="D78" s="31" t="s">
        <v>255</v>
      </c>
      <c r="E78" s="5" t="s">
        <v>166</v>
      </c>
      <c r="F78" s="5" t="s">
        <v>169</v>
      </c>
      <c r="G78" s="5" t="s">
        <v>177</v>
      </c>
      <c r="H78" s="145" t="s">
        <v>417</v>
      </c>
      <c r="I78" s="136">
        <v>55460</v>
      </c>
      <c r="J78" s="31" t="s">
        <v>256</v>
      </c>
      <c r="K78" s="28" t="s">
        <v>257</v>
      </c>
      <c r="L78" s="28" t="s">
        <v>24</v>
      </c>
      <c r="M78" s="101" t="s">
        <v>335</v>
      </c>
      <c r="N78" s="29">
        <v>0</v>
      </c>
      <c r="O78" s="30" t="s">
        <v>250</v>
      </c>
      <c r="P78" s="31" t="s">
        <v>3</v>
      </c>
      <c r="Q78" s="5" t="s">
        <v>76</v>
      </c>
      <c r="R78" s="1" t="s">
        <v>0</v>
      </c>
      <c r="S78" s="125" t="s">
        <v>401</v>
      </c>
    </row>
    <row r="79" spans="1:19" x14ac:dyDescent="0.2">
      <c r="A79" s="108">
        <v>46143.847754629627</v>
      </c>
      <c r="B79" s="132" t="s">
        <v>88</v>
      </c>
      <c r="C79" s="31">
        <v>79394729</v>
      </c>
      <c r="D79" s="31" t="s">
        <v>255</v>
      </c>
      <c r="E79" s="5" t="s">
        <v>166</v>
      </c>
      <c r="F79" s="5" t="s">
        <v>169</v>
      </c>
      <c r="G79" s="5" t="s">
        <v>177</v>
      </c>
      <c r="H79" s="145" t="s">
        <v>417</v>
      </c>
      <c r="I79" s="136">
        <v>55460</v>
      </c>
      <c r="J79" s="31" t="s">
        <v>256</v>
      </c>
      <c r="K79" s="28" t="s">
        <v>257</v>
      </c>
      <c r="L79" s="28" t="s">
        <v>42</v>
      </c>
      <c r="M79" s="101" t="s">
        <v>317</v>
      </c>
      <c r="N79" s="29">
        <v>0</v>
      </c>
      <c r="O79" s="30" t="s">
        <v>250</v>
      </c>
      <c r="P79" s="31" t="s">
        <v>3</v>
      </c>
      <c r="Q79" s="5" t="s">
        <v>76</v>
      </c>
      <c r="R79" s="1" t="s">
        <v>0</v>
      </c>
      <c r="S79" s="125" t="s">
        <v>401</v>
      </c>
    </row>
    <row r="80" spans="1:19" x14ac:dyDescent="0.2">
      <c r="A80" s="108">
        <v>46143.850347222222</v>
      </c>
      <c r="B80" s="132" t="s">
        <v>88</v>
      </c>
      <c r="C80" s="31">
        <v>79394729</v>
      </c>
      <c r="D80" s="31" t="s">
        <v>255</v>
      </c>
      <c r="E80" s="5" t="s">
        <v>166</v>
      </c>
      <c r="F80" s="5" t="s">
        <v>169</v>
      </c>
      <c r="G80" s="5" t="s">
        <v>177</v>
      </c>
      <c r="H80" s="145" t="s">
        <v>417</v>
      </c>
      <c r="I80" s="136">
        <v>55460</v>
      </c>
      <c r="J80" s="31" t="s">
        <v>256</v>
      </c>
      <c r="K80" s="28" t="s">
        <v>257</v>
      </c>
      <c r="L80" s="28" t="s">
        <v>42</v>
      </c>
      <c r="M80" s="28" t="s">
        <v>317</v>
      </c>
      <c r="N80" s="29">
        <v>0</v>
      </c>
      <c r="O80" s="30" t="s">
        <v>250</v>
      </c>
      <c r="P80" s="31" t="s">
        <v>3</v>
      </c>
      <c r="Q80" s="5" t="s">
        <v>76</v>
      </c>
      <c r="R80" s="1" t="s">
        <v>0</v>
      </c>
      <c r="S80" s="125" t="s">
        <v>401</v>
      </c>
    </row>
    <row r="81" spans="1:19" x14ac:dyDescent="0.2">
      <c r="A81" s="108">
        <v>46119</v>
      </c>
      <c r="B81" s="132" t="s">
        <v>88</v>
      </c>
      <c r="C81" s="31">
        <v>79394729</v>
      </c>
      <c r="D81" s="31" t="s">
        <v>255</v>
      </c>
      <c r="E81" s="5" t="s">
        <v>166</v>
      </c>
      <c r="F81" s="5" t="s">
        <v>169</v>
      </c>
      <c r="G81" s="5" t="s">
        <v>177</v>
      </c>
      <c r="H81" s="145" t="s">
        <v>417</v>
      </c>
      <c r="I81" s="136">
        <v>55460</v>
      </c>
      <c r="J81" s="31" t="s">
        <v>256</v>
      </c>
      <c r="K81" s="28" t="s">
        <v>257</v>
      </c>
      <c r="L81" s="28" t="s">
        <v>309</v>
      </c>
      <c r="M81" s="28" t="s">
        <v>361</v>
      </c>
      <c r="N81" s="29">
        <v>0</v>
      </c>
      <c r="O81" s="30" t="s">
        <v>362</v>
      </c>
      <c r="P81" s="31" t="s">
        <v>3</v>
      </c>
      <c r="Q81" s="5" t="s">
        <v>76</v>
      </c>
      <c r="R81" s="1" t="s">
        <v>0</v>
      </c>
      <c r="S81" s="125" t="s">
        <v>401</v>
      </c>
    </row>
    <row r="82" spans="1:19" x14ac:dyDescent="0.2">
      <c r="A82" s="108">
        <v>46154</v>
      </c>
      <c r="B82" s="132" t="s">
        <v>88</v>
      </c>
      <c r="C82" s="31">
        <v>79394729</v>
      </c>
      <c r="D82" s="31" t="s">
        <v>255</v>
      </c>
      <c r="E82" s="5" t="s">
        <v>166</v>
      </c>
      <c r="F82" s="5" t="s">
        <v>169</v>
      </c>
      <c r="G82" s="5" t="s">
        <v>177</v>
      </c>
      <c r="H82" s="145" t="s">
        <v>417</v>
      </c>
      <c r="I82" s="136">
        <v>55460</v>
      </c>
      <c r="J82" s="31" t="s">
        <v>256</v>
      </c>
      <c r="K82" s="28" t="s">
        <v>257</v>
      </c>
      <c r="L82" s="28" t="s">
        <v>23</v>
      </c>
      <c r="M82" s="101" t="s">
        <v>363</v>
      </c>
      <c r="N82" s="29">
        <v>0</v>
      </c>
      <c r="O82" s="30" t="s">
        <v>364</v>
      </c>
      <c r="P82" s="31" t="s">
        <v>3</v>
      </c>
      <c r="Q82" s="5" t="s">
        <v>76</v>
      </c>
      <c r="R82" s="1" t="s">
        <v>0</v>
      </c>
      <c r="S82" s="125" t="s">
        <v>401</v>
      </c>
    </row>
    <row r="83" spans="1:19" x14ac:dyDescent="0.2">
      <c r="A83" s="108">
        <v>46058</v>
      </c>
      <c r="B83" s="114" t="s">
        <v>89</v>
      </c>
      <c r="C83" s="31">
        <v>1013608610</v>
      </c>
      <c r="D83" s="31" t="s">
        <v>258</v>
      </c>
      <c r="E83" s="5" t="s">
        <v>166</v>
      </c>
      <c r="F83" s="5" t="s">
        <v>185</v>
      </c>
      <c r="G83" s="5" t="s">
        <v>213</v>
      </c>
      <c r="H83" s="145" t="s">
        <v>418</v>
      </c>
      <c r="I83" s="136">
        <v>111311</v>
      </c>
      <c r="J83" s="31" t="s">
        <v>259</v>
      </c>
      <c r="K83" s="28" t="s">
        <v>260</v>
      </c>
      <c r="L83" s="28" t="s">
        <v>23</v>
      </c>
      <c r="M83" s="28" t="s">
        <v>7</v>
      </c>
      <c r="N83" s="29">
        <v>150000</v>
      </c>
      <c r="O83" s="30" t="s">
        <v>128</v>
      </c>
      <c r="P83" s="31" t="s">
        <v>129</v>
      </c>
      <c r="Q83" s="5" t="s">
        <v>76</v>
      </c>
      <c r="R83" s="1" t="s">
        <v>0</v>
      </c>
      <c r="S83" s="125" t="s">
        <v>401</v>
      </c>
    </row>
    <row r="84" spans="1:19" x14ac:dyDescent="0.2">
      <c r="A84" s="108">
        <v>46055</v>
      </c>
      <c r="B84" s="114" t="s">
        <v>90</v>
      </c>
      <c r="C84" s="31">
        <v>1013614249</v>
      </c>
      <c r="D84" s="31" t="s">
        <v>261</v>
      </c>
      <c r="E84" s="5" t="s">
        <v>166</v>
      </c>
      <c r="F84" s="5" t="s">
        <v>185</v>
      </c>
      <c r="G84" s="5" t="s">
        <v>213</v>
      </c>
      <c r="H84" s="145" t="s">
        <v>419</v>
      </c>
      <c r="I84" s="136">
        <v>110911</v>
      </c>
      <c r="J84" s="31" t="s">
        <v>262</v>
      </c>
      <c r="K84" s="28" t="s">
        <v>263</v>
      </c>
      <c r="L84" s="28" t="s">
        <v>23</v>
      </c>
      <c r="M84" s="28" t="s">
        <v>7</v>
      </c>
      <c r="N84" s="29">
        <v>150000</v>
      </c>
      <c r="O84" s="30" t="s">
        <v>130</v>
      </c>
      <c r="P84" s="31" t="s">
        <v>14</v>
      </c>
      <c r="Q84" s="5" t="s">
        <v>76</v>
      </c>
      <c r="R84" s="1" t="s">
        <v>0</v>
      </c>
      <c r="S84" s="125" t="s">
        <v>401</v>
      </c>
    </row>
    <row r="85" spans="1:19" x14ac:dyDescent="0.2">
      <c r="A85" s="108">
        <v>46110</v>
      </c>
      <c r="B85" s="114" t="s">
        <v>90</v>
      </c>
      <c r="C85" s="31">
        <v>1013614249</v>
      </c>
      <c r="D85" s="31" t="s">
        <v>261</v>
      </c>
      <c r="E85" s="5" t="s">
        <v>166</v>
      </c>
      <c r="F85" s="5" t="s">
        <v>185</v>
      </c>
      <c r="G85" s="5" t="s">
        <v>213</v>
      </c>
      <c r="H85" s="145" t="s">
        <v>419</v>
      </c>
      <c r="I85" s="136">
        <v>110911</v>
      </c>
      <c r="J85" s="31" t="s">
        <v>262</v>
      </c>
      <c r="K85" s="28" t="s">
        <v>263</v>
      </c>
      <c r="L85" s="28" t="s">
        <v>23</v>
      </c>
      <c r="M85" s="101" t="s">
        <v>2</v>
      </c>
      <c r="N85" s="29">
        <v>100000</v>
      </c>
      <c r="O85" s="28" t="s">
        <v>198</v>
      </c>
      <c r="P85" s="31" t="s">
        <v>4</v>
      </c>
      <c r="Q85" s="5" t="s">
        <v>76</v>
      </c>
      <c r="R85" s="1" t="s">
        <v>0</v>
      </c>
      <c r="S85" s="125" t="s">
        <v>401</v>
      </c>
    </row>
    <row r="86" spans="1:19" x14ac:dyDescent="0.2">
      <c r="A86" s="108">
        <v>46006</v>
      </c>
      <c r="B86" s="114" t="s">
        <v>91</v>
      </c>
      <c r="C86" s="31">
        <v>85460153</v>
      </c>
      <c r="D86" s="31" t="s">
        <v>389</v>
      </c>
      <c r="E86" s="5" t="s">
        <v>166</v>
      </c>
      <c r="F86" s="5" t="s">
        <v>234</v>
      </c>
      <c r="G86" s="5" t="s">
        <v>235</v>
      </c>
      <c r="H86" s="145" t="s">
        <v>390</v>
      </c>
      <c r="I86" s="136">
        <v>470002</v>
      </c>
      <c r="J86" s="31" t="s">
        <v>264</v>
      </c>
      <c r="K86" s="28" t="s">
        <v>265</v>
      </c>
      <c r="L86" s="28" t="s">
        <v>266</v>
      </c>
      <c r="M86" s="32" t="s">
        <v>190</v>
      </c>
      <c r="N86" s="33">
        <v>100000</v>
      </c>
      <c r="O86" s="34" t="s">
        <v>133</v>
      </c>
      <c r="P86" s="31" t="s">
        <v>14</v>
      </c>
      <c r="Q86" s="5" t="s">
        <v>76</v>
      </c>
      <c r="R86" s="1" t="s">
        <v>0</v>
      </c>
      <c r="S86" s="125" t="s">
        <v>401</v>
      </c>
    </row>
    <row r="87" spans="1:19" x14ac:dyDescent="0.2">
      <c r="A87" s="108">
        <v>46018</v>
      </c>
      <c r="B87" s="114" t="s">
        <v>91</v>
      </c>
      <c r="C87" s="31">
        <v>85460153</v>
      </c>
      <c r="D87" s="31" t="s">
        <v>389</v>
      </c>
      <c r="E87" s="5" t="s">
        <v>166</v>
      </c>
      <c r="F87" s="5" t="s">
        <v>234</v>
      </c>
      <c r="G87" s="5" t="s">
        <v>235</v>
      </c>
      <c r="H87" s="145" t="s">
        <v>390</v>
      </c>
      <c r="I87" s="136">
        <v>470002</v>
      </c>
      <c r="J87" s="31" t="s">
        <v>264</v>
      </c>
      <c r="K87" s="28" t="s">
        <v>265</v>
      </c>
      <c r="L87" s="28" t="s">
        <v>266</v>
      </c>
      <c r="M87" s="32" t="s">
        <v>74</v>
      </c>
      <c r="N87" s="33">
        <v>100000</v>
      </c>
      <c r="O87" s="34" t="s">
        <v>132</v>
      </c>
      <c r="P87" s="31" t="s">
        <v>14</v>
      </c>
      <c r="Q87" s="5" t="s">
        <v>76</v>
      </c>
      <c r="R87" s="1" t="s">
        <v>0</v>
      </c>
      <c r="S87" s="125" t="s">
        <v>401</v>
      </c>
    </row>
    <row r="88" spans="1:19" x14ac:dyDescent="0.2">
      <c r="A88" s="108">
        <v>46030</v>
      </c>
      <c r="B88" s="114" t="s">
        <v>91</v>
      </c>
      <c r="C88" s="31">
        <v>85460153</v>
      </c>
      <c r="D88" s="31" t="s">
        <v>389</v>
      </c>
      <c r="E88" s="5" t="s">
        <v>166</v>
      </c>
      <c r="F88" s="5" t="s">
        <v>234</v>
      </c>
      <c r="G88" s="5" t="s">
        <v>235</v>
      </c>
      <c r="H88" s="145" t="s">
        <v>390</v>
      </c>
      <c r="I88" s="136">
        <v>470002</v>
      </c>
      <c r="J88" s="31" t="s">
        <v>264</v>
      </c>
      <c r="K88" s="28" t="s">
        <v>265</v>
      </c>
      <c r="L88" s="28" t="s">
        <v>74</v>
      </c>
      <c r="M88" s="102" t="s">
        <v>39</v>
      </c>
      <c r="N88" s="33">
        <v>100000</v>
      </c>
      <c r="O88" s="34" t="s">
        <v>131</v>
      </c>
      <c r="P88" s="31" t="s">
        <v>14</v>
      </c>
      <c r="Q88" s="5" t="s">
        <v>76</v>
      </c>
      <c r="R88" s="1" t="s">
        <v>0</v>
      </c>
      <c r="S88" s="125" t="s">
        <v>401</v>
      </c>
    </row>
    <row r="89" spans="1:19" x14ac:dyDescent="0.2">
      <c r="A89" s="108">
        <v>46110</v>
      </c>
      <c r="B89" s="114" t="s">
        <v>91</v>
      </c>
      <c r="C89" s="31">
        <v>85460153</v>
      </c>
      <c r="D89" s="31" t="s">
        <v>389</v>
      </c>
      <c r="E89" s="5" t="s">
        <v>166</v>
      </c>
      <c r="F89" s="5" t="s">
        <v>234</v>
      </c>
      <c r="G89" s="5" t="s">
        <v>235</v>
      </c>
      <c r="H89" s="145" t="s">
        <v>390</v>
      </c>
      <c r="I89" s="136">
        <v>470002</v>
      </c>
      <c r="J89" s="31" t="s">
        <v>264</v>
      </c>
      <c r="K89" s="28" t="s">
        <v>265</v>
      </c>
      <c r="L89" s="28" t="s">
        <v>23</v>
      </c>
      <c r="M89" s="28" t="s">
        <v>188</v>
      </c>
      <c r="N89" s="29">
        <v>200000</v>
      </c>
      <c r="O89" s="28" t="s">
        <v>196</v>
      </c>
      <c r="P89" s="31" t="s">
        <v>4</v>
      </c>
      <c r="Q89" s="5" t="s">
        <v>76</v>
      </c>
      <c r="R89" s="1" t="s">
        <v>0</v>
      </c>
      <c r="S89" s="125" t="s">
        <v>401</v>
      </c>
    </row>
    <row r="90" spans="1:19" x14ac:dyDescent="0.2">
      <c r="A90" s="108">
        <v>46129</v>
      </c>
      <c r="B90" s="114" t="s">
        <v>91</v>
      </c>
      <c r="C90" s="31">
        <v>85460153</v>
      </c>
      <c r="D90" s="31" t="s">
        <v>389</v>
      </c>
      <c r="E90" s="5" t="s">
        <v>166</v>
      </c>
      <c r="F90" s="5" t="s">
        <v>234</v>
      </c>
      <c r="G90" s="5" t="s">
        <v>235</v>
      </c>
      <c r="H90" s="145" t="s">
        <v>390</v>
      </c>
      <c r="I90" s="136">
        <v>470002</v>
      </c>
      <c r="J90" s="5" t="s">
        <v>264</v>
      </c>
      <c r="K90" s="28" t="s">
        <v>265</v>
      </c>
      <c r="L90" s="28" t="s">
        <v>313</v>
      </c>
      <c r="M90" s="101" t="s">
        <v>188</v>
      </c>
      <c r="N90" s="29">
        <v>200000</v>
      </c>
      <c r="O90" s="28" t="s">
        <v>333</v>
      </c>
      <c r="P90" s="31" t="s">
        <v>4</v>
      </c>
      <c r="Q90" s="5" t="s">
        <v>76</v>
      </c>
      <c r="R90" s="1" t="s">
        <v>0</v>
      </c>
      <c r="S90" s="125" t="s">
        <v>401</v>
      </c>
    </row>
    <row r="91" spans="1:19" x14ac:dyDescent="0.2">
      <c r="A91" s="108">
        <v>46129</v>
      </c>
      <c r="B91" s="114" t="s">
        <v>91</v>
      </c>
      <c r="C91" s="31">
        <v>85460153</v>
      </c>
      <c r="D91" s="31" t="s">
        <v>389</v>
      </c>
      <c r="E91" s="5" t="s">
        <v>166</v>
      </c>
      <c r="F91" s="5" t="s">
        <v>234</v>
      </c>
      <c r="G91" s="5" t="s">
        <v>235</v>
      </c>
      <c r="H91" s="145" t="s">
        <v>390</v>
      </c>
      <c r="I91" s="136">
        <v>470002</v>
      </c>
      <c r="J91" s="5" t="s">
        <v>264</v>
      </c>
      <c r="K91" s="28" t="s">
        <v>265</v>
      </c>
      <c r="L91" s="28" t="s">
        <v>23</v>
      </c>
      <c r="M91" s="101" t="s">
        <v>15</v>
      </c>
      <c r="N91" s="29">
        <v>0</v>
      </c>
      <c r="O91" s="28" t="s">
        <v>250</v>
      </c>
      <c r="P91" s="31" t="s">
        <v>3</v>
      </c>
      <c r="Q91" s="5" t="s">
        <v>76</v>
      </c>
      <c r="R91" s="1" t="s">
        <v>0</v>
      </c>
      <c r="S91" s="125" t="s">
        <v>401</v>
      </c>
    </row>
    <row r="92" spans="1:19" x14ac:dyDescent="0.2">
      <c r="A92" s="108">
        <v>46129</v>
      </c>
      <c r="B92" s="114" t="s">
        <v>91</v>
      </c>
      <c r="C92" s="31">
        <v>85460153</v>
      </c>
      <c r="D92" s="31" t="s">
        <v>389</v>
      </c>
      <c r="E92" s="5" t="s">
        <v>166</v>
      </c>
      <c r="F92" s="5" t="s">
        <v>234</v>
      </c>
      <c r="G92" s="5" t="s">
        <v>235</v>
      </c>
      <c r="H92" s="145" t="s">
        <v>420</v>
      </c>
      <c r="I92" s="136">
        <v>470002</v>
      </c>
      <c r="J92" s="5" t="s">
        <v>264</v>
      </c>
      <c r="K92" s="28" t="s">
        <v>265</v>
      </c>
      <c r="L92" s="28" t="s">
        <v>309</v>
      </c>
      <c r="M92" s="101" t="s">
        <v>320</v>
      </c>
      <c r="N92" s="29">
        <v>0</v>
      </c>
      <c r="O92" s="28" t="s">
        <v>250</v>
      </c>
      <c r="P92" s="31" t="s">
        <v>3</v>
      </c>
      <c r="Q92" s="5" t="s">
        <v>76</v>
      </c>
      <c r="R92" s="1" t="s">
        <v>0</v>
      </c>
      <c r="S92" s="125" t="s">
        <v>401</v>
      </c>
    </row>
    <row r="93" spans="1:19" x14ac:dyDescent="0.2">
      <c r="A93" s="108">
        <v>46137.909467592595</v>
      </c>
      <c r="B93" s="114" t="s">
        <v>92</v>
      </c>
      <c r="C93" s="31">
        <v>19153962</v>
      </c>
      <c r="D93" s="31" t="s">
        <v>391</v>
      </c>
      <c r="E93" s="5" t="s">
        <v>166</v>
      </c>
      <c r="F93" s="5" t="s">
        <v>185</v>
      </c>
      <c r="G93" s="5" t="s">
        <v>213</v>
      </c>
      <c r="H93" s="145" t="s">
        <v>422</v>
      </c>
      <c r="I93" s="136">
        <v>110911</v>
      </c>
      <c r="J93" s="28" t="s">
        <v>232</v>
      </c>
      <c r="K93" s="28" t="s">
        <v>267</v>
      </c>
      <c r="L93" s="28" t="s">
        <v>24</v>
      </c>
      <c r="M93" s="101" t="s">
        <v>249</v>
      </c>
      <c r="N93" s="29">
        <v>0</v>
      </c>
      <c r="O93" s="30" t="s">
        <v>250</v>
      </c>
      <c r="P93" s="31" t="s">
        <v>3</v>
      </c>
      <c r="Q93" s="5" t="s">
        <v>76</v>
      </c>
      <c r="R93" s="1" t="s">
        <v>0</v>
      </c>
      <c r="S93" s="125" t="s">
        <v>401</v>
      </c>
    </row>
    <row r="94" spans="1:19" x14ac:dyDescent="0.2">
      <c r="A94" s="108">
        <v>45907.732662037037</v>
      </c>
      <c r="B94" s="114" t="s">
        <v>92</v>
      </c>
      <c r="C94" s="31">
        <v>19153962</v>
      </c>
      <c r="D94" s="31" t="s">
        <v>391</v>
      </c>
      <c r="E94" s="5" t="s">
        <v>166</v>
      </c>
      <c r="F94" s="5" t="s">
        <v>185</v>
      </c>
      <c r="G94" s="5" t="s">
        <v>213</v>
      </c>
      <c r="H94" s="145" t="s">
        <v>422</v>
      </c>
      <c r="I94" s="136">
        <v>110911</v>
      </c>
      <c r="J94" s="28" t="s">
        <v>232</v>
      </c>
      <c r="K94" s="28" t="s">
        <v>267</v>
      </c>
      <c r="L94" s="28" t="s">
        <v>74</v>
      </c>
      <c r="M94" s="28" t="s">
        <v>12</v>
      </c>
      <c r="N94" s="29">
        <v>300000</v>
      </c>
      <c r="O94" s="30" t="s">
        <v>135</v>
      </c>
      <c r="P94" s="31" t="s">
        <v>14</v>
      </c>
      <c r="Q94" s="5" t="s">
        <v>76</v>
      </c>
      <c r="R94" s="1" t="s">
        <v>0</v>
      </c>
      <c r="S94" s="125" t="s">
        <v>401</v>
      </c>
    </row>
    <row r="95" spans="1:19" x14ac:dyDescent="0.2">
      <c r="A95" s="108">
        <v>45949</v>
      </c>
      <c r="B95" s="114" t="s">
        <v>92</v>
      </c>
      <c r="C95" s="31">
        <v>19153962</v>
      </c>
      <c r="D95" s="31" t="s">
        <v>391</v>
      </c>
      <c r="E95" s="5" t="s">
        <v>166</v>
      </c>
      <c r="F95" s="5" t="s">
        <v>185</v>
      </c>
      <c r="G95" s="5" t="s">
        <v>213</v>
      </c>
      <c r="H95" s="145" t="s">
        <v>422</v>
      </c>
      <c r="I95" s="136">
        <v>110911</v>
      </c>
      <c r="J95" s="31" t="s">
        <v>232</v>
      </c>
      <c r="K95" s="28" t="s">
        <v>267</v>
      </c>
      <c r="L95" s="28" t="s">
        <v>230</v>
      </c>
      <c r="M95" s="28" t="s">
        <v>11</v>
      </c>
      <c r="N95" s="29">
        <v>200000</v>
      </c>
      <c r="O95" s="30" t="s">
        <v>134</v>
      </c>
      <c r="P95" s="31" t="s">
        <v>14</v>
      </c>
      <c r="Q95" s="5" t="s">
        <v>76</v>
      </c>
      <c r="R95" s="1" t="s">
        <v>0</v>
      </c>
      <c r="S95" s="125" t="s">
        <v>401</v>
      </c>
    </row>
    <row r="96" spans="1:19" x14ac:dyDescent="0.2">
      <c r="A96" s="108">
        <v>46106</v>
      </c>
      <c r="B96" s="114" t="s">
        <v>92</v>
      </c>
      <c r="C96" s="31">
        <v>19153962</v>
      </c>
      <c r="D96" s="31" t="s">
        <v>391</v>
      </c>
      <c r="E96" s="5" t="s">
        <v>166</v>
      </c>
      <c r="F96" s="5" t="s">
        <v>185</v>
      </c>
      <c r="G96" s="5" t="s">
        <v>213</v>
      </c>
      <c r="H96" s="145" t="s">
        <v>422</v>
      </c>
      <c r="I96" s="136">
        <v>110911</v>
      </c>
      <c r="J96" s="31" t="s">
        <v>232</v>
      </c>
      <c r="K96" s="28" t="s">
        <v>267</v>
      </c>
      <c r="L96" s="28" t="s">
        <v>74</v>
      </c>
      <c r="M96" s="28" t="s">
        <v>188</v>
      </c>
      <c r="N96" s="29">
        <v>200000</v>
      </c>
      <c r="O96" s="30" t="s">
        <v>191</v>
      </c>
      <c r="P96" s="31" t="s">
        <v>4</v>
      </c>
      <c r="Q96" s="5" t="s">
        <v>76</v>
      </c>
      <c r="R96" s="1" t="s">
        <v>0</v>
      </c>
      <c r="S96" s="125" t="s">
        <v>401</v>
      </c>
    </row>
    <row r="97" spans="1:19" x14ac:dyDescent="0.2">
      <c r="A97" s="98">
        <v>46137</v>
      </c>
      <c r="B97" s="114" t="s">
        <v>92</v>
      </c>
      <c r="C97" s="31">
        <v>19153962</v>
      </c>
      <c r="D97" s="31" t="s">
        <v>391</v>
      </c>
      <c r="E97" s="5" t="s">
        <v>166</v>
      </c>
      <c r="F97" s="5" t="s">
        <v>185</v>
      </c>
      <c r="G97" s="5" t="s">
        <v>213</v>
      </c>
      <c r="H97" s="145" t="s">
        <v>422</v>
      </c>
      <c r="I97" s="136">
        <v>110911</v>
      </c>
      <c r="J97" s="28" t="s">
        <v>232</v>
      </c>
      <c r="K97" s="28" t="s">
        <v>267</v>
      </c>
      <c r="L97" s="28" t="s">
        <v>42</v>
      </c>
      <c r="M97" s="101" t="s">
        <v>317</v>
      </c>
      <c r="N97" s="29">
        <v>200000</v>
      </c>
      <c r="O97" s="28" t="s">
        <v>365</v>
      </c>
      <c r="P97" s="31" t="s">
        <v>4</v>
      </c>
      <c r="Q97" s="5" t="s">
        <v>76</v>
      </c>
      <c r="R97" s="1" t="s">
        <v>0</v>
      </c>
      <c r="S97" s="125" t="s">
        <v>401</v>
      </c>
    </row>
    <row r="98" spans="1:19" x14ac:dyDescent="0.2">
      <c r="A98" s="108">
        <v>46137.893819444442</v>
      </c>
      <c r="B98" s="114" t="s">
        <v>92</v>
      </c>
      <c r="C98" s="31">
        <v>19153962</v>
      </c>
      <c r="D98" s="31" t="s">
        <v>391</v>
      </c>
      <c r="E98" s="5" t="s">
        <v>166</v>
      </c>
      <c r="F98" s="5" t="s">
        <v>185</v>
      </c>
      <c r="G98" s="5" t="s">
        <v>213</v>
      </c>
      <c r="H98" s="145" t="s">
        <v>422</v>
      </c>
      <c r="I98" s="136">
        <v>110911</v>
      </c>
      <c r="J98" s="28" t="s">
        <v>232</v>
      </c>
      <c r="K98" s="28" t="s">
        <v>267</v>
      </c>
      <c r="L98" s="28" t="s">
        <v>23</v>
      </c>
      <c r="M98" s="101" t="s">
        <v>2</v>
      </c>
      <c r="N98" s="29">
        <v>0</v>
      </c>
      <c r="O98" s="30" t="s">
        <v>250</v>
      </c>
      <c r="P98" s="31" t="s">
        <v>3</v>
      </c>
      <c r="Q98" s="5" t="s">
        <v>76</v>
      </c>
      <c r="R98" s="1" t="s">
        <v>0</v>
      </c>
      <c r="S98" s="125" t="s">
        <v>401</v>
      </c>
    </row>
    <row r="99" spans="1:19" x14ac:dyDescent="0.2">
      <c r="A99" s="108">
        <v>45907.657372685186</v>
      </c>
      <c r="B99" s="114" t="s">
        <v>93</v>
      </c>
      <c r="C99" s="31">
        <v>79795022</v>
      </c>
      <c r="D99" s="31" t="s">
        <v>183</v>
      </c>
      <c r="E99" s="5" t="s">
        <v>166</v>
      </c>
      <c r="F99" s="5" t="s">
        <v>185</v>
      </c>
      <c r="G99" s="5" t="s">
        <v>213</v>
      </c>
      <c r="H99" s="145" t="s">
        <v>421</v>
      </c>
      <c r="I99" s="136">
        <v>110811</v>
      </c>
      <c r="J99" s="28" t="s">
        <v>187</v>
      </c>
      <c r="K99" s="28" t="s">
        <v>184</v>
      </c>
      <c r="L99" s="28" t="s">
        <v>74</v>
      </c>
      <c r="M99" s="28" t="s">
        <v>12</v>
      </c>
      <c r="N99" s="29">
        <v>300000</v>
      </c>
      <c r="O99" s="30" t="s">
        <v>144</v>
      </c>
      <c r="P99" s="31" t="s">
        <v>4</v>
      </c>
      <c r="Q99" s="5" t="s">
        <v>76</v>
      </c>
      <c r="R99" s="1" t="s">
        <v>0</v>
      </c>
      <c r="S99" s="125" t="s">
        <v>401</v>
      </c>
    </row>
    <row r="100" spans="1:19" x14ac:dyDescent="0.2">
      <c r="A100" s="108">
        <v>45923</v>
      </c>
      <c r="B100" s="114" t="s">
        <v>93</v>
      </c>
      <c r="C100" s="31">
        <v>79795022</v>
      </c>
      <c r="D100" s="31" t="s">
        <v>183</v>
      </c>
      <c r="E100" s="5" t="s">
        <v>166</v>
      </c>
      <c r="F100" s="5" t="s">
        <v>185</v>
      </c>
      <c r="G100" s="5" t="s">
        <v>213</v>
      </c>
      <c r="H100" s="145" t="s">
        <v>421</v>
      </c>
      <c r="I100" s="136">
        <v>110811</v>
      </c>
      <c r="J100" s="28" t="s">
        <v>187</v>
      </c>
      <c r="K100" s="28" t="s">
        <v>184</v>
      </c>
      <c r="L100" s="28" t="s">
        <v>74</v>
      </c>
      <c r="M100" s="28" t="s">
        <v>12</v>
      </c>
      <c r="N100" s="29">
        <v>300000</v>
      </c>
      <c r="O100" s="30" t="s">
        <v>143</v>
      </c>
      <c r="P100" s="31" t="s">
        <v>1</v>
      </c>
      <c r="Q100" s="5" t="s">
        <v>76</v>
      </c>
      <c r="R100" s="1" t="s">
        <v>0</v>
      </c>
      <c r="S100" s="125" t="s">
        <v>401</v>
      </c>
    </row>
    <row r="101" spans="1:19" x14ac:dyDescent="0.2">
      <c r="A101" s="108">
        <v>45933</v>
      </c>
      <c r="B101" s="114" t="s">
        <v>93</v>
      </c>
      <c r="C101" s="31">
        <v>79795022</v>
      </c>
      <c r="D101" s="31" t="s">
        <v>183</v>
      </c>
      <c r="E101" s="5" t="s">
        <v>166</v>
      </c>
      <c r="F101" s="5" t="s">
        <v>185</v>
      </c>
      <c r="G101" s="5" t="s">
        <v>213</v>
      </c>
      <c r="H101" s="145" t="s">
        <v>421</v>
      </c>
      <c r="I101" s="136">
        <v>110811</v>
      </c>
      <c r="J101" s="28" t="s">
        <v>187</v>
      </c>
      <c r="K101" s="28" t="s">
        <v>184</v>
      </c>
      <c r="L101" s="28" t="s">
        <v>74</v>
      </c>
      <c r="M101" s="28" t="s">
        <v>10</v>
      </c>
      <c r="N101" s="29">
        <v>300000</v>
      </c>
      <c r="O101" s="30" t="s">
        <v>142</v>
      </c>
      <c r="P101" s="31" t="s">
        <v>1</v>
      </c>
      <c r="Q101" s="5" t="s">
        <v>76</v>
      </c>
      <c r="R101" s="1" t="s">
        <v>0</v>
      </c>
      <c r="S101" s="125" t="s">
        <v>401</v>
      </c>
    </row>
    <row r="102" spans="1:19" x14ac:dyDescent="0.2">
      <c r="A102" s="108">
        <v>45944</v>
      </c>
      <c r="B102" s="114" t="s">
        <v>93</v>
      </c>
      <c r="C102" s="31">
        <v>79795022</v>
      </c>
      <c r="D102" s="31" t="s">
        <v>183</v>
      </c>
      <c r="E102" s="5" t="s">
        <v>166</v>
      </c>
      <c r="F102" s="5" t="s">
        <v>185</v>
      </c>
      <c r="G102" s="5" t="s">
        <v>213</v>
      </c>
      <c r="H102" s="145" t="s">
        <v>421</v>
      </c>
      <c r="I102" s="136">
        <v>110811</v>
      </c>
      <c r="J102" s="28" t="s">
        <v>187</v>
      </c>
      <c r="K102" s="28" t="s">
        <v>184</v>
      </c>
      <c r="L102" s="28" t="s">
        <v>268</v>
      </c>
      <c r="M102" s="28" t="s">
        <v>12</v>
      </c>
      <c r="N102" s="29">
        <v>500000</v>
      </c>
      <c r="O102" s="30" t="s">
        <v>141</v>
      </c>
      <c r="P102" s="31" t="s">
        <v>14</v>
      </c>
      <c r="Q102" s="5" t="s">
        <v>76</v>
      </c>
      <c r="R102" s="1" t="s">
        <v>0</v>
      </c>
      <c r="S102" s="125" t="s">
        <v>401</v>
      </c>
    </row>
    <row r="103" spans="1:19" x14ac:dyDescent="0.2">
      <c r="A103" s="108">
        <v>45968</v>
      </c>
      <c r="B103" s="114" t="s">
        <v>93</v>
      </c>
      <c r="C103" s="31">
        <v>79795022</v>
      </c>
      <c r="D103" s="31" t="s">
        <v>183</v>
      </c>
      <c r="E103" s="5" t="s">
        <v>166</v>
      </c>
      <c r="F103" s="5" t="s">
        <v>185</v>
      </c>
      <c r="G103" s="5" t="s">
        <v>213</v>
      </c>
      <c r="H103" s="145" t="s">
        <v>421</v>
      </c>
      <c r="I103" s="136">
        <v>110811</v>
      </c>
      <c r="J103" s="31" t="s">
        <v>187</v>
      </c>
      <c r="K103" s="28" t="s">
        <v>184</v>
      </c>
      <c r="L103" s="28" t="s">
        <v>227</v>
      </c>
      <c r="M103" s="32" t="s">
        <v>9</v>
      </c>
      <c r="N103" s="33">
        <v>200000</v>
      </c>
      <c r="O103" s="34" t="s">
        <v>140</v>
      </c>
      <c r="P103" s="31" t="s">
        <v>14</v>
      </c>
      <c r="Q103" s="5" t="s">
        <v>76</v>
      </c>
      <c r="R103" s="1" t="s">
        <v>0</v>
      </c>
      <c r="S103" s="125" t="s">
        <v>401</v>
      </c>
    </row>
    <row r="104" spans="1:19" x14ac:dyDescent="0.2">
      <c r="A104" s="108">
        <v>46014</v>
      </c>
      <c r="B104" s="114" t="s">
        <v>93</v>
      </c>
      <c r="C104" s="31">
        <v>79795022</v>
      </c>
      <c r="D104" s="31" t="s">
        <v>183</v>
      </c>
      <c r="E104" s="5" t="s">
        <v>166</v>
      </c>
      <c r="F104" s="5" t="s">
        <v>185</v>
      </c>
      <c r="G104" s="5" t="s">
        <v>213</v>
      </c>
      <c r="H104" s="145" t="s">
        <v>421</v>
      </c>
      <c r="I104" s="136">
        <v>110811</v>
      </c>
      <c r="J104" s="31" t="s">
        <v>187</v>
      </c>
      <c r="K104" s="28" t="s">
        <v>184</v>
      </c>
      <c r="L104" s="28" t="s">
        <v>9</v>
      </c>
      <c r="M104" s="32" t="s">
        <v>138</v>
      </c>
      <c r="N104" s="33">
        <v>200000</v>
      </c>
      <c r="O104" s="34" t="s">
        <v>139</v>
      </c>
      <c r="P104" s="31" t="s">
        <v>14</v>
      </c>
      <c r="Q104" s="5" t="s">
        <v>76</v>
      </c>
      <c r="R104" s="1" t="s">
        <v>0</v>
      </c>
      <c r="S104" s="125" t="s">
        <v>401</v>
      </c>
    </row>
    <row r="105" spans="1:19" x14ac:dyDescent="0.2">
      <c r="A105" s="108">
        <v>46037</v>
      </c>
      <c r="B105" s="114" t="s">
        <v>93</v>
      </c>
      <c r="C105" s="31">
        <v>79795022</v>
      </c>
      <c r="D105" s="31" t="s">
        <v>183</v>
      </c>
      <c r="E105" s="5" t="s">
        <v>166</v>
      </c>
      <c r="F105" s="5" t="s">
        <v>185</v>
      </c>
      <c r="G105" s="5" t="s">
        <v>213</v>
      </c>
      <c r="H105" s="145" t="s">
        <v>421</v>
      </c>
      <c r="I105" s="136">
        <v>110811</v>
      </c>
      <c r="J105" s="31" t="s">
        <v>187</v>
      </c>
      <c r="K105" s="28" t="s">
        <v>184</v>
      </c>
      <c r="L105" s="28" t="s">
        <v>23</v>
      </c>
      <c r="M105" s="28" t="s">
        <v>7</v>
      </c>
      <c r="N105" s="29">
        <v>150000</v>
      </c>
      <c r="O105" s="30" t="s">
        <v>137</v>
      </c>
      <c r="P105" s="31" t="s">
        <v>14</v>
      </c>
      <c r="Q105" s="5" t="s">
        <v>76</v>
      </c>
      <c r="R105" s="1" t="s">
        <v>0</v>
      </c>
      <c r="S105" s="125" t="s">
        <v>401</v>
      </c>
    </row>
    <row r="106" spans="1:19" x14ac:dyDescent="0.2">
      <c r="A106" s="108">
        <v>46055</v>
      </c>
      <c r="B106" s="114" t="s">
        <v>93</v>
      </c>
      <c r="C106" s="31">
        <v>79795022</v>
      </c>
      <c r="D106" s="31" t="s">
        <v>183</v>
      </c>
      <c r="E106" s="5" t="s">
        <v>166</v>
      </c>
      <c r="F106" s="5" t="s">
        <v>185</v>
      </c>
      <c r="G106" s="5" t="s">
        <v>213</v>
      </c>
      <c r="H106" s="145" t="s">
        <v>421</v>
      </c>
      <c r="I106" s="136">
        <v>110811</v>
      </c>
      <c r="J106" s="31" t="s">
        <v>187</v>
      </c>
      <c r="K106" s="28" t="s">
        <v>184</v>
      </c>
      <c r="L106" s="28" t="s">
        <v>23</v>
      </c>
      <c r="M106" s="28" t="s">
        <v>7</v>
      </c>
      <c r="N106" s="29">
        <v>150000</v>
      </c>
      <c r="O106" s="30" t="s">
        <v>136</v>
      </c>
      <c r="P106" s="31" t="s">
        <v>14</v>
      </c>
      <c r="Q106" s="5" t="s">
        <v>76</v>
      </c>
      <c r="R106" s="1" t="s">
        <v>0</v>
      </c>
      <c r="S106" s="125" t="s">
        <v>401</v>
      </c>
    </row>
    <row r="107" spans="1:19" x14ac:dyDescent="0.2">
      <c r="A107" s="108">
        <v>46108</v>
      </c>
      <c r="B107" s="114" t="s">
        <v>93</v>
      </c>
      <c r="C107" s="31">
        <v>79795022</v>
      </c>
      <c r="D107" s="31" t="s">
        <v>183</v>
      </c>
      <c r="E107" s="5" t="s">
        <v>166</v>
      </c>
      <c r="F107" s="5" t="s">
        <v>185</v>
      </c>
      <c r="G107" s="5" t="s">
        <v>213</v>
      </c>
      <c r="H107" s="145" t="s">
        <v>421</v>
      </c>
      <c r="I107" s="136">
        <v>110811</v>
      </c>
      <c r="J107" s="31" t="s">
        <v>187</v>
      </c>
      <c r="K107" s="28" t="s">
        <v>184</v>
      </c>
      <c r="L107" s="28" t="s">
        <v>74</v>
      </c>
      <c r="M107" s="28" t="s">
        <v>188</v>
      </c>
      <c r="N107" s="29">
        <v>200000</v>
      </c>
      <c r="O107" s="30" t="s">
        <v>192</v>
      </c>
      <c r="P107" s="31" t="s">
        <v>4</v>
      </c>
      <c r="Q107" s="5" t="s">
        <v>76</v>
      </c>
      <c r="R107" s="1" t="s">
        <v>0</v>
      </c>
      <c r="S107" s="125" t="s">
        <v>401</v>
      </c>
    </row>
    <row r="108" spans="1:19" x14ac:dyDescent="0.2">
      <c r="A108" s="108">
        <v>46129</v>
      </c>
      <c r="B108" s="114" t="s">
        <v>93</v>
      </c>
      <c r="C108" s="31">
        <v>79795022</v>
      </c>
      <c r="D108" s="31" t="s">
        <v>183</v>
      </c>
      <c r="E108" s="5" t="s">
        <v>166</v>
      </c>
      <c r="F108" s="5" t="s">
        <v>185</v>
      </c>
      <c r="G108" s="5" t="s">
        <v>213</v>
      </c>
      <c r="H108" s="145" t="s">
        <v>421</v>
      </c>
      <c r="I108" s="136">
        <v>110811</v>
      </c>
      <c r="J108" s="28" t="s">
        <v>187</v>
      </c>
      <c r="K108" s="28" t="s">
        <v>184</v>
      </c>
      <c r="L108" s="28" t="s">
        <v>268</v>
      </c>
      <c r="M108" s="101" t="s">
        <v>325</v>
      </c>
      <c r="N108" s="29">
        <v>0</v>
      </c>
      <c r="O108" s="28" t="s">
        <v>250</v>
      </c>
      <c r="P108" s="31" t="s">
        <v>3</v>
      </c>
      <c r="Q108" s="5" t="s">
        <v>76</v>
      </c>
      <c r="R108" s="1" t="s">
        <v>0</v>
      </c>
      <c r="S108" s="125" t="s">
        <v>401</v>
      </c>
    </row>
    <row r="109" spans="1:19" x14ac:dyDescent="0.2">
      <c r="A109" s="108">
        <v>46129</v>
      </c>
      <c r="B109" s="114" t="s">
        <v>93</v>
      </c>
      <c r="C109" s="31">
        <v>79795022</v>
      </c>
      <c r="D109" s="31" t="s">
        <v>183</v>
      </c>
      <c r="E109" s="5" t="s">
        <v>166</v>
      </c>
      <c r="F109" s="5" t="s">
        <v>185</v>
      </c>
      <c r="G109" s="5" t="s">
        <v>213</v>
      </c>
      <c r="H109" s="145" t="s">
        <v>421</v>
      </c>
      <c r="I109" s="136">
        <v>110811</v>
      </c>
      <c r="J109" s="28" t="s">
        <v>187</v>
      </c>
      <c r="K109" s="28" t="s">
        <v>184</v>
      </c>
      <c r="L109" s="28" t="s">
        <v>309</v>
      </c>
      <c r="M109" s="101" t="s">
        <v>320</v>
      </c>
      <c r="N109" s="29">
        <v>0</v>
      </c>
      <c r="O109" s="28" t="s">
        <v>250</v>
      </c>
      <c r="P109" s="31" t="s">
        <v>3</v>
      </c>
      <c r="Q109" s="5" t="s">
        <v>76</v>
      </c>
      <c r="R109" s="1" t="s">
        <v>0</v>
      </c>
      <c r="S109" s="125" t="s">
        <v>401</v>
      </c>
    </row>
    <row r="110" spans="1:19" x14ac:dyDescent="0.2">
      <c r="A110" s="98">
        <v>46149</v>
      </c>
      <c r="B110" s="114" t="s">
        <v>93</v>
      </c>
      <c r="C110" s="31">
        <v>79795022</v>
      </c>
      <c r="D110" s="31" t="s">
        <v>183</v>
      </c>
      <c r="E110" s="5" t="s">
        <v>166</v>
      </c>
      <c r="F110" s="5" t="s">
        <v>185</v>
      </c>
      <c r="G110" s="5" t="s">
        <v>213</v>
      </c>
      <c r="H110" s="145" t="s">
        <v>421</v>
      </c>
      <c r="I110" s="136">
        <v>110811</v>
      </c>
      <c r="J110" s="28" t="s">
        <v>187</v>
      </c>
      <c r="K110" s="28" t="s">
        <v>184</v>
      </c>
      <c r="L110" s="28" t="s">
        <v>366</v>
      </c>
      <c r="M110" s="101" t="s">
        <v>367</v>
      </c>
      <c r="N110" s="29">
        <v>300000</v>
      </c>
      <c r="O110" s="128" t="s">
        <v>368</v>
      </c>
      <c r="P110" s="31" t="s">
        <v>4</v>
      </c>
      <c r="Q110" s="5" t="s">
        <v>76</v>
      </c>
      <c r="R110" s="1" t="s">
        <v>0</v>
      </c>
      <c r="S110" s="125" t="s">
        <v>401</v>
      </c>
    </row>
    <row r="111" spans="1:19" x14ac:dyDescent="0.2">
      <c r="A111" s="108">
        <v>46150</v>
      </c>
      <c r="B111" s="114" t="s">
        <v>93</v>
      </c>
      <c r="C111" s="31">
        <v>79795022</v>
      </c>
      <c r="D111" s="31" t="s">
        <v>183</v>
      </c>
      <c r="E111" s="5" t="s">
        <v>166</v>
      </c>
      <c r="F111" s="5" t="s">
        <v>185</v>
      </c>
      <c r="G111" s="5" t="s">
        <v>213</v>
      </c>
      <c r="H111" s="145" t="s">
        <v>421</v>
      </c>
      <c r="I111" s="136">
        <v>110811</v>
      </c>
      <c r="J111" s="28" t="s">
        <v>187</v>
      </c>
      <c r="K111" s="28" t="s">
        <v>184</v>
      </c>
      <c r="L111" s="28" t="s">
        <v>42</v>
      </c>
      <c r="M111" s="28" t="s">
        <v>317</v>
      </c>
      <c r="N111" s="29">
        <v>0</v>
      </c>
      <c r="O111" s="28" t="s">
        <v>351</v>
      </c>
      <c r="P111" s="31" t="s">
        <v>3</v>
      </c>
      <c r="Q111" s="5" t="s">
        <v>76</v>
      </c>
      <c r="R111" s="1" t="s">
        <v>0</v>
      </c>
      <c r="S111" s="125" t="s">
        <v>401</v>
      </c>
    </row>
    <row r="112" spans="1:19" x14ac:dyDescent="0.2">
      <c r="A112" s="108">
        <v>46149.399201388886</v>
      </c>
      <c r="B112" s="114" t="s">
        <v>93</v>
      </c>
      <c r="C112" s="31">
        <v>79795022</v>
      </c>
      <c r="D112" s="31" t="s">
        <v>183</v>
      </c>
      <c r="E112" s="5" t="s">
        <v>166</v>
      </c>
      <c r="F112" s="5" t="s">
        <v>185</v>
      </c>
      <c r="G112" s="5" t="s">
        <v>213</v>
      </c>
      <c r="H112" s="145" t="s">
        <v>421</v>
      </c>
      <c r="I112" s="136">
        <v>110811</v>
      </c>
      <c r="J112" s="28" t="s">
        <v>187</v>
      </c>
      <c r="K112" s="28" t="s">
        <v>184</v>
      </c>
      <c r="L112" s="28" t="s">
        <v>23</v>
      </c>
      <c r="M112" s="101" t="s">
        <v>2</v>
      </c>
      <c r="N112" s="29">
        <v>0</v>
      </c>
      <c r="O112" s="30" t="s">
        <v>250</v>
      </c>
      <c r="P112" s="31" t="s">
        <v>3</v>
      </c>
      <c r="Q112" s="5" t="s">
        <v>76</v>
      </c>
      <c r="R112" s="1" t="s">
        <v>0</v>
      </c>
      <c r="S112" s="125" t="s">
        <v>401</v>
      </c>
    </row>
    <row r="113" spans="1:20" x14ac:dyDescent="0.2">
      <c r="A113" s="108">
        <v>46149.391493055555</v>
      </c>
      <c r="B113" s="114" t="s">
        <v>93</v>
      </c>
      <c r="C113" s="31">
        <v>79795022</v>
      </c>
      <c r="D113" s="31" t="s">
        <v>183</v>
      </c>
      <c r="E113" s="5" t="s">
        <v>166</v>
      </c>
      <c r="F113" s="5" t="s">
        <v>185</v>
      </c>
      <c r="G113" s="5" t="s">
        <v>213</v>
      </c>
      <c r="H113" s="145" t="s">
        <v>421</v>
      </c>
      <c r="I113" s="136">
        <v>110811</v>
      </c>
      <c r="J113" s="28" t="s">
        <v>187</v>
      </c>
      <c r="K113" s="28" t="s">
        <v>184</v>
      </c>
      <c r="L113" s="28" t="s">
        <v>42</v>
      </c>
      <c r="M113" s="101" t="s">
        <v>204</v>
      </c>
      <c r="N113" s="29">
        <v>0</v>
      </c>
      <c r="O113" s="30" t="s">
        <v>250</v>
      </c>
      <c r="P113" s="31" t="s">
        <v>3</v>
      </c>
      <c r="Q113" s="5" t="s">
        <v>76</v>
      </c>
      <c r="R113" s="1" t="s">
        <v>0</v>
      </c>
      <c r="S113" s="125" t="s">
        <v>401</v>
      </c>
    </row>
    <row r="114" spans="1:20" x14ac:dyDescent="0.2">
      <c r="A114" s="108">
        <v>46149.394826388889</v>
      </c>
      <c r="B114" s="114" t="s">
        <v>93</v>
      </c>
      <c r="C114" s="31">
        <v>79795022</v>
      </c>
      <c r="D114" s="31" t="s">
        <v>183</v>
      </c>
      <c r="E114" s="5" t="s">
        <v>166</v>
      </c>
      <c r="F114" s="5" t="s">
        <v>185</v>
      </c>
      <c r="G114" s="5" t="s">
        <v>213</v>
      </c>
      <c r="H114" s="145" t="s">
        <v>421</v>
      </c>
      <c r="I114" s="136">
        <v>110811</v>
      </c>
      <c r="J114" s="28" t="s">
        <v>187</v>
      </c>
      <c r="K114" s="28" t="s">
        <v>184</v>
      </c>
      <c r="L114" s="28" t="s">
        <v>23</v>
      </c>
      <c r="M114" s="101" t="s">
        <v>15</v>
      </c>
      <c r="N114" s="29">
        <v>0</v>
      </c>
      <c r="O114" s="30" t="s">
        <v>250</v>
      </c>
      <c r="P114" s="31" t="s">
        <v>3</v>
      </c>
      <c r="Q114" s="5" t="s">
        <v>76</v>
      </c>
      <c r="R114" s="1" t="s">
        <v>0</v>
      </c>
      <c r="S114" s="125" t="s">
        <v>401</v>
      </c>
    </row>
    <row r="115" spans="1:20" s="56" customFormat="1" x14ac:dyDescent="0.2">
      <c r="A115" s="108">
        <v>45951.617384259262</v>
      </c>
      <c r="B115" s="5" t="s">
        <v>94</v>
      </c>
      <c r="C115" s="31">
        <v>15450253</v>
      </c>
      <c r="D115" s="31" t="s">
        <v>167</v>
      </c>
      <c r="E115" s="5" t="s">
        <v>166</v>
      </c>
      <c r="F115" s="5" t="s">
        <v>169</v>
      </c>
      <c r="G115" s="5" t="s">
        <v>269</v>
      </c>
      <c r="H115" s="146" t="s">
        <v>423</v>
      </c>
      <c r="I115" s="136">
        <v>5542</v>
      </c>
      <c r="J115" s="31" t="s">
        <v>270</v>
      </c>
      <c r="K115" s="28" t="s">
        <v>168</v>
      </c>
      <c r="L115" s="28" t="s">
        <v>230</v>
      </c>
      <c r="M115" s="28" t="s">
        <v>11</v>
      </c>
      <c r="N115" s="29">
        <v>200000</v>
      </c>
      <c r="O115" s="30" t="s">
        <v>146</v>
      </c>
      <c r="P115" s="31" t="s">
        <v>14</v>
      </c>
      <c r="Q115" s="5" t="s">
        <v>76</v>
      </c>
      <c r="R115" s="1" t="s">
        <v>0</v>
      </c>
      <c r="S115" s="125" t="s">
        <v>401</v>
      </c>
      <c r="T115"/>
    </row>
    <row r="116" spans="1:20" x14ac:dyDescent="0.2">
      <c r="A116" s="108">
        <v>46045</v>
      </c>
      <c r="B116" s="114" t="s">
        <v>94</v>
      </c>
      <c r="C116" s="31">
        <v>15450253</v>
      </c>
      <c r="D116" s="31" t="s">
        <v>167</v>
      </c>
      <c r="E116" s="5" t="s">
        <v>166</v>
      </c>
      <c r="F116" s="5" t="s">
        <v>169</v>
      </c>
      <c r="G116" s="5" t="s">
        <v>269</v>
      </c>
      <c r="H116" s="5" t="s">
        <v>423</v>
      </c>
      <c r="I116" s="136">
        <v>5542</v>
      </c>
      <c r="J116" s="31" t="s">
        <v>270</v>
      </c>
      <c r="K116" s="28" t="s">
        <v>168</v>
      </c>
      <c r="L116" s="28" t="s">
        <v>23</v>
      </c>
      <c r="M116" s="28" t="s">
        <v>7</v>
      </c>
      <c r="N116" s="29">
        <v>150000</v>
      </c>
      <c r="O116" s="30" t="s">
        <v>145</v>
      </c>
      <c r="P116" s="31" t="s">
        <v>14</v>
      </c>
      <c r="Q116" s="5" t="s">
        <v>76</v>
      </c>
      <c r="R116" s="1" t="s">
        <v>0</v>
      </c>
      <c r="S116" s="125" t="s">
        <v>401</v>
      </c>
    </row>
    <row r="117" spans="1:20" x14ac:dyDescent="0.2">
      <c r="A117" s="108">
        <v>46113</v>
      </c>
      <c r="B117" s="114" t="s">
        <v>94</v>
      </c>
      <c r="C117" s="31">
        <v>15450253</v>
      </c>
      <c r="D117" s="31" t="s">
        <v>167</v>
      </c>
      <c r="E117" s="5" t="s">
        <v>166</v>
      </c>
      <c r="F117" s="5" t="s">
        <v>169</v>
      </c>
      <c r="G117" s="5" t="s">
        <v>269</v>
      </c>
      <c r="H117" s="5" t="s">
        <v>423</v>
      </c>
      <c r="I117" s="136">
        <v>5542</v>
      </c>
      <c r="J117" s="31" t="s">
        <v>270</v>
      </c>
      <c r="K117" s="28" t="s">
        <v>168</v>
      </c>
      <c r="L117" s="28" t="s">
        <v>23</v>
      </c>
      <c r="M117" s="28" t="s">
        <v>188</v>
      </c>
      <c r="N117" s="29">
        <v>200000</v>
      </c>
      <c r="O117" s="28" t="s">
        <v>205</v>
      </c>
      <c r="P117" s="31" t="s">
        <v>4</v>
      </c>
      <c r="Q117" s="5" t="s">
        <v>76</v>
      </c>
      <c r="R117" s="1" t="s">
        <v>0</v>
      </c>
      <c r="S117" s="125" t="s">
        <v>401</v>
      </c>
    </row>
    <row r="118" spans="1:20" x14ac:dyDescent="0.2">
      <c r="A118" s="108">
        <v>45903.747997685183</v>
      </c>
      <c r="B118" s="114" t="s">
        <v>95</v>
      </c>
      <c r="C118" s="31">
        <v>23555750</v>
      </c>
      <c r="D118" s="31" t="s">
        <v>179</v>
      </c>
      <c r="E118" s="5" t="s">
        <v>166</v>
      </c>
      <c r="F118" s="5" t="s">
        <v>181</v>
      </c>
      <c r="G118" s="5" t="s">
        <v>224</v>
      </c>
      <c r="H118" s="5" t="s">
        <v>424</v>
      </c>
      <c r="I118" s="135">
        <v>150461</v>
      </c>
      <c r="J118" s="28" t="s">
        <v>182</v>
      </c>
      <c r="K118" s="28" t="s">
        <v>180</v>
      </c>
      <c r="L118" s="28" t="s">
        <v>74</v>
      </c>
      <c r="M118" s="28" t="s">
        <v>12</v>
      </c>
      <c r="N118" s="29">
        <v>300000</v>
      </c>
      <c r="O118" s="30" t="s">
        <v>151</v>
      </c>
      <c r="P118" s="31" t="s">
        <v>4</v>
      </c>
      <c r="Q118" s="5" t="s">
        <v>76</v>
      </c>
      <c r="R118" s="1" t="s">
        <v>0</v>
      </c>
      <c r="S118" s="125" t="s">
        <v>401</v>
      </c>
    </row>
    <row r="119" spans="1:20" x14ac:dyDescent="0.2">
      <c r="A119" s="108">
        <v>45947</v>
      </c>
      <c r="B119" s="114" t="s">
        <v>95</v>
      </c>
      <c r="C119" s="31">
        <v>23555750</v>
      </c>
      <c r="D119" s="31" t="s">
        <v>179</v>
      </c>
      <c r="E119" s="5" t="s">
        <v>166</v>
      </c>
      <c r="F119" s="5" t="s">
        <v>181</v>
      </c>
      <c r="G119" s="5" t="s">
        <v>224</v>
      </c>
      <c r="H119" s="5" t="s">
        <v>424</v>
      </c>
      <c r="I119" s="135">
        <v>150461</v>
      </c>
      <c r="J119" s="31" t="s">
        <v>182</v>
      </c>
      <c r="K119" s="28" t="s">
        <v>180</v>
      </c>
      <c r="L119" s="28" t="s">
        <v>23</v>
      </c>
      <c r="M119" s="28" t="s">
        <v>2</v>
      </c>
      <c r="N119" s="29">
        <v>100000</v>
      </c>
      <c r="O119" s="30" t="s">
        <v>150</v>
      </c>
      <c r="P119" s="31" t="s">
        <v>14</v>
      </c>
      <c r="Q119" s="5" t="s">
        <v>76</v>
      </c>
      <c r="R119" s="1" t="s">
        <v>0</v>
      </c>
      <c r="S119" s="125" t="s">
        <v>401</v>
      </c>
    </row>
    <row r="120" spans="1:20" x14ac:dyDescent="0.2">
      <c r="A120" s="108">
        <v>45966</v>
      </c>
      <c r="B120" s="114" t="s">
        <v>95</v>
      </c>
      <c r="C120" s="31">
        <v>23555750</v>
      </c>
      <c r="D120" s="31" t="s">
        <v>179</v>
      </c>
      <c r="E120" s="5" t="s">
        <v>166</v>
      </c>
      <c r="F120" s="5" t="s">
        <v>181</v>
      </c>
      <c r="G120" s="5" t="s">
        <v>224</v>
      </c>
      <c r="H120" s="5" t="s">
        <v>424</v>
      </c>
      <c r="I120" s="135">
        <v>150461</v>
      </c>
      <c r="J120" s="31" t="s">
        <v>182</v>
      </c>
      <c r="K120" s="28" t="s">
        <v>180</v>
      </c>
      <c r="L120" s="28" t="s">
        <v>23</v>
      </c>
      <c r="M120" s="28" t="s">
        <v>2</v>
      </c>
      <c r="N120" s="29">
        <v>100000</v>
      </c>
      <c r="O120" s="30" t="s">
        <v>149</v>
      </c>
      <c r="P120" s="31" t="s">
        <v>14</v>
      </c>
      <c r="Q120" s="5" t="s">
        <v>76</v>
      </c>
      <c r="R120" s="1" t="s">
        <v>0</v>
      </c>
      <c r="S120" s="125" t="s">
        <v>401</v>
      </c>
    </row>
    <row r="121" spans="1:20" x14ac:dyDescent="0.2">
      <c r="A121" s="108">
        <v>45969</v>
      </c>
      <c r="B121" s="114" t="s">
        <v>95</v>
      </c>
      <c r="C121" s="31">
        <v>23555750</v>
      </c>
      <c r="D121" s="31" t="s">
        <v>179</v>
      </c>
      <c r="E121" s="5" t="s">
        <v>166</v>
      </c>
      <c r="F121" s="5" t="s">
        <v>181</v>
      </c>
      <c r="G121" s="5" t="s">
        <v>224</v>
      </c>
      <c r="H121" s="5" t="s">
        <v>424</v>
      </c>
      <c r="I121" s="135">
        <v>150461</v>
      </c>
      <c r="J121" s="31" t="s">
        <v>182</v>
      </c>
      <c r="K121" s="28" t="s">
        <v>180</v>
      </c>
      <c r="L121" s="28" t="s">
        <v>23</v>
      </c>
      <c r="M121" s="28" t="s">
        <v>2</v>
      </c>
      <c r="N121" s="29">
        <v>100000</v>
      </c>
      <c r="O121" s="30" t="s">
        <v>148</v>
      </c>
      <c r="P121" s="31" t="s">
        <v>14</v>
      </c>
      <c r="Q121" s="5" t="s">
        <v>76</v>
      </c>
      <c r="R121" s="1" t="s">
        <v>0</v>
      </c>
      <c r="S121" s="125" t="s">
        <v>401</v>
      </c>
    </row>
    <row r="122" spans="1:20" x14ac:dyDescent="0.2">
      <c r="A122" s="108">
        <v>46040</v>
      </c>
      <c r="B122" s="114" t="s">
        <v>95</v>
      </c>
      <c r="C122" s="31">
        <v>23555750</v>
      </c>
      <c r="D122" s="31" t="s">
        <v>179</v>
      </c>
      <c r="E122" s="5" t="s">
        <v>166</v>
      </c>
      <c r="F122" s="5" t="s">
        <v>181</v>
      </c>
      <c r="G122" s="5" t="s">
        <v>224</v>
      </c>
      <c r="H122" s="5" t="s">
        <v>424</v>
      </c>
      <c r="I122" s="135">
        <v>150461</v>
      </c>
      <c r="J122" s="31" t="s">
        <v>182</v>
      </c>
      <c r="K122" s="28" t="s">
        <v>180</v>
      </c>
      <c r="L122" s="28" t="s">
        <v>23</v>
      </c>
      <c r="M122" s="28" t="s">
        <v>7</v>
      </c>
      <c r="N122" s="29">
        <v>150000</v>
      </c>
      <c r="O122" s="30" t="s">
        <v>147</v>
      </c>
      <c r="P122" s="31" t="s">
        <v>14</v>
      </c>
      <c r="Q122" s="5" t="s">
        <v>76</v>
      </c>
      <c r="R122" s="1" t="s">
        <v>0</v>
      </c>
      <c r="S122" s="125" t="s">
        <v>401</v>
      </c>
    </row>
    <row r="123" spans="1:20" x14ac:dyDescent="0.2">
      <c r="A123" s="108">
        <v>46104</v>
      </c>
      <c r="B123" s="114" t="s">
        <v>95</v>
      </c>
      <c r="C123" s="31">
        <v>23555750</v>
      </c>
      <c r="D123" s="31" t="s">
        <v>179</v>
      </c>
      <c r="E123" s="5" t="s">
        <v>166</v>
      </c>
      <c r="F123" s="5" t="s">
        <v>181</v>
      </c>
      <c r="G123" s="5" t="s">
        <v>224</v>
      </c>
      <c r="H123" s="5" t="s">
        <v>424</v>
      </c>
      <c r="I123" s="135">
        <v>150461</v>
      </c>
      <c r="J123" s="31" t="s">
        <v>182</v>
      </c>
      <c r="K123" s="28" t="s">
        <v>180</v>
      </c>
      <c r="L123" s="28" t="s">
        <v>23</v>
      </c>
      <c r="M123" s="28" t="s">
        <v>2</v>
      </c>
      <c r="N123" s="29">
        <v>100000</v>
      </c>
      <c r="O123" s="30" t="s">
        <v>193</v>
      </c>
      <c r="P123" s="31" t="s">
        <v>4</v>
      </c>
      <c r="Q123" s="5" t="s">
        <v>76</v>
      </c>
      <c r="R123" s="1" t="s">
        <v>0</v>
      </c>
      <c r="S123" s="125" t="s">
        <v>401</v>
      </c>
    </row>
    <row r="124" spans="1:20" x14ac:dyDescent="0.2">
      <c r="A124" s="108">
        <v>46110</v>
      </c>
      <c r="B124" s="114" t="s">
        <v>95</v>
      </c>
      <c r="C124" s="31">
        <v>23555750</v>
      </c>
      <c r="D124" s="31" t="s">
        <v>179</v>
      </c>
      <c r="E124" s="5" t="s">
        <v>166</v>
      </c>
      <c r="F124" s="5" t="s">
        <v>181</v>
      </c>
      <c r="G124" s="5" t="s">
        <v>224</v>
      </c>
      <c r="H124" s="5" t="s">
        <v>424</v>
      </c>
      <c r="I124" s="135">
        <v>150461</v>
      </c>
      <c r="J124" s="31" t="s">
        <v>182</v>
      </c>
      <c r="K124" s="28" t="s">
        <v>180</v>
      </c>
      <c r="L124" s="28" t="s">
        <v>23</v>
      </c>
      <c r="M124" s="28" t="s">
        <v>188</v>
      </c>
      <c r="N124" s="29">
        <v>200000</v>
      </c>
      <c r="O124" s="28" t="s">
        <v>197</v>
      </c>
      <c r="P124" s="31" t="s">
        <v>4</v>
      </c>
      <c r="Q124" s="5" t="s">
        <v>76</v>
      </c>
      <c r="R124" s="1" t="s">
        <v>0</v>
      </c>
      <c r="S124" s="125" t="s">
        <v>401</v>
      </c>
    </row>
    <row r="125" spans="1:20" x14ac:dyDescent="0.2">
      <c r="A125" s="108">
        <v>46113</v>
      </c>
      <c r="B125" s="114" t="s">
        <v>95</v>
      </c>
      <c r="C125" s="31">
        <v>23555750</v>
      </c>
      <c r="D125" s="31" t="s">
        <v>179</v>
      </c>
      <c r="E125" s="5" t="s">
        <v>166</v>
      </c>
      <c r="F125" s="5" t="s">
        <v>181</v>
      </c>
      <c r="G125" s="5" t="s">
        <v>224</v>
      </c>
      <c r="H125" s="5" t="s">
        <v>424</v>
      </c>
      <c r="I125" s="135">
        <v>150461</v>
      </c>
      <c r="J125" s="31" t="s">
        <v>182</v>
      </c>
      <c r="K125" s="28" t="s">
        <v>180</v>
      </c>
      <c r="L125" s="28" t="s">
        <v>23</v>
      </c>
      <c r="M125" s="28" t="s">
        <v>188</v>
      </c>
      <c r="N125" s="29">
        <v>200000</v>
      </c>
      <c r="O125" s="28" t="s">
        <v>206</v>
      </c>
      <c r="P125" s="31" t="s">
        <v>4</v>
      </c>
      <c r="Q125" s="5" t="s">
        <v>76</v>
      </c>
      <c r="R125" s="1" t="s">
        <v>0</v>
      </c>
      <c r="S125" s="125" t="s">
        <v>401</v>
      </c>
    </row>
    <row r="126" spans="1:20" x14ac:dyDescent="0.2">
      <c r="A126" s="108">
        <v>46129</v>
      </c>
      <c r="B126" s="114" t="s">
        <v>95</v>
      </c>
      <c r="C126" s="31">
        <v>23555750</v>
      </c>
      <c r="D126" s="31" t="s">
        <v>179</v>
      </c>
      <c r="E126" s="5" t="s">
        <v>166</v>
      </c>
      <c r="F126" s="5" t="s">
        <v>181</v>
      </c>
      <c r="G126" s="5" t="s">
        <v>224</v>
      </c>
      <c r="H126" s="5" t="s">
        <v>424</v>
      </c>
      <c r="I126" s="135">
        <v>150461</v>
      </c>
      <c r="J126" s="28" t="s">
        <v>182</v>
      </c>
      <c r="K126" s="28" t="s">
        <v>180</v>
      </c>
      <c r="L126" s="28" t="s">
        <v>24</v>
      </c>
      <c r="M126" s="101" t="s">
        <v>335</v>
      </c>
      <c r="N126" s="29">
        <v>0</v>
      </c>
      <c r="O126" s="28" t="s">
        <v>250</v>
      </c>
      <c r="P126" s="31" t="s">
        <v>3</v>
      </c>
      <c r="Q126" s="5" t="s">
        <v>76</v>
      </c>
      <c r="R126" s="1" t="s">
        <v>0</v>
      </c>
      <c r="S126" s="125" t="s">
        <v>401</v>
      </c>
    </row>
    <row r="127" spans="1:20" x14ac:dyDescent="0.2">
      <c r="A127" s="108">
        <v>46129</v>
      </c>
      <c r="B127" s="114" t="s">
        <v>95</v>
      </c>
      <c r="C127" s="31">
        <v>23555750</v>
      </c>
      <c r="D127" s="31" t="s">
        <v>179</v>
      </c>
      <c r="E127" s="5" t="s">
        <v>166</v>
      </c>
      <c r="F127" s="5" t="s">
        <v>181</v>
      </c>
      <c r="G127" s="5" t="s">
        <v>224</v>
      </c>
      <c r="H127" s="5" t="s">
        <v>424</v>
      </c>
      <c r="I127" s="135">
        <v>150461</v>
      </c>
      <c r="J127" s="28" t="s">
        <v>182</v>
      </c>
      <c r="K127" s="28" t="s">
        <v>180</v>
      </c>
      <c r="L127" s="28" t="s">
        <v>23</v>
      </c>
      <c r="M127" s="101" t="s">
        <v>15</v>
      </c>
      <c r="N127" s="29">
        <v>0</v>
      </c>
      <c r="O127" s="28" t="s">
        <v>250</v>
      </c>
      <c r="P127" s="31" t="s">
        <v>3</v>
      </c>
      <c r="Q127" s="5" t="s">
        <v>76</v>
      </c>
      <c r="R127" s="1" t="s">
        <v>0</v>
      </c>
      <c r="S127" s="125" t="s">
        <v>401</v>
      </c>
    </row>
    <row r="128" spans="1:20" x14ac:dyDescent="0.2">
      <c r="A128" s="108">
        <v>46129</v>
      </c>
      <c r="B128" s="114" t="s">
        <v>95</v>
      </c>
      <c r="C128" s="31">
        <v>23555750</v>
      </c>
      <c r="D128" s="31" t="s">
        <v>179</v>
      </c>
      <c r="E128" s="5" t="s">
        <v>166</v>
      </c>
      <c r="F128" s="5" t="s">
        <v>181</v>
      </c>
      <c r="G128" s="5" t="s">
        <v>224</v>
      </c>
      <c r="H128" s="5" t="s">
        <v>424</v>
      </c>
      <c r="I128" s="135">
        <v>150461</v>
      </c>
      <c r="J128" s="28" t="s">
        <v>182</v>
      </c>
      <c r="K128" s="28" t="s">
        <v>180</v>
      </c>
      <c r="L128" s="28" t="s">
        <v>313</v>
      </c>
      <c r="M128" s="101" t="s">
        <v>188</v>
      </c>
      <c r="N128" s="29">
        <v>200000</v>
      </c>
      <c r="O128" s="28" t="s">
        <v>334</v>
      </c>
      <c r="P128" s="31" t="s">
        <v>4</v>
      </c>
      <c r="Q128" s="5" t="s">
        <v>76</v>
      </c>
      <c r="R128" s="1" t="s">
        <v>0</v>
      </c>
      <c r="S128" s="125" t="s">
        <v>401</v>
      </c>
    </row>
    <row r="129" spans="1:19" x14ac:dyDescent="0.2">
      <c r="A129" s="98">
        <v>46142</v>
      </c>
      <c r="B129" s="114" t="s">
        <v>95</v>
      </c>
      <c r="C129" s="31">
        <v>23555750</v>
      </c>
      <c r="D129" s="31" t="s">
        <v>179</v>
      </c>
      <c r="E129" s="5" t="s">
        <v>166</v>
      </c>
      <c r="F129" s="5" t="s">
        <v>181</v>
      </c>
      <c r="G129" s="5" t="s">
        <v>224</v>
      </c>
      <c r="H129" s="5" t="s">
        <v>424</v>
      </c>
      <c r="I129" s="135">
        <v>150461</v>
      </c>
      <c r="J129" s="28" t="s">
        <v>182</v>
      </c>
      <c r="K129" s="28" t="s">
        <v>180</v>
      </c>
      <c r="L129" s="28" t="s">
        <v>369</v>
      </c>
      <c r="M129" s="101" t="s">
        <v>370</v>
      </c>
      <c r="N129" s="29">
        <v>500000</v>
      </c>
      <c r="O129" s="128" t="s">
        <v>371</v>
      </c>
      <c r="P129" s="31" t="s">
        <v>4</v>
      </c>
      <c r="Q129" s="5" t="s">
        <v>76</v>
      </c>
      <c r="R129" s="1" t="s">
        <v>0</v>
      </c>
      <c r="S129" s="125" t="s">
        <v>401</v>
      </c>
    </row>
    <row r="130" spans="1:19" x14ac:dyDescent="0.2">
      <c r="A130" s="108">
        <v>46142.906030092592</v>
      </c>
      <c r="B130" s="114" t="s">
        <v>95</v>
      </c>
      <c r="C130" s="31">
        <v>23555750</v>
      </c>
      <c r="D130" s="31" t="s">
        <v>179</v>
      </c>
      <c r="E130" s="5" t="s">
        <v>166</v>
      </c>
      <c r="F130" s="5" t="s">
        <v>181</v>
      </c>
      <c r="G130" s="5" t="s">
        <v>224</v>
      </c>
      <c r="H130" s="5" t="s">
        <v>424</v>
      </c>
      <c r="I130" s="135">
        <v>150461</v>
      </c>
      <c r="J130" s="28" t="s">
        <v>182</v>
      </c>
      <c r="K130" s="28" t="s">
        <v>180</v>
      </c>
      <c r="L130" s="28" t="s">
        <v>24</v>
      </c>
      <c r="M130" s="101" t="s">
        <v>249</v>
      </c>
      <c r="N130" s="29">
        <v>0</v>
      </c>
      <c r="O130" s="30" t="s">
        <v>250</v>
      </c>
      <c r="P130" s="31" t="s">
        <v>3</v>
      </c>
      <c r="Q130" s="5" t="s">
        <v>76</v>
      </c>
      <c r="R130" s="1" t="s">
        <v>0</v>
      </c>
      <c r="S130" s="125" t="s">
        <v>401</v>
      </c>
    </row>
    <row r="131" spans="1:19" x14ac:dyDescent="0.2">
      <c r="A131" s="108">
        <v>46142.909386574072</v>
      </c>
      <c r="B131" s="114" t="s">
        <v>95</v>
      </c>
      <c r="C131" s="31">
        <v>23555750</v>
      </c>
      <c r="D131" s="31" t="s">
        <v>179</v>
      </c>
      <c r="E131" s="5" t="s">
        <v>166</v>
      </c>
      <c r="F131" s="5" t="s">
        <v>181</v>
      </c>
      <c r="G131" s="5" t="s">
        <v>224</v>
      </c>
      <c r="H131" s="5" t="s">
        <v>424</v>
      </c>
      <c r="I131" s="135">
        <v>150461</v>
      </c>
      <c r="J131" s="28" t="s">
        <v>182</v>
      </c>
      <c r="K131" s="28" t="s">
        <v>180</v>
      </c>
      <c r="L131" s="28" t="s">
        <v>268</v>
      </c>
      <c r="M131" s="101" t="s">
        <v>325</v>
      </c>
      <c r="N131" s="29">
        <v>0</v>
      </c>
      <c r="O131" s="30" t="s">
        <v>250</v>
      </c>
      <c r="P131" s="31" t="s">
        <v>3</v>
      </c>
      <c r="Q131" s="5" t="s">
        <v>76</v>
      </c>
      <c r="R131" s="1" t="s">
        <v>0</v>
      </c>
      <c r="S131" s="125" t="s">
        <v>401</v>
      </c>
    </row>
    <row r="132" spans="1:19" x14ac:dyDescent="0.2">
      <c r="A132" s="108">
        <v>46142.911574074074</v>
      </c>
      <c r="B132" s="114" t="s">
        <v>95</v>
      </c>
      <c r="C132" s="31">
        <v>23555750</v>
      </c>
      <c r="D132" s="31" t="s">
        <v>179</v>
      </c>
      <c r="E132" s="5" t="s">
        <v>166</v>
      </c>
      <c r="F132" s="5" t="s">
        <v>181</v>
      </c>
      <c r="G132" s="5" t="s">
        <v>224</v>
      </c>
      <c r="H132" s="5" t="s">
        <v>424</v>
      </c>
      <c r="I132" s="135">
        <v>150461</v>
      </c>
      <c r="J132" s="28" t="s">
        <v>182</v>
      </c>
      <c r="K132" s="28" t="s">
        <v>180</v>
      </c>
      <c r="L132" s="28" t="s">
        <v>42</v>
      </c>
      <c r="M132" s="101" t="s">
        <v>204</v>
      </c>
      <c r="N132" s="29">
        <v>0</v>
      </c>
      <c r="O132" s="30" t="s">
        <v>250</v>
      </c>
      <c r="P132" s="31" t="s">
        <v>3</v>
      </c>
      <c r="Q132" s="5" t="s">
        <v>76</v>
      </c>
      <c r="R132" s="1" t="s">
        <v>0</v>
      </c>
      <c r="S132" s="125" t="s">
        <v>401</v>
      </c>
    </row>
    <row r="133" spans="1:19" x14ac:dyDescent="0.2">
      <c r="A133" s="108">
        <v>46142.922789351855</v>
      </c>
      <c r="B133" s="114" t="s">
        <v>95</v>
      </c>
      <c r="C133" s="31">
        <v>23555750</v>
      </c>
      <c r="D133" s="31" t="s">
        <v>179</v>
      </c>
      <c r="E133" s="5" t="s">
        <v>166</v>
      </c>
      <c r="F133" s="5" t="s">
        <v>181</v>
      </c>
      <c r="G133" s="5" t="s">
        <v>224</v>
      </c>
      <c r="H133" s="5" t="s">
        <v>424</v>
      </c>
      <c r="I133" s="135">
        <v>150461</v>
      </c>
      <c r="J133" s="28" t="s">
        <v>182</v>
      </c>
      <c r="K133" s="28" t="s">
        <v>180</v>
      </c>
      <c r="L133" s="28" t="s">
        <v>372</v>
      </c>
      <c r="M133" s="101" t="s">
        <v>15</v>
      </c>
      <c r="N133" s="29">
        <v>0</v>
      </c>
      <c r="O133" s="30" t="s">
        <v>250</v>
      </c>
      <c r="P133" s="31" t="s">
        <v>3</v>
      </c>
      <c r="Q133" s="5" t="s">
        <v>76</v>
      </c>
      <c r="R133" s="1" t="s">
        <v>0</v>
      </c>
      <c r="S133" s="125" t="s">
        <v>401</v>
      </c>
    </row>
    <row r="134" spans="1:19" x14ac:dyDescent="0.2">
      <c r="A134" s="108">
        <v>46132</v>
      </c>
      <c r="B134" s="114" t="s">
        <v>336</v>
      </c>
      <c r="C134" s="31">
        <v>1016000832</v>
      </c>
      <c r="D134" s="31" t="s">
        <v>3</v>
      </c>
      <c r="E134" s="5" t="s">
        <v>166</v>
      </c>
      <c r="F134" s="5" t="s">
        <v>271</v>
      </c>
      <c r="G134" s="5" t="s">
        <v>272</v>
      </c>
      <c r="H134" s="5" t="s">
        <v>425</v>
      </c>
      <c r="I134" s="136">
        <v>850001</v>
      </c>
      <c r="J134" s="28" t="s">
        <v>337</v>
      </c>
      <c r="K134" s="28" t="s">
        <v>338</v>
      </c>
      <c r="L134" s="28" t="s">
        <v>313</v>
      </c>
      <c r="M134" s="101" t="s">
        <v>188</v>
      </c>
      <c r="N134" s="29">
        <v>200000</v>
      </c>
      <c r="O134" s="28" t="s">
        <v>339</v>
      </c>
      <c r="P134" s="31" t="s">
        <v>4</v>
      </c>
      <c r="Q134" s="5" t="s">
        <v>76</v>
      </c>
      <c r="R134" s="1" t="s">
        <v>0</v>
      </c>
      <c r="S134" s="125" t="s">
        <v>3</v>
      </c>
    </row>
    <row r="135" spans="1:19" x14ac:dyDescent="0.2">
      <c r="A135" s="98">
        <v>46134</v>
      </c>
      <c r="B135" s="114" t="s">
        <v>336</v>
      </c>
      <c r="C135" s="31">
        <v>1016000832</v>
      </c>
      <c r="D135" s="31" t="s">
        <v>3</v>
      </c>
      <c r="E135" s="5" t="s">
        <v>166</v>
      </c>
      <c r="F135" s="5" t="s">
        <v>271</v>
      </c>
      <c r="G135" s="5" t="s">
        <v>272</v>
      </c>
      <c r="H135" s="5" t="s">
        <v>425</v>
      </c>
      <c r="I135" s="136">
        <v>850001</v>
      </c>
      <c r="J135" s="28" t="s">
        <v>337</v>
      </c>
      <c r="K135" s="28" t="s">
        <v>338</v>
      </c>
      <c r="L135" s="28" t="s">
        <v>42</v>
      </c>
      <c r="M135" s="101" t="s">
        <v>204</v>
      </c>
      <c r="N135" s="29">
        <v>0</v>
      </c>
      <c r="O135" s="30" t="s">
        <v>250</v>
      </c>
      <c r="P135" s="31" t="s">
        <v>3</v>
      </c>
      <c r="Q135" s="5" t="s">
        <v>76</v>
      </c>
      <c r="R135" s="1" t="s">
        <v>0</v>
      </c>
      <c r="S135" s="125" t="s">
        <v>3</v>
      </c>
    </row>
    <row r="136" spans="1:19" x14ac:dyDescent="0.2">
      <c r="A136" s="108">
        <v>46133</v>
      </c>
      <c r="B136" s="114" t="s">
        <v>340</v>
      </c>
      <c r="C136" s="31">
        <v>80108492</v>
      </c>
      <c r="D136" s="31" t="s">
        <v>3</v>
      </c>
      <c r="E136" s="5" t="s">
        <v>166</v>
      </c>
      <c r="F136" s="5" t="s">
        <v>185</v>
      </c>
      <c r="G136" s="5" t="s">
        <v>186</v>
      </c>
      <c r="H136" s="5" t="s">
        <v>392</v>
      </c>
      <c r="I136" s="136">
        <v>110831</v>
      </c>
      <c r="J136" s="28" t="s">
        <v>341</v>
      </c>
      <c r="K136" s="28" t="s">
        <v>342</v>
      </c>
      <c r="L136" s="28" t="s">
        <v>313</v>
      </c>
      <c r="M136" s="101" t="s">
        <v>188</v>
      </c>
      <c r="N136" s="29">
        <v>200000</v>
      </c>
      <c r="O136" s="28" t="s">
        <v>343</v>
      </c>
      <c r="P136" s="31" t="s">
        <v>4</v>
      </c>
      <c r="Q136" s="5" t="s">
        <v>76</v>
      </c>
      <c r="R136" s="1" t="s">
        <v>0</v>
      </c>
      <c r="S136" s="125" t="s">
        <v>3</v>
      </c>
    </row>
    <row r="137" spans="1:19" x14ac:dyDescent="0.2">
      <c r="A137" s="98">
        <v>46133</v>
      </c>
      <c r="B137" s="114" t="s">
        <v>340</v>
      </c>
      <c r="C137" s="31">
        <v>80108492</v>
      </c>
      <c r="D137" s="31" t="s">
        <v>3</v>
      </c>
      <c r="E137" s="5" t="s">
        <v>166</v>
      </c>
      <c r="F137" s="5" t="s">
        <v>185</v>
      </c>
      <c r="G137" s="5" t="s">
        <v>186</v>
      </c>
      <c r="H137" s="5" t="s">
        <v>392</v>
      </c>
      <c r="I137" s="136">
        <v>110831</v>
      </c>
      <c r="J137" s="31" t="s">
        <v>341</v>
      </c>
      <c r="K137" s="28" t="s">
        <v>342</v>
      </c>
      <c r="L137" s="28" t="s">
        <v>23</v>
      </c>
      <c r="M137" s="101" t="s">
        <v>2</v>
      </c>
      <c r="N137" s="29">
        <v>0</v>
      </c>
      <c r="O137" s="128" t="s">
        <v>250</v>
      </c>
      <c r="P137" s="31" t="s">
        <v>3</v>
      </c>
      <c r="Q137" s="5" t="s">
        <v>76</v>
      </c>
      <c r="R137" s="1" t="s">
        <v>0</v>
      </c>
      <c r="S137" s="125" t="s">
        <v>3</v>
      </c>
    </row>
    <row r="138" spans="1:19" x14ac:dyDescent="0.2">
      <c r="A138" s="108">
        <v>46150</v>
      </c>
      <c r="B138" s="114" t="s">
        <v>340</v>
      </c>
      <c r="C138" s="31">
        <v>80108492</v>
      </c>
      <c r="D138" s="31" t="s">
        <v>3</v>
      </c>
      <c r="E138" s="5" t="s">
        <v>166</v>
      </c>
      <c r="F138" s="5" t="s">
        <v>185</v>
      </c>
      <c r="G138" s="5" t="s">
        <v>186</v>
      </c>
      <c r="H138" s="5" t="s">
        <v>392</v>
      </c>
      <c r="I138" s="136">
        <v>110831</v>
      </c>
      <c r="J138" s="133" t="s">
        <v>341</v>
      </c>
      <c r="K138" s="28" t="s">
        <v>342</v>
      </c>
      <c r="L138" s="28" t="s">
        <v>23</v>
      </c>
      <c r="M138" s="101" t="s">
        <v>373</v>
      </c>
      <c r="N138" s="29">
        <v>0</v>
      </c>
      <c r="O138" s="28" t="s">
        <v>374</v>
      </c>
      <c r="P138" s="31" t="s">
        <v>3</v>
      </c>
      <c r="Q138" s="5" t="s">
        <v>76</v>
      </c>
      <c r="R138" s="1" t="s">
        <v>0</v>
      </c>
      <c r="S138" s="125" t="s">
        <v>3</v>
      </c>
    </row>
    <row r="139" spans="1:19" x14ac:dyDescent="0.2">
      <c r="A139" s="97">
        <v>46001</v>
      </c>
      <c r="B139" s="114" t="s">
        <v>96</v>
      </c>
      <c r="C139" s="31">
        <v>79698816</v>
      </c>
      <c r="D139" s="31" t="s">
        <v>3</v>
      </c>
      <c r="E139" s="5" t="s">
        <v>166</v>
      </c>
      <c r="F139" s="5" t="s">
        <v>271</v>
      </c>
      <c r="G139" s="5" t="s">
        <v>272</v>
      </c>
      <c r="H139" s="5" t="s">
        <v>426</v>
      </c>
      <c r="I139" s="136">
        <v>850009</v>
      </c>
      <c r="J139" s="31" t="s">
        <v>273</v>
      </c>
      <c r="K139" s="28" t="s">
        <v>274</v>
      </c>
      <c r="L139" s="28" t="s">
        <v>9</v>
      </c>
      <c r="M139" s="32" t="s">
        <v>8</v>
      </c>
      <c r="N139" s="33">
        <v>200000</v>
      </c>
      <c r="O139" s="34" t="s">
        <v>153</v>
      </c>
      <c r="P139" s="31" t="s">
        <v>14</v>
      </c>
      <c r="Q139" s="5" t="s">
        <v>76</v>
      </c>
      <c r="R139" s="1" t="s">
        <v>0</v>
      </c>
      <c r="S139" s="125" t="s">
        <v>3</v>
      </c>
    </row>
    <row r="140" spans="1:19" x14ac:dyDescent="0.2">
      <c r="A140" s="97">
        <v>46009</v>
      </c>
      <c r="B140" s="114" t="s">
        <v>96</v>
      </c>
      <c r="C140" s="31">
        <v>79698816</v>
      </c>
      <c r="D140" s="31" t="s">
        <v>3</v>
      </c>
      <c r="E140" s="5" t="s">
        <v>166</v>
      </c>
      <c r="F140" s="5" t="s">
        <v>271</v>
      </c>
      <c r="G140" s="5" t="s">
        <v>272</v>
      </c>
      <c r="H140" s="5" t="s">
        <v>426</v>
      </c>
      <c r="I140" s="136">
        <v>850009</v>
      </c>
      <c r="J140" s="31" t="s">
        <v>273</v>
      </c>
      <c r="K140" s="28" t="s">
        <v>274</v>
      </c>
      <c r="L140" s="28" t="s">
        <v>227</v>
      </c>
      <c r="M140" s="32" t="s">
        <v>9</v>
      </c>
      <c r="N140" s="33">
        <v>200000</v>
      </c>
      <c r="O140" s="34" t="s">
        <v>152</v>
      </c>
      <c r="P140" s="31" t="s">
        <v>14</v>
      </c>
      <c r="Q140" s="5" t="s">
        <v>76</v>
      </c>
      <c r="R140" s="1" t="s">
        <v>0</v>
      </c>
      <c r="S140" s="125" t="s">
        <v>3</v>
      </c>
    </row>
    <row r="141" spans="1:19" x14ac:dyDescent="0.2">
      <c r="A141" s="108">
        <v>46117</v>
      </c>
      <c r="B141" s="114" t="s">
        <v>96</v>
      </c>
      <c r="C141" s="31">
        <v>79698816</v>
      </c>
      <c r="D141" s="31" t="s">
        <v>3</v>
      </c>
      <c r="E141" s="5" t="s">
        <v>166</v>
      </c>
      <c r="F141" s="5" t="s">
        <v>271</v>
      </c>
      <c r="G141" s="5" t="s">
        <v>272</v>
      </c>
      <c r="H141" s="5" t="s">
        <v>426</v>
      </c>
      <c r="I141" s="136">
        <v>850009</v>
      </c>
      <c r="J141" s="31" t="s">
        <v>273</v>
      </c>
      <c r="K141" s="28" t="s">
        <v>274</v>
      </c>
      <c r="L141" s="28" t="s">
        <v>23</v>
      </c>
      <c r="M141" s="28" t="s">
        <v>188</v>
      </c>
      <c r="N141" s="29">
        <v>200000</v>
      </c>
      <c r="O141" s="28" t="s">
        <v>207</v>
      </c>
      <c r="P141" s="31" t="s">
        <v>4</v>
      </c>
      <c r="Q141" s="5" t="s">
        <v>76</v>
      </c>
      <c r="R141" s="1" t="s">
        <v>0</v>
      </c>
      <c r="S141" s="125" t="s">
        <v>3</v>
      </c>
    </row>
    <row r="142" spans="1:19" x14ac:dyDescent="0.2">
      <c r="A142" s="98">
        <v>46150</v>
      </c>
      <c r="B142" s="114" t="s">
        <v>96</v>
      </c>
      <c r="C142" s="31">
        <v>79698816</v>
      </c>
      <c r="D142" s="31" t="s">
        <v>3</v>
      </c>
      <c r="E142" s="5" t="s">
        <v>166</v>
      </c>
      <c r="F142" s="5" t="s">
        <v>271</v>
      </c>
      <c r="G142" s="5" t="s">
        <v>272</v>
      </c>
      <c r="H142" s="5" t="s">
        <v>426</v>
      </c>
      <c r="I142" s="136">
        <v>850009</v>
      </c>
      <c r="J142" s="31" t="s">
        <v>273</v>
      </c>
      <c r="K142" s="28" t="s">
        <v>274</v>
      </c>
      <c r="L142" s="28" t="s">
        <v>375</v>
      </c>
      <c r="M142" s="28" t="s">
        <v>376</v>
      </c>
      <c r="N142" s="29">
        <v>100000</v>
      </c>
      <c r="O142" s="128" t="s">
        <v>377</v>
      </c>
      <c r="P142" s="31" t="s">
        <v>4</v>
      </c>
      <c r="Q142" s="5" t="s">
        <v>76</v>
      </c>
      <c r="R142" s="1" t="s">
        <v>0</v>
      </c>
      <c r="S142" s="125" t="s">
        <v>3</v>
      </c>
    </row>
    <row r="143" spans="1:19" x14ac:dyDescent="0.2">
      <c r="A143" s="108">
        <v>46150.781817129631</v>
      </c>
      <c r="B143" s="114" t="s">
        <v>96</v>
      </c>
      <c r="C143" s="31">
        <v>79698816</v>
      </c>
      <c r="D143" s="31" t="s">
        <v>3</v>
      </c>
      <c r="E143" s="5" t="s">
        <v>166</v>
      </c>
      <c r="F143" s="5" t="s">
        <v>271</v>
      </c>
      <c r="G143" s="5" t="s">
        <v>272</v>
      </c>
      <c r="H143" s="5" t="s">
        <v>426</v>
      </c>
      <c r="I143" s="136">
        <v>850009</v>
      </c>
      <c r="J143" s="31" t="s">
        <v>273</v>
      </c>
      <c r="K143" s="28" t="s">
        <v>274</v>
      </c>
      <c r="L143" s="28" t="s">
        <v>24</v>
      </c>
      <c r="M143" s="101" t="s">
        <v>335</v>
      </c>
      <c r="N143" s="29">
        <v>0</v>
      </c>
      <c r="O143" s="30" t="s">
        <v>250</v>
      </c>
      <c r="P143" s="31" t="s">
        <v>3</v>
      </c>
      <c r="Q143" s="5" t="s">
        <v>76</v>
      </c>
      <c r="R143" s="1" t="s">
        <v>0</v>
      </c>
      <c r="S143" s="125" t="s">
        <v>3</v>
      </c>
    </row>
    <row r="144" spans="1:19" x14ac:dyDescent="0.2">
      <c r="A144" s="97">
        <v>46056</v>
      </c>
      <c r="B144" s="114" t="s">
        <v>97</v>
      </c>
      <c r="C144" s="31">
        <v>7229429</v>
      </c>
      <c r="D144" s="31" t="s">
        <v>275</v>
      </c>
      <c r="E144" s="5" t="s">
        <v>166</v>
      </c>
      <c r="F144" s="5" t="s">
        <v>181</v>
      </c>
      <c r="G144" s="5" t="s">
        <v>224</v>
      </c>
      <c r="H144" s="5" t="s">
        <v>427</v>
      </c>
      <c r="I144" s="136">
        <v>150466</v>
      </c>
      <c r="J144" s="31" t="s">
        <v>276</v>
      </c>
      <c r="K144" s="28" t="s">
        <v>277</v>
      </c>
      <c r="L144" s="28" t="s">
        <v>23</v>
      </c>
      <c r="M144" s="28" t="s">
        <v>7</v>
      </c>
      <c r="N144" s="29">
        <v>150000</v>
      </c>
      <c r="O144" s="30">
        <v>95552755</v>
      </c>
      <c r="P144" s="31" t="s">
        <v>155</v>
      </c>
      <c r="Q144" s="5" t="s">
        <v>76</v>
      </c>
      <c r="R144" s="1" t="s">
        <v>0</v>
      </c>
      <c r="S144" s="125" t="s">
        <v>401</v>
      </c>
    </row>
    <row r="145" spans="1:19" x14ac:dyDescent="0.2">
      <c r="A145" s="97">
        <v>46058</v>
      </c>
      <c r="B145" s="114" t="s">
        <v>97</v>
      </c>
      <c r="C145" s="31">
        <v>7229429</v>
      </c>
      <c r="D145" s="31" t="s">
        <v>275</v>
      </c>
      <c r="E145" s="5" t="s">
        <v>166</v>
      </c>
      <c r="F145" s="5" t="s">
        <v>181</v>
      </c>
      <c r="G145" s="5" t="s">
        <v>224</v>
      </c>
      <c r="H145" s="5" t="s">
        <v>427</v>
      </c>
      <c r="I145" s="136">
        <v>150466</v>
      </c>
      <c r="J145" s="31" t="s">
        <v>276</v>
      </c>
      <c r="K145" s="28" t="s">
        <v>278</v>
      </c>
      <c r="L145" s="28" t="s">
        <v>23</v>
      </c>
      <c r="M145" s="28" t="s">
        <v>7</v>
      </c>
      <c r="N145" s="29">
        <v>150000</v>
      </c>
      <c r="O145" s="30" t="s">
        <v>154</v>
      </c>
      <c r="P145" s="31" t="s">
        <v>4</v>
      </c>
      <c r="Q145" s="5" t="s">
        <v>76</v>
      </c>
      <c r="R145" s="1" t="s">
        <v>0</v>
      </c>
      <c r="S145" s="125" t="s">
        <v>401</v>
      </c>
    </row>
    <row r="146" spans="1:19" x14ac:dyDescent="0.2">
      <c r="A146" s="108">
        <v>46150</v>
      </c>
      <c r="B146" s="114" t="s">
        <v>97</v>
      </c>
      <c r="C146" s="31">
        <v>7229429</v>
      </c>
      <c r="D146" s="31" t="s">
        <v>275</v>
      </c>
      <c r="E146" s="5" t="s">
        <v>166</v>
      </c>
      <c r="F146" s="5" t="s">
        <v>181</v>
      </c>
      <c r="G146" s="5" t="s">
        <v>224</v>
      </c>
      <c r="H146" s="5" t="s">
        <v>427</v>
      </c>
      <c r="I146" s="136">
        <v>150466</v>
      </c>
      <c r="J146" s="31" t="s">
        <v>276</v>
      </c>
      <c r="K146" s="28" t="s">
        <v>278</v>
      </c>
      <c r="L146" s="28" t="s">
        <v>42</v>
      </c>
      <c r="M146" s="28" t="s">
        <v>204</v>
      </c>
      <c r="N146" s="29">
        <v>0</v>
      </c>
      <c r="O146" s="28" t="s">
        <v>351</v>
      </c>
      <c r="P146" s="31" t="s">
        <v>3</v>
      </c>
      <c r="Q146" s="5" t="s">
        <v>76</v>
      </c>
      <c r="R146" s="1" t="s">
        <v>0</v>
      </c>
      <c r="S146" s="125" t="s">
        <v>401</v>
      </c>
    </row>
    <row r="147" spans="1:19" x14ac:dyDescent="0.2">
      <c r="A147" s="108">
        <v>46142.748900462961</v>
      </c>
      <c r="B147" s="114" t="s">
        <v>378</v>
      </c>
      <c r="C147" s="31">
        <v>1017149657</v>
      </c>
      <c r="D147" s="31" t="s">
        <v>3</v>
      </c>
      <c r="E147" s="5" t="s">
        <v>166</v>
      </c>
      <c r="F147" s="5" t="s">
        <v>185</v>
      </c>
      <c r="G147" s="5" t="s">
        <v>186</v>
      </c>
      <c r="H147" s="5" t="s">
        <v>428</v>
      </c>
      <c r="I147" s="136">
        <v>110831</v>
      </c>
      <c r="J147" s="5" t="s">
        <v>379</v>
      </c>
      <c r="K147" s="28" t="s">
        <v>380</v>
      </c>
      <c r="L147" s="28" t="s">
        <v>23</v>
      </c>
      <c r="M147" s="101" t="s">
        <v>15</v>
      </c>
      <c r="N147" s="29">
        <v>0</v>
      </c>
      <c r="O147" s="30" t="s">
        <v>250</v>
      </c>
      <c r="P147" s="31" t="s">
        <v>3</v>
      </c>
      <c r="Q147" s="5" t="s">
        <v>76</v>
      </c>
      <c r="R147" s="1" t="s">
        <v>0</v>
      </c>
      <c r="S147" s="125" t="s">
        <v>3</v>
      </c>
    </row>
    <row r="148" spans="1:19" x14ac:dyDescent="0.2">
      <c r="A148" s="108">
        <v>46142.751284722224</v>
      </c>
      <c r="B148" s="114" t="s">
        <v>378</v>
      </c>
      <c r="C148" s="31">
        <v>1017149657</v>
      </c>
      <c r="D148" s="31" t="s">
        <v>3</v>
      </c>
      <c r="E148" s="5" t="s">
        <v>166</v>
      </c>
      <c r="F148" s="5" t="s">
        <v>185</v>
      </c>
      <c r="G148" s="5" t="s">
        <v>186</v>
      </c>
      <c r="H148" s="5" t="s">
        <v>428</v>
      </c>
      <c r="I148" s="136">
        <v>110831</v>
      </c>
      <c r="J148" s="5" t="s">
        <v>379</v>
      </c>
      <c r="K148" s="28" t="s">
        <v>380</v>
      </c>
      <c r="L148" s="28" t="s">
        <v>42</v>
      </c>
      <c r="M148" s="101" t="s">
        <v>204</v>
      </c>
      <c r="N148" s="29">
        <v>0</v>
      </c>
      <c r="O148" s="30" t="s">
        <v>250</v>
      </c>
      <c r="P148" s="31" t="s">
        <v>3</v>
      </c>
      <c r="Q148" s="5" t="s">
        <v>76</v>
      </c>
      <c r="R148" s="1" t="s">
        <v>0</v>
      </c>
      <c r="S148" s="125" t="s">
        <v>3</v>
      </c>
    </row>
    <row r="149" spans="1:19" x14ac:dyDescent="0.2">
      <c r="A149" s="98">
        <v>46141</v>
      </c>
      <c r="B149" s="114" t="s">
        <v>378</v>
      </c>
      <c r="C149" s="31">
        <v>1017149657</v>
      </c>
      <c r="D149" s="31" t="s">
        <v>3</v>
      </c>
      <c r="E149" s="5" t="s">
        <v>166</v>
      </c>
      <c r="F149" s="5" t="s">
        <v>185</v>
      </c>
      <c r="G149" s="5" t="s">
        <v>186</v>
      </c>
      <c r="H149" s="5" t="s">
        <v>428</v>
      </c>
      <c r="I149" s="136">
        <v>110831</v>
      </c>
      <c r="J149" s="5" t="s">
        <v>379</v>
      </c>
      <c r="K149" s="28" t="s">
        <v>380</v>
      </c>
      <c r="L149" s="28" t="s">
        <v>313</v>
      </c>
      <c r="M149" s="101" t="s">
        <v>352</v>
      </c>
      <c r="N149" s="29">
        <v>200000</v>
      </c>
      <c r="O149" s="30" t="s">
        <v>381</v>
      </c>
      <c r="P149" s="31" t="s">
        <v>4</v>
      </c>
      <c r="Q149" s="5" t="s">
        <v>76</v>
      </c>
      <c r="R149" s="1" t="s">
        <v>0</v>
      </c>
      <c r="S149" s="125" t="s">
        <v>3</v>
      </c>
    </row>
    <row r="150" spans="1:19" x14ac:dyDescent="0.2">
      <c r="A150" s="97">
        <v>45955.358946759261</v>
      </c>
      <c r="B150" s="114" t="s">
        <v>98</v>
      </c>
      <c r="C150" s="31">
        <v>85470011</v>
      </c>
      <c r="D150" s="31" t="s">
        <v>393</v>
      </c>
      <c r="E150" s="5" t="s">
        <v>166</v>
      </c>
      <c r="F150" s="5" t="s">
        <v>234</v>
      </c>
      <c r="G150" s="5" t="s">
        <v>279</v>
      </c>
      <c r="H150" s="5" t="s">
        <v>429</v>
      </c>
      <c r="I150" s="136">
        <v>472020</v>
      </c>
      <c r="J150" s="31" t="s">
        <v>280</v>
      </c>
      <c r="K150" s="28" t="s">
        <v>281</v>
      </c>
      <c r="L150" s="28" t="s">
        <v>282</v>
      </c>
      <c r="M150" s="32" t="s">
        <v>9</v>
      </c>
      <c r="N150" s="33">
        <v>200000</v>
      </c>
      <c r="O150" s="34" t="s">
        <v>159</v>
      </c>
      <c r="P150" s="31" t="s">
        <v>14</v>
      </c>
      <c r="Q150" s="5" t="s">
        <v>76</v>
      </c>
      <c r="R150" s="1" t="s">
        <v>0</v>
      </c>
      <c r="S150" s="125" t="s">
        <v>401</v>
      </c>
    </row>
    <row r="151" spans="1:19" x14ac:dyDescent="0.2">
      <c r="A151" s="97">
        <v>45985</v>
      </c>
      <c r="B151" s="114" t="s">
        <v>98</v>
      </c>
      <c r="C151" s="31">
        <v>85470011</v>
      </c>
      <c r="D151" s="31" t="s">
        <v>393</v>
      </c>
      <c r="E151" s="5" t="s">
        <v>166</v>
      </c>
      <c r="F151" s="5" t="s">
        <v>234</v>
      </c>
      <c r="G151" s="5" t="s">
        <v>279</v>
      </c>
      <c r="H151" s="5" t="s">
        <v>429</v>
      </c>
      <c r="I151" s="136">
        <v>472020</v>
      </c>
      <c r="J151" s="31" t="s">
        <v>280</v>
      </c>
      <c r="K151" s="28" t="s">
        <v>281</v>
      </c>
      <c r="L151" s="28" t="s">
        <v>282</v>
      </c>
      <c r="M151" s="32" t="s">
        <v>8</v>
      </c>
      <c r="N151" s="33">
        <v>100000</v>
      </c>
      <c r="O151" s="34" t="s">
        <v>158</v>
      </c>
      <c r="P151" s="31" t="s">
        <v>14</v>
      </c>
      <c r="Q151" s="5" t="s">
        <v>76</v>
      </c>
      <c r="R151" s="1" t="s">
        <v>0</v>
      </c>
      <c r="S151" s="125" t="s">
        <v>401</v>
      </c>
    </row>
    <row r="152" spans="1:19" x14ac:dyDescent="0.2">
      <c r="A152" s="97">
        <v>46006</v>
      </c>
      <c r="B152" s="114" t="s">
        <v>98</v>
      </c>
      <c r="C152" s="31">
        <v>85470011</v>
      </c>
      <c r="D152" s="31" t="s">
        <v>393</v>
      </c>
      <c r="E152" s="5" t="s">
        <v>166</v>
      </c>
      <c r="F152" s="5" t="s">
        <v>234</v>
      </c>
      <c r="G152" s="5" t="s">
        <v>279</v>
      </c>
      <c r="H152" s="5" t="s">
        <v>429</v>
      </c>
      <c r="I152" s="136">
        <v>472020</v>
      </c>
      <c r="J152" s="31" t="s">
        <v>280</v>
      </c>
      <c r="K152" s="28" t="s">
        <v>281</v>
      </c>
      <c r="L152" s="28" t="s">
        <v>268</v>
      </c>
      <c r="M152" s="32" t="s">
        <v>39</v>
      </c>
      <c r="N152" s="33">
        <v>100000</v>
      </c>
      <c r="O152" s="34" t="s">
        <v>157</v>
      </c>
      <c r="P152" s="31" t="s">
        <v>14</v>
      </c>
      <c r="Q152" s="5" t="s">
        <v>76</v>
      </c>
      <c r="R152" s="1" t="s">
        <v>0</v>
      </c>
      <c r="S152" s="125" t="s">
        <v>401</v>
      </c>
    </row>
    <row r="153" spans="1:19" x14ac:dyDescent="0.2">
      <c r="A153" s="97">
        <v>46021</v>
      </c>
      <c r="B153" s="114" t="s">
        <v>98</v>
      </c>
      <c r="C153" s="31">
        <v>85470011</v>
      </c>
      <c r="D153" s="31" t="s">
        <v>393</v>
      </c>
      <c r="E153" s="5" t="s">
        <v>166</v>
      </c>
      <c r="F153" s="5" t="s">
        <v>234</v>
      </c>
      <c r="G153" s="5" t="s">
        <v>279</v>
      </c>
      <c r="H153" s="5" t="s">
        <v>429</v>
      </c>
      <c r="I153" s="136">
        <v>472020</v>
      </c>
      <c r="J153" s="31" t="s">
        <v>280</v>
      </c>
      <c r="K153" s="28" t="s">
        <v>281</v>
      </c>
      <c r="L153" s="28" t="s">
        <v>282</v>
      </c>
      <c r="M153" s="32" t="s">
        <v>2</v>
      </c>
      <c r="N153" s="33">
        <v>100000</v>
      </c>
      <c r="O153" s="34" t="s">
        <v>156</v>
      </c>
      <c r="P153" s="31" t="s">
        <v>14</v>
      </c>
      <c r="Q153" s="5" t="s">
        <v>76</v>
      </c>
      <c r="R153" s="1" t="s">
        <v>0</v>
      </c>
      <c r="S153" s="125" t="s">
        <v>401</v>
      </c>
    </row>
    <row r="154" spans="1:19" x14ac:dyDescent="0.2">
      <c r="A154" s="97">
        <v>46109</v>
      </c>
      <c r="B154" s="114" t="s">
        <v>98</v>
      </c>
      <c r="C154" s="31">
        <v>85470011</v>
      </c>
      <c r="D154" s="31" t="s">
        <v>393</v>
      </c>
      <c r="E154" s="5" t="s">
        <v>166</v>
      </c>
      <c r="F154" s="5" t="s">
        <v>234</v>
      </c>
      <c r="G154" s="5" t="s">
        <v>279</v>
      </c>
      <c r="H154" s="5" t="s">
        <v>429</v>
      </c>
      <c r="I154" s="136">
        <v>472020</v>
      </c>
      <c r="J154" s="31" t="s">
        <v>280</v>
      </c>
      <c r="K154" s="28" t="s">
        <v>281</v>
      </c>
      <c r="L154" s="28" t="s">
        <v>23</v>
      </c>
      <c r="M154" s="28" t="s">
        <v>188</v>
      </c>
      <c r="N154" s="29">
        <v>200000</v>
      </c>
      <c r="O154" s="30" t="s">
        <v>189</v>
      </c>
      <c r="P154" s="31" t="s">
        <v>4</v>
      </c>
      <c r="Q154" s="5" t="s">
        <v>76</v>
      </c>
      <c r="R154" s="1" t="s">
        <v>0</v>
      </c>
      <c r="S154" s="125" t="s">
        <v>401</v>
      </c>
    </row>
    <row r="155" spans="1:19" x14ac:dyDescent="0.2">
      <c r="A155" s="108">
        <v>46129</v>
      </c>
      <c r="B155" s="114" t="s">
        <v>98</v>
      </c>
      <c r="C155" s="31">
        <v>85470011</v>
      </c>
      <c r="D155" s="31" t="s">
        <v>393</v>
      </c>
      <c r="E155" s="5" t="s">
        <v>166</v>
      </c>
      <c r="F155" s="5" t="s">
        <v>234</v>
      </c>
      <c r="G155" s="5" t="s">
        <v>279</v>
      </c>
      <c r="H155" s="5" t="s">
        <v>429</v>
      </c>
      <c r="I155" s="136">
        <v>472020</v>
      </c>
      <c r="J155" s="28" t="s">
        <v>280</v>
      </c>
      <c r="K155" s="28" t="s">
        <v>281</v>
      </c>
      <c r="L155" s="28" t="s">
        <v>24</v>
      </c>
      <c r="M155" s="101" t="s">
        <v>335</v>
      </c>
      <c r="N155" s="29">
        <v>0</v>
      </c>
      <c r="O155" s="28" t="s">
        <v>250</v>
      </c>
      <c r="P155" s="31" t="s">
        <v>3</v>
      </c>
      <c r="Q155" s="5" t="s">
        <v>76</v>
      </c>
      <c r="R155" s="1" t="s">
        <v>0</v>
      </c>
      <c r="S155" s="125" t="s">
        <v>401</v>
      </c>
    </row>
    <row r="156" spans="1:19" x14ac:dyDescent="0.2">
      <c r="A156" s="108">
        <v>46129</v>
      </c>
      <c r="B156" s="114" t="s">
        <v>98</v>
      </c>
      <c r="C156" s="31">
        <v>85470011</v>
      </c>
      <c r="D156" s="31" t="s">
        <v>393</v>
      </c>
      <c r="E156" s="5" t="s">
        <v>166</v>
      </c>
      <c r="F156" s="5" t="s">
        <v>234</v>
      </c>
      <c r="G156" s="5" t="s">
        <v>279</v>
      </c>
      <c r="H156" s="5" t="s">
        <v>429</v>
      </c>
      <c r="I156" s="136">
        <v>472020</v>
      </c>
      <c r="J156" s="28" t="s">
        <v>280</v>
      </c>
      <c r="K156" s="28" t="s">
        <v>281</v>
      </c>
      <c r="L156" s="28" t="s">
        <v>42</v>
      </c>
      <c r="M156" s="101" t="s">
        <v>204</v>
      </c>
      <c r="N156" s="29">
        <v>0</v>
      </c>
      <c r="O156" s="28" t="s">
        <v>250</v>
      </c>
      <c r="P156" s="31" t="s">
        <v>3</v>
      </c>
      <c r="Q156" s="5" t="s">
        <v>76</v>
      </c>
      <c r="R156" s="1" t="s">
        <v>0</v>
      </c>
      <c r="S156" s="125" t="s">
        <v>401</v>
      </c>
    </row>
    <row r="157" spans="1:19" x14ac:dyDescent="0.2">
      <c r="A157" s="108">
        <v>46129</v>
      </c>
      <c r="B157" s="114" t="s">
        <v>98</v>
      </c>
      <c r="C157" s="31">
        <v>85470011</v>
      </c>
      <c r="D157" s="31" t="s">
        <v>393</v>
      </c>
      <c r="E157" s="5" t="s">
        <v>166</v>
      </c>
      <c r="F157" s="5" t="s">
        <v>234</v>
      </c>
      <c r="G157" s="5" t="s">
        <v>279</v>
      </c>
      <c r="H157" s="5" t="s">
        <v>429</v>
      </c>
      <c r="I157" s="136">
        <v>472020</v>
      </c>
      <c r="J157" s="28" t="s">
        <v>280</v>
      </c>
      <c r="K157" s="28" t="s">
        <v>281</v>
      </c>
      <c r="L157" s="28" t="s">
        <v>313</v>
      </c>
      <c r="M157" s="101" t="s">
        <v>188</v>
      </c>
      <c r="N157" s="29">
        <v>200000</v>
      </c>
      <c r="O157" s="28" t="s">
        <v>344</v>
      </c>
      <c r="P157" s="31" t="s">
        <v>4</v>
      </c>
      <c r="Q157" s="5" t="s">
        <v>76</v>
      </c>
      <c r="R157" s="1" t="s">
        <v>0</v>
      </c>
      <c r="S157" s="125" t="s">
        <v>401</v>
      </c>
    </row>
    <row r="158" spans="1:19" x14ac:dyDescent="0.2">
      <c r="A158" s="97">
        <v>45907.78670138889</v>
      </c>
      <c r="B158" s="114" t="s">
        <v>99</v>
      </c>
      <c r="C158" s="31">
        <v>1016098392</v>
      </c>
      <c r="D158" s="31" t="s">
        <v>283</v>
      </c>
      <c r="E158" s="5" t="s">
        <v>166</v>
      </c>
      <c r="F158" s="5" t="s">
        <v>185</v>
      </c>
      <c r="G158" s="5" t="s">
        <v>431</v>
      </c>
      <c r="H158" s="5" t="s">
        <v>430</v>
      </c>
      <c r="I158" s="136">
        <v>250010</v>
      </c>
      <c r="J158" s="5" t="s">
        <v>284</v>
      </c>
      <c r="K158" s="28" t="s">
        <v>285</v>
      </c>
      <c r="L158" s="28" t="s">
        <v>74</v>
      </c>
      <c r="M158" s="28" t="s">
        <v>12</v>
      </c>
      <c r="N158" s="29">
        <v>300000</v>
      </c>
      <c r="O158" s="30" t="s">
        <v>160</v>
      </c>
      <c r="P158" s="31" t="s">
        <v>14</v>
      </c>
      <c r="Q158" s="5" t="s">
        <v>76</v>
      </c>
      <c r="R158" s="1" t="s">
        <v>0</v>
      </c>
      <c r="S158" s="125" t="s">
        <v>401</v>
      </c>
    </row>
    <row r="159" spans="1:19" x14ac:dyDescent="0.2">
      <c r="A159" s="97">
        <v>45970</v>
      </c>
      <c r="B159" s="114" t="s">
        <v>100</v>
      </c>
      <c r="C159" s="31">
        <v>4153330</v>
      </c>
      <c r="D159" s="31" t="s">
        <v>3</v>
      </c>
      <c r="E159" s="5" t="s">
        <v>166</v>
      </c>
      <c r="F159" s="5" t="s">
        <v>181</v>
      </c>
      <c r="G159" s="5" t="s">
        <v>286</v>
      </c>
      <c r="H159" s="5" t="s">
        <v>430</v>
      </c>
      <c r="I159" s="136">
        <v>154001</v>
      </c>
      <c r="J159" s="31" t="s">
        <v>287</v>
      </c>
      <c r="K159" s="28" t="s">
        <v>288</v>
      </c>
      <c r="L159" s="28" t="s">
        <v>23</v>
      </c>
      <c r="M159" s="28" t="s">
        <v>2</v>
      </c>
      <c r="N159" s="29">
        <v>100000</v>
      </c>
      <c r="O159" s="30" t="s">
        <v>161</v>
      </c>
      <c r="P159" s="31" t="s">
        <v>14</v>
      </c>
      <c r="Q159" s="5" t="s">
        <v>76</v>
      </c>
      <c r="R159" s="1" t="s">
        <v>0</v>
      </c>
      <c r="S159" s="125" t="s">
        <v>3</v>
      </c>
    </row>
    <row r="160" spans="1:19" x14ac:dyDescent="0.2">
      <c r="A160" s="108">
        <v>46114</v>
      </c>
      <c r="B160" s="114" t="s">
        <v>208</v>
      </c>
      <c r="C160" s="31">
        <v>79761575</v>
      </c>
      <c r="D160" s="31" t="s">
        <v>3</v>
      </c>
      <c r="E160" s="5" t="s">
        <v>166</v>
      </c>
      <c r="F160" s="5" t="s">
        <v>185</v>
      </c>
      <c r="G160" s="5" t="s">
        <v>186</v>
      </c>
      <c r="H160" s="5" t="s">
        <v>432</v>
      </c>
      <c r="I160" s="136">
        <v>110621</v>
      </c>
      <c r="J160" s="31" t="s">
        <v>289</v>
      </c>
      <c r="K160" s="28" t="s">
        <v>290</v>
      </c>
      <c r="L160" s="28" t="s">
        <v>23</v>
      </c>
      <c r="M160" s="28" t="s">
        <v>209</v>
      </c>
      <c r="N160" s="29">
        <v>100000</v>
      </c>
      <c r="O160" s="30" t="s">
        <v>210</v>
      </c>
      <c r="P160" s="31" t="s">
        <v>4</v>
      </c>
      <c r="Q160" s="5" t="s">
        <v>76</v>
      </c>
      <c r="R160" s="1" t="s">
        <v>0</v>
      </c>
      <c r="S160" s="125" t="s">
        <v>3</v>
      </c>
    </row>
    <row r="161" spans="1:20" x14ac:dyDescent="0.2">
      <c r="A161" s="97">
        <v>46120</v>
      </c>
      <c r="B161" s="114" t="s">
        <v>212</v>
      </c>
      <c r="C161" s="31">
        <v>46674485</v>
      </c>
      <c r="D161" s="31" t="s">
        <v>3</v>
      </c>
      <c r="E161" s="5" t="s">
        <v>166</v>
      </c>
      <c r="F161" s="5" t="s">
        <v>181</v>
      </c>
      <c r="G161" s="5" t="s">
        <v>224</v>
      </c>
      <c r="H161" s="5" t="s">
        <v>433</v>
      </c>
      <c r="I161" s="136">
        <v>150477</v>
      </c>
      <c r="J161" s="31" t="s">
        <v>291</v>
      </c>
      <c r="K161" s="28" t="s">
        <v>292</v>
      </c>
      <c r="L161" s="28" t="s">
        <v>23</v>
      </c>
      <c r="M161" s="28" t="s">
        <v>2</v>
      </c>
      <c r="N161" s="29">
        <v>100000</v>
      </c>
      <c r="O161" s="30" t="s">
        <v>293</v>
      </c>
      <c r="P161" s="31" t="s">
        <v>4</v>
      </c>
      <c r="Q161" s="5" t="s">
        <v>76</v>
      </c>
      <c r="R161" s="1" t="s">
        <v>0</v>
      </c>
      <c r="S161" s="125" t="s">
        <v>3</v>
      </c>
    </row>
    <row r="162" spans="1:20" x14ac:dyDescent="0.2">
      <c r="A162" s="98">
        <v>45901.47152777778</v>
      </c>
      <c r="B162" s="114" t="s">
        <v>101</v>
      </c>
      <c r="C162" s="31">
        <v>52551592</v>
      </c>
      <c r="D162" s="31" t="s">
        <v>3</v>
      </c>
      <c r="E162" s="5" t="s">
        <v>166</v>
      </c>
      <c r="F162" s="5" t="s">
        <v>173</v>
      </c>
      <c r="G162" s="5" t="s">
        <v>174</v>
      </c>
      <c r="H162" s="5" t="s">
        <v>294</v>
      </c>
      <c r="I162" s="136">
        <v>80002</v>
      </c>
      <c r="J162" s="5" t="s">
        <v>295</v>
      </c>
      <c r="K162" s="28" t="s">
        <v>296</v>
      </c>
      <c r="L162" s="28" t="s">
        <v>74</v>
      </c>
      <c r="M162" s="28" t="s">
        <v>12</v>
      </c>
      <c r="N162" s="29">
        <v>300000</v>
      </c>
      <c r="O162" s="30" t="s">
        <v>162</v>
      </c>
      <c r="P162" s="31" t="s">
        <v>4</v>
      </c>
      <c r="Q162" s="5" t="s">
        <v>76</v>
      </c>
      <c r="R162" s="1" t="s">
        <v>0</v>
      </c>
      <c r="S162" s="125" t="s">
        <v>405</v>
      </c>
    </row>
    <row r="163" spans="1:20" x14ac:dyDescent="0.2">
      <c r="A163" s="98">
        <v>46041.822858796295</v>
      </c>
      <c r="B163" s="114" t="s">
        <v>102</v>
      </c>
      <c r="C163" s="31">
        <v>52271874</v>
      </c>
      <c r="D163" s="31" t="s">
        <v>3</v>
      </c>
      <c r="E163" s="5" t="s">
        <v>166</v>
      </c>
      <c r="F163" s="5" t="s">
        <v>185</v>
      </c>
      <c r="G163" s="5" t="s">
        <v>213</v>
      </c>
      <c r="H163" s="5" t="s">
        <v>434</v>
      </c>
      <c r="I163" s="136">
        <v>110911</v>
      </c>
      <c r="J163" s="168" t="s">
        <v>453</v>
      </c>
      <c r="K163" s="28" t="s">
        <v>297</v>
      </c>
      <c r="L163" s="28" t="s">
        <v>23</v>
      </c>
      <c r="M163" s="28" t="s">
        <v>7</v>
      </c>
      <c r="N163" s="29">
        <v>150000</v>
      </c>
      <c r="O163" s="30" t="s">
        <v>163</v>
      </c>
      <c r="P163" s="31" t="s">
        <v>14</v>
      </c>
      <c r="Q163" s="5" t="s">
        <v>76</v>
      </c>
      <c r="R163" s="1" t="s">
        <v>0</v>
      </c>
      <c r="S163" s="125" t="s">
        <v>3</v>
      </c>
    </row>
    <row r="164" spans="1:20" x14ac:dyDescent="0.2">
      <c r="A164" s="108">
        <v>46129</v>
      </c>
      <c r="B164" s="114" t="s">
        <v>345</v>
      </c>
      <c r="C164" s="31">
        <v>52857830</v>
      </c>
      <c r="D164" s="31" t="s">
        <v>3</v>
      </c>
      <c r="E164" s="5" t="s">
        <v>166</v>
      </c>
      <c r="F164" s="5" t="s">
        <v>185</v>
      </c>
      <c r="G164" s="5" t="s">
        <v>186</v>
      </c>
      <c r="H164" s="5" t="s">
        <v>435</v>
      </c>
      <c r="I164" s="136">
        <v>110721</v>
      </c>
      <c r="J164" s="28" t="s">
        <v>346</v>
      </c>
      <c r="K164" s="28" t="s">
        <v>347</v>
      </c>
      <c r="L164" s="28" t="s">
        <v>23</v>
      </c>
      <c r="M164" s="101" t="s">
        <v>2</v>
      </c>
      <c r="N164" s="29">
        <v>100000</v>
      </c>
      <c r="O164" s="28" t="s">
        <v>348</v>
      </c>
      <c r="P164" s="31" t="s">
        <v>4</v>
      </c>
      <c r="Q164" s="5" t="s">
        <v>76</v>
      </c>
      <c r="R164" s="1" t="s">
        <v>0</v>
      </c>
      <c r="S164" s="125" t="s">
        <v>3</v>
      </c>
    </row>
    <row r="165" spans="1:20" x14ac:dyDescent="0.2">
      <c r="A165" s="108">
        <v>46130</v>
      </c>
      <c r="B165" s="114" t="s">
        <v>345</v>
      </c>
      <c r="C165" s="31">
        <v>52857830</v>
      </c>
      <c r="D165" s="31" t="s">
        <v>3</v>
      </c>
      <c r="E165" s="5" t="s">
        <v>166</v>
      </c>
      <c r="F165" s="5" t="s">
        <v>185</v>
      </c>
      <c r="G165" s="5" t="s">
        <v>186</v>
      </c>
      <c r="H165" s="5" t="s">
        <v>394</v>
      </c>
      <c r="I165" s="136">
        <v>110721</v>
      </c>
      <c r="J165" s="28" t="s">
        <v>346</v>
      </c>
      <c r="K165" s="28" t="s">
        <v>347</v>
      </c>
      <c r="L165" s="28" t="s">
        <v>268</v>
      </c>
      <c r="M165" s="101" t="s">
        <v>325</v>
      </c>
      <c r="N165" s="29">
        <v>0</v>
      </c>
      <c r="O165" s="28" t="s">
        <v>250</v>
      </c>
      <c r="P165" s="31" t="s">
        <v>3</v>
      </c>
      <c r="Q165" s="5" t="s">
        <v>76</v>
      </c>
      <c r="R165" s="1" t="s">
        <v>0</v>
      </c>
      <c r="S165" s="125" t="s">
        <v>3</v>
      </c>
    </row>
    <row r="166" spans="1:20" x14ac:dyDescent="0.2">
      <c r="A166" s="98">
        <v>46141</v>
      </c>
      <c r="B166" s="114" t="s">
        <v>382</v>
      </c>
      <c r="C166" s="31">
        <v>1129574665</v>
      </c>
      <c r="D166" s="31" t="s">
        <v>3</v>
      </c>
      <c r="E166" s="5" t="s">
        <v>166</v>
      </c>
      <c r="F166" s="5" t="s">
        <v>173</v>
      </c>
      <c r="G166" s="5" t="s">
        <v>174</v>
      </c>
      <c r="H166" s="5" t="s">
        <v>395</v>
      </c>
      <c r="I166" s="137" t="s">
        <v>396</v>
      </c>
      <c r="J166" s="167" t="s">
        <v>175</v>
      </c>
      <c r="K166" s="28" t="s">
        <v>172</v>
      </c>
      <c r="L166" s="28" t="s">
        <v>313</v>
      </c>
      <c r="M166" s="101" t="s">
        <v>352</v>
      </c>
      <c r="N166" s="29">
        <v>200000</v>
      </c>
      <c r="O166" s="128" t="s">
        <v>383</v>
      </c>
      <c r="P166" s="31" t="s">
        <v>4</v>
      </c>
      <c r="Q166" s="5" t="s">
        <v>76</v>
      </c>
      <c r="R166" s="1" t="s">
        <v>0</v>
      </c>
      <c r="S166" s="125" t="s">
        <v>3</v>
      </c>
    </row>
    <row r="167" spans="1:20" x14ac:dyDescent="0.2">
      <c r="A167" s="108">
        <v>46141.953009259261</v>
      </c>
      <c r="B167" s="114" t="s">
        <v>382</v>
      </c>
      <c r="C167" s="31">
        <v>1129574665</v>
      </c>
      <c r="D167" s="31" t="s">
        <v>3</v>
      </c>
      <c r="E167" s="5" t="s">
        <v>166</v>
      </c>
      <c r="F167" s="5" t="s">
        <v>173</v>
      </c>
      <c r="G167" s="5" t="s">
        <v>174</v>
      </c>
      <c r="H167" s="5" t="s">
        <v>395</v>
      </c>
      <c r="I167" s="137" t="s">
        <v>396</v>
      </c>
      <c r="J167" s="167" t="s">
        <v>175</v>
      </c>
      <c r="K167" s="28" t="s">
        <v>172</v>
      </c>
      <c r="L167" s="28" t="s">
        <v>23</v>
      </c>
      <c r="M167" s="101" t="s">
        <v>15</v>
      </c>
      <c r="N167" s="29">
        <v>0</v>
      </c>
      <c r="O167" s="30" t="s">
        <v>250</v>
      </c>
      <c r="P167" s="31" t="s">
        <v>3</v>
      </c>
      <c r="Q167" s="5" t="s">
        <v>76</v>
      </c>
      <c r="R167" s="1" t="s">
        <v>0</v>
      </c>
      <c r="S167" s="125" t="s">
        <v>3</v>
      </c>
    </row>
    <row r="168" spans="1:20" x14ac:dyDescent="0.2">
      <c r="A168" s="108">
        <v>46141.955034722225</v>
      </c>
      <c r="B168" s="114" t="s">
        <v>382</v>
      </c>
      <c r="C168" s="31">
        <v>1129574665</v>
      </c>
      <c r="D168" s="31" t="s">
        <v>3</v>
      </c>
      <c r="E168" s="5" t="s">
        <v>166</v>
      </c>
      <c r="F168" s="5" t="s">
        <v>173</v>
      </c>
      <c r="G168" s="5" t="s">
        <v>174</v>
      </c>
      <c r="H168" s="5" t="s">
        <v>395</v>
      </c>
      <c r="I168" s="137" t="s">
        <v>396</v>
      </c>
      <c r="J168" s="167" t="s">
        <v>175</v>
      </c>
      <c r="K168" s="28" t="s">
        <v>172</v>
      </c>
      <c r="L168" s="28" t="s">
        <v>42</v>
      </c>
      <c r="M168" s="101" t="s">
        <v>204</v>
      </c>
      <c r="N168" s="29">
        <v>0</v>
      </c>
      <c r="O168" s="30" t="s">
        <v>250</v>
      </c>
      <c r="P168" s="31" t="s">
        <v>3</v>
      </c>
      <c r="Q168" s="5" t="s">
        <v>76</v>
      </c>
      <c r="R168" s="1" t="s">
        <v>0</v>
      </c>
      <c r="S168" s="125" t="s">
        <v>3</v>
      </c>
    </row>
    <row r="169" spans="1:20" x14ac:dyDescent="0.2">
      <c r="A169" s="108">
        <v>46176.493636539351</v>
      </c>
      <c r="B169" s="114" t="s">
        <v>436</v>
      </c>
      <c r="C169" s="31">
        <v>79688979</v>
      </c>
      <c r="D169" s="31"/>
      <c r="E169" s="5"/>
      <c r="F169" s="5"/>
      <c r="G169" s="5"/>
      <c r="H169" s="5"/>
      <c r="I169" s="137"/>
      <c r="J169" s="5"/>
      <c r="K169" s="28" t="s">
        <v>437</v>
      </c>
      <c r="L169" s="28" t="s">
        <v>23</v>
      </c>
      <c r="M169" s="101" t="s">
        <v>2</v>
      </c>
      <c r="N169" t="s">
        <v>445</v>
      </c>
      <c r="O169" s="30" t="s">
        <v>438</v>
      </c>
      <c r="P169" s="31" t="s">
        <v>4</v>
      </c>
      <c r="Q169" s="5" t="s">
        <v>76</v>
      </c>
      <c r="R169" s="1" t="s">
        <v>399</v>
      </c>
      <c r="S169" s="147"/>
      <c r="T169" t="s">
        <v>445</v>
      </c>
    </row>
    <row r="170" spans="1:20" x14ac:dyDescent="0.2">
      <c r="A170" s="108">
        <v>46253</v>
      </c>
      <c r="B170" s="114" t="s">
        <v>85</v>
      </c>
      <c r="C170" s="31">
        <v>900760096</v>
      </c>
      <c r="D170" s="31" t="s">
        <v>238</v>
      </c>
      <c r="E170" s="5" t="s">
        <v>239</v>
      </c>
      <c r="F170" s="5" t="s">
        <v>240</v>
      </c>
      <c r="G170" s="5" t="s">
        <v>241</v>
      </c>
      <c r="H170" s="5" t="s">
        <v>409</v>
      </c>
      <c r="I170" s="137">
        <v>62002</v>
      </c>
      <c r="J170" s="5" t="s">
        <v>242</v>
      </c>
      <c r="K170" s="28" t="s">
        <v>243</v>
      </c>
      <c r="L170" s="28" t="s">
        <v>23</v>
      </c>
      <c r="M170" s="101" t="s">
        <v>15</v>
      </c>
      <c r="N170" t="s">
        <v>445</v>
      </c>
      <c r="O170" s="30" t="s">
        <v>439</v>
      </c>
      <c r="P170" s="31" t="s">
        <v>4</v>
      </c>
      <c r="Q170" s="5" t="s">
        <v>76</v>
      </c>
      <c r="R170" s="1" t="s">
        <v>0</v>
      </c>
      <c r="S170" s="147"/>
      <c r="T170" t="s">
        <v>445</v>
      </c>
    </row>
    <row r="171" spans="1:20" x14ac:dyDescent="0.2">
      <c r="A171" s="108">
        <v>46253</v>
      </c>
      <c r="B171" s="114" t="s">
        <v>321</v>
      </c>
      <c r="C171" s="31">
        <v>7223846</v>
      </c>
      <c r="D171" s="31" t="s">
        <v>3</v>
      </c>
      <c r="E171" s="5" t="s">
        <v>166</v>
      </c>
      <c r="F171" s="5" t="s">
        <v>181</v>
      </c>
      <c r="G171" s="5" t="s">
        <v>224</v>
      </c>
      <c r="H171" s="5" t="s">
        <v>413</v>
      </c>
      <c r="I171" s="137">
        <v>150461</v>
      </c>
      <c r="J171" s="5" t="s">
        <v>322</v>
      </c>
      <c r="K171" s="28" t="s">
        <v>323</v>
      </c>
      <c r="L171" s="28" t="s">
        <v>23</v>
      </c>
      <c r="M171" s="101" t="s">
        <v>2</v>
      </c>
      <c r="N171" t="s">
        <v>445</v>
      </c>
      <c r="O171" s="30" t="s">
        <v>439</v>
      </c>
      <c r="P171" s="31" t="s">
        <v>4</v>
      </c>
      <c r="Q171" s="5" t="s">
        <v>76</v>
      </c>
      <c r="R171" s="1" t="s">
        <v>0</v>
      </c>
      <c r="S171" s="147"/>
      <c r="T171" t="s">
        <v>445</v>
      </c>
    </row>
    <row r="172" spans="1:20" x14ac:dyDescent="0.2">
      <c r="A172" s="108">
        <v>46175.909764166667</v>
      </c>
      <c r="B172" s="114" t="s">
        <v>88</v>
      </c>
      <c r="C172" s="31">
        <v>79394729</v>
      </c>
      <c r="D172" s="31" t="s">
        <v>255</v>
      </c>
      <c r="E172" s="5" t="s">
        <v>166</v>
      </c>
      <c r="F172" s="5" t="s">
        <v>169</v>
      </c>
      <c r="G172" s="5" t="s">
        <v>177</v>
      </c>
      <c r="H172" s="5" t="s">
        <v>417</v>
      </c>
      <c r="I172" s="137">
        <v>55460</v>
      </c>
      <c r="J172" s="5" t="s">
        <v>256</v>
      </c>
      <c r="K172" s="28" t="s">
        <v>257</v>
      </c>
      <c r="L172" s="28" t="s">
        <v>23</v>
      </c>
      <c r="M172" s="101" t="s">
        <v>2</v>
      </c>
      <c r="N172" t="s">
        <v>445</v>
      </c>
      <c r="O172" s="30" t="s">
        <v>438</v>
      </c>
      <c r="P172" s="31" t="s">
        <v>4</v>
      </c>
      <c r="Q172" s="5" t="s">
        <v>76</v>
      </c>
      <c r="R172" s="1" t="s">
        <v>399</v>
      </c>
      <c r="S172" s="147"/>
      <c r="T172" t="s">
        <v>445</v>
      </c>
    </row>
    <row r="173" spans="1:20" x14ac:dyDescent="0.2">
      <c r="A173" s="108">
        <v>46177.447942523148</v>
      </c>
      <c r="B173" s="114" t="s">
        <v>91</v>
      </c>
      <c r="C173" s="31">
        <v>85460153</v>
      </c>
      <c r="D173" s="31" t="s">
        <v>389</v>
      </c>
      <c r="E173" s="5" t="s">
        <v>166</v>
      </c>
      <c r="F173" s="5" t="s">
        <v>234</v>
      </c>
      <c r="G173" s="5" t="s">
        <v>235</v>
      </c>
      <c r="H173" s="5" t="s">
        <v>390</v>
      </c>
      <c r="I173" s="137">
        <v>470002</v>
      </c>
      <c r="J173" s="5" t="s">
        <v>264</v>
      </c>
      <c r="K173" s="28" t="s">
        <v>265</v>
      </c>
      <c r="L173" s="28" t="s">
        <v>23</v>
      </c>
      <c r="M173" s="101" t="s">
        <v>2</v>
      </c>
      <c r="N173" t="s">
        <v>445</v>
      </c>
      <c r="O173" s="30" t="s">
        <v>440</v>
      </c>
      <c r="P173" s="31" t="s">
        <v>4</v>
      </c>
      <c r="Q173" s="5" t="s">
        <v>76</v>
      </c>
      <c r="R173" s="1" t="s">
        <v>399</v>
      </c>
      <c r="S173" s="147"/>
      <c r="T173" t="s">
        <v>445</v>
      </c>
    </row>
    <row r="174" spans="1:20" x14ac:dyDescent="0.2">
      <c r="A174" s="108">
        <v>46253</v>
      </c>
      <c r="B174" s="114" t="s">
        <v>93</v>
      </c>
      <c r="C174" s="31">
        <v>79795022</v>
      </c>
      <c r="D174" s="31" t="s">
        <v>183</v>
      </c>
      <c r="E174" s="5" t="s">
        <v>166</v>
      </c>
      <c r="F174" s="5" t="s">
        <v>185</v>
      </c>
      <c r="G174" s="5" t="s">
        <v>213</v>
      </c>
      <c r="H174" s="5" t="s">
        <v>421</v>
      </c>
      <c r="I174" s="137">
        <v>110811</v>
      </c>
      <c r="J174" s="5" t="s">
        <v>187</v>
      </c>
      <c r="K174" s="28" t="s">
        <v>184</v>
      </c>
      <c r="L174" s="28" t="s">
        <v>23</v>
      </c>
      <c r="M174" s="101" t="s">
        <v>121</v>
      </c>
      <c r="N174" t="s">
        <v>445</v>
      </c>
      <c r="O174" s="30" t="s">
        <v>439</v>
      </c>
      <c r="P174" s="31" t="s">
        <v>4</v>
      </c>
      <c r="Q174" s="5" t="s">
        <v>76</v>
      </c>
      <c r="R174" s="1" t="s">
        <v>0</v>
      </c>
      <c r="S174" s="147"/>
      <c r="T174" t="s">
        <v>445</v>
      </c>
    </row>
    <row r="175" spans="1:20" x14ac:dyDescent="0.2">
      <c r="A175" s="108">
        <v>46253</v>
      </c>
      <c r="B175" s="114" t="s">
        <v>94</v>
      </c>
      <c r="C175" s="31">
        <v>15450253</v>
      </c>
      <c r="D175" s="31" t="s">
        <v>167</v>
      </c>
      <c r="E175" s="5" t="s">
        <v>166</v>
      </c>
      <c r="F175" s="5" t="s">
        <v>169</v>
      </c>
      <c r="G175" s="5" t="s">
        <v>269</v>
      </c>
      <c r="H175" s="5" t="s">
        <v>423</v>
      </c>
      <c r="I175" s="137">
        <v>5542</v>
      </c>
      <c r="J175" s="5" t="s">
        <v>270</v>
      </c>
      <c r="K175" s="28" t="s">
        <v>168</v>
      </c>
      <c r="L175" s="28" t="s">
        <v>23</v>
      </c>
      <c r="M175" s="101" t="s">
        <v>15</v>
      </c>
      <c r="N175" t="s">
        <v>445</v>
      </c>
      <c r="O175" s="30" t="s">
        <v>439</v>
      </c>
      <c r="P175" s="31" t="s">
        <v>4</v>
      </c>
      <c r="Q175" s="5" t="s">
        <v>76</v>
      </c>
      <c r="R175" s="1" t="s">
        <v>0</v>
      </c>
      <c r="S175" s="147"/>
      <c r="T175" t="s">
        <v>445</v>
      </c>
    </row>
    <row r="176" spans="1:20" x14ac:dyDescent="0.2">
      <c r="A176" s="108">
        <v>46253</v>
      </c>
      <c r="B176" s="114" t="s">
        <v>96</v>
      </c>
      <c r="C176" s="31">
        <v>79698816</v>
      </c>
      <c r="D176" s="31" t="s">
        <v>3</v>
      </c>
      <c r="E176" s="5" t="s">
        <v>166</v>
      </c>
      <c r="F176" s="5" t="s">
        <v>271</v>
      </c>
      <c r="G176" s="5" t="s">
        <v>272</v>
      </c>
      <c r="H176" s="5" t="s">
        <v>426</v>
      </c>
      <c r="I176" s="137">
        <v>850009</v>
      </c>
      <c r="J176" s="5" t="s">
        <v>273</v>
      </c>
      <c r="K176" s="28" t="s">
        <v>274</v>
      </c>
      <c r="L176" s="28" t="s">
        <v>23</v>
      </c>
      <c r="M176" s="101" t="s">
        <v>2</v>
      </c>
      <c r="N176" t="s">
        <v>445</v>
      </c>
      <c r="O176" s="30" t="s">
        <v>439</v>
      </c>
      <c r="P176" s="31" t="s">
        <v>4</v>
      </c>
      <c r="Q176" s="5" t="s">
        <v>76</v>
      </c>
      <c r="R176" s="1" t="s">
        <v>0</v>
      </c>
      <c r="S176" s="147"/>
      <c r="T176" t="s">
        <v>445</v>
      </c>
    </row>
    <row r="177" spans="1:20" x14ac:dyDescent="0.2">
      <c r="A177" s="108">
        <v>46253</v>
      </c>
      <c r="B177" s="114" t="s">
        <v>97</v>
      </c>
      <c r="C177" s="31">
        <v>7229429</v>
      </c>
      <c r="D177" s="31" t="s">
        <v>275</v>
      </c>
      <c r="E177" s="5" t="s">
        <v>166</v>
      </c>
      <c r="F177" s="5" t="s">
        <v>181</v>
      </c>
      <c r="G177" s="5" t="s">
        <v>224</v>
      </c>
      <c r="H177" s="5" t="s">
        <v>427</v>
      </c>
      <c r="I177" s="137">
        <v>150466</v>
      </c>
      <c r="J177" s="5" t="s">
        <v>276</v>
      </c>
      <c r="K177" s="28" t="s">
        <v>277</v>
      </c>
      <c r="L177" s="28" t="s">
        <v>23</v>
      </c>
      <c r="M177" s="101" t="s">
        <v>2</v>
      </c>
      <c r="N177" t="s">
        <v>445</v>
      </c>
      <c r="O177" s="30" t="s">
        <v>439</v>
      </c>
      <c r="P177" s="31" t="s">
        <v>4</v>
      </c>
      <c r="Q177" s="5" t="s">
        <v>76</v>
      </c>
      <c r="R177" s="1" t="s">
        <v>0</v>
      </c>
      <c r="S177" s="147"/>
      <c r="T177" t="s">
        <v>445</v>
      </c>
    </row>
    <row r="178" spans="1:20" x14ac:dyDescent="0.2">
      <c r="A178" s="108">
        <v>46186.829208668976</v>
      </c>
      <c r="B178" s="114" t="s">
        <v>441</v>
      </c>
      <c r="C178" s="31">
        <v>1152188121</v>
      </c>
      <c r="D178" s="31"/>
      <c r="E178" s="5"/>
      <c r="F178" s="5"/>
      <c r="G178" s="5"/>
      <c r="H178" s="5"/>
      <c r="I178" s="137"/>
      <c r="J178" s="5"/>
      <c r="K178" s="28" t="s">
        <v>442</v>
      </c>
      <c r="L178" s="28" t="s">
        <v>23</v>
      </c>
      <c r="M178" s="101" t="s">
        <v>2</v>
      </c>
      <c r="N178" t="s">
        <v>445</v>
      </c>
      <c r="O178" s="30" t="s">
        <v>443</v>
      </c>
      <c r="P178" s="31" t="s">
        <v>4</v>
      </c>
      <c r="Q178" s="5" t="s">
        <v>76</v>
      </c>
      <c r="R178" s="1" t="s">
        <v>399</v>
      </c>
      <c r="S178" s="148"/>
      <c r="T178" t="s">
        <v>445</v>
      </c>
    </row>
    <row r="179" spans="1:20" x14ac:dyDescent="0.2">
      <c r="A179" s="108">
        <v>46256</v>
      </c>
      <c r="B179" s="114" t="s">
        <v>90</v>
      </c>
      <c r="C179" s="31"/>
      <c r="D179" s="31"/>
      <c r="E179" s="5"/>
      <c r="F179" s="5"/>
      <c r="G179" s="5"/>
      <c r="H179" s="5"/>
      <c r="I179" s="137"/>
      <c r="J179" s="5"/>
      <c r="K179" s="28"/>
      <c r="L179" s="28"/>
      <c r="M179" s="101" t="s">
        <v>2</v>
      </c>
      <c r="N179" s="29"/>
      <c r="O179" s="30"/>
      <c r="P179" s="31"/>
      <c r="Q179" s="5"/>
      <c r="R179" s="1"/>
      <c r="S179" s="148"/>
    </row>
    <row r="180" spans="1:20" x14ac:dyDescent="0.2">
      <c r="A180" s="108">
        <v>46256</v>
      </c>
      <c r="B180" s="114" t="s">
        <v>446</v>
      </c>
      <c r="C180" s="31"/>
      <c r="D180" s="31"/>
      <c r="E180" s="5"/>
      <c r="F180" s="5"/>
      <c r="G180" s="5"/>
      <c r="H180" s="5"/>
      <c r="I180" s="137"/>
      <c r="J180" s="5"/>
      <c r="K180" s="28"/>
      <c r="L180" s="28"/>
      <c r="M180" s="101" t="s">
        <v>2</v>
      </c>
      <c r="N180" s="29"/>
      <c r="O180" s="30"/>
      <c r="P180" s="31"/>
      <c r="Q180" s="5"/>
      <c r="R180" s="1"/>
      <c r="S180" s="148"/>
    </row>
  </sheetData>
  <autoFilter ref="A1:T168" xr:uid="{BAB99A06-041E-4BD8-B15E-F417C7709518}"/>
  <sortState xmlns:xlrd2="http://schemas.microsoft.com/office/spreadsheetml/2017/richdata2" ref="A2:T125">
    <sortCondition ref="B1:B125"/>
  </sortState>
  <phoneticPr fontId="59" type="noConversion"/>
  <conditionalFormatting sqref="A1">
    <cfRule type="duplicateValues" dxfId="2940" priority="3591"/>
    <cfRule type="duplicateValues" dxfId="2939" priority="3590"/>
    <cfRule type="duplicateValues" dxfId="2938" priority="3584"/>
    <cfRule type="duplicateValues" dxfId="2937" priority="3585"/>
    <cfRule type="duplicateValues" dxfId="2936" priority="3586"/>
    <cfRule type="duplicateValues" dxfId="2935" priority="3587"/>
    <cfRule type="duplicateValues" dxfId="2934" priority="3588"/>
    <cfRule type="duplicateValues" dxfId="2933" priority="3592"/>
    <cfRule type="duplicateValues" dxfId="2932" priority="3593"/>
    <cfRule type="duplicateValues" dxfId="2931" priority="3594"/>
    <cfRule type="duplicateValues" dxfId="2930" priority="3595"/>
    <cfRule type="duplicateValues" dxfId="2929" priority="3596"/>
    <cfRule type="duplicateValues" dxfId="2928" priority="3597"/>
    <cfRule type="duplicateValues" dxfId="2927" priority="3589"/>
  </conditionalFormatting>
  <conditionalFormatting sqref="B1:B122 B124:B180">
    <cfRule type="duplicateValues" dxfId="2926" priority="3581"/>
    <cfRule type="duplicateValues" dxfId="2925" priority="3582"/>
    <cfRule type="duplicateValues" dxfId="2924" priority="3583"/>
  </conditionalFormatting>
  <conditionalFormatting sqref="B1:B180">
    <cfRule type="duplicateValues" dxfId="2923" priority="3577"/>
  </conditionalFormatting>
  <conditionalFormatting sqref="B2:B22">
    <cfRule type="duplicateValues" dxfId="2922" priority="3461"/>
    <cfRule type="duplicateValues" dxfId="2921" priority="3462"/>
    <cfRule type="duplicateValues" dxfId="2920" priority="3463"/>
    <cfRule type="duplicateValues" dxfId="2919" priority="3465"/>
    <cfRule type="duplicateValues" dxfId="2918" priority="3466"/>
    <cfRule type="duplicateValues" dxfId="2917" priority="3467"/>
    <cfRule type="duplicateValues" dxfId="2916" priority="3468"/>
    <cfRule type="duplicateValues" dxfId="2915" priority="3469"/>
    <cfRule type="duplicateValues" dxfId="2914" priority="3470"/>
    <cfRule type="duplicateValues" dxfId="2913" priority="3471"/>
    <cfRule type="duplicateValues" dxfId="2912" priority="3472"/>
    <cfRule type="duplicateValues" dxfId="2911" priority="3473"/>
    <cfRule type="duplicateValues" dxfId="2910" priority="3474"/>
    <cfRule type="duplicateValues" dxfId="2909" priority="3475"/>
    <cfRule type="duplicateValues" dxfId="2908" priority="3476"/>
    <cfRule type="duplicateValues" dxfId="2907" priority="3477"/>
    <cfRule type="duplicateValues" dxfId="2906" priority="3478"/>
    <cfRule type="duplicateValues" dxfId="2905" priority="3479"/>
    <cfRule type="duplicateValues" dxfId="2904" priority="3480"/>
    <cfRule type="duplicateValues" dxfId="2903" priority="3481"/>
    <cfRule type="duplicateValues" dxfId="2902" priority="3482"/>
    <cfRule type="duplicateValues" dxfId="2901" priority="3483"/>
    <cfRule type="duplicateValues" dxfId="2900" priority="3484"/>
    <cfRule type="duplicateValues" dxfId="2899" priority="3485"/>
    <cfRule type="duplicateValues" dxfId="2898" priority="3486"/>
    <cfRule type="duplicateValues" dxfId="2897" priority="3487"/>
    <cfRule type="duplicateValues" dxfId="2896" priority="3488"/>
    <cfRule type="duplicateValues" dxfId="2895" priority="3489"/>
    <cfRule type="duplicateValues" dxfId="2894" priority="3460"/>
    <cfRule type="duplicateValues" dxfId="2893" priority="3490"/>
    <cfRule type="duplicateValues" dxfId="2892" priority="3491"/>
    <cfRule type="duplicateValues" dxfId="2891" priority="3492"/>
    <cfRule type="duplicateValues" dxfId="2890" priority="3493"/>
    <cfRule type="duplicateValues" dxfId="2889" priority="3494"/>
    <cfRule type="duplicateValues" dxfId="2888" priority="3495"/>
    <cfRule type="duplicateValues" dxfId="2887" priority="3497"/>
    <cfRule type="duplicateValues" dxfId="2886" priority="3498"/>
    <cfRule type="duplicateValues" dxfId="2885" priority="3499"/>
    <cfRule type="duplicateValues" dxfId="2884" priority="3500"/>
    <cfRule type="duplicateValues" dxfId="2883" priority="3501"/>
    <cfRule type="duplicateValues" dxfId="2882" priority="3502"/>
    <cfRule type="duplicateValues" dxfId="2881" priority="3503"/>
    <cfRule type="duplicateValues" dxfId="2880" priority="3496"/>
    <cfRule type="duplicateValues" dxfId="2879" priority="3445"/>
    <cfRule type="duplicateValues" dxfId="2878" priority="3446"/>
    <cfRule type="duplicateValues" dxfId="2877" priority="3447"/>
    <cfRule type="duplicateValues" dxfId="2876" priority="3448"/>
    <cfRule type="duplicateValues" dxfId="2875" priority="3449"/>
    <cfRule type="duplicateValues" dxfId="2874" priority="3450"/>
    <cfRule type="duplicateValues" dxfId="2873" priority="3451"/>
    <cfRule type="duplicateValues" dxfId="2872" priority="3452"/>
    <cfRule type="duplicateValues" dxfId="2871" priority="3455"/>
    <cfRule type="duplicateValues" dxfId="2870" priority="3453"/>
    <cfRule type="duplicateValues" dxfId="2869" priority="3459"/>
    <cfRule type="duplicateValues" dxfId="2868" priority="3458"/>
    <cfRule type="duplicateValues" dxfId="2867" priority="3457"/>
    <cfRule type="duplicateValues" dxfId="2866" priority="3454"/>
    <cfRule type="duplicateValues" dxfId="2865" priority="3429"/>
    <cfRule type="duplicateValues" dxfId="2864" priority="3430"/>
    <cfRule type="duplicateValues" dxfId="2863" priority="3431"/>
    <cfRule type="duplicateValues" dxfId="2862" priority="3432"/>
    <cfRule type="duplicateValues" dxfId="2861" priority="3433"/>
    <cfRule type="duplicateValues" dxfId="2860" priority="3434"/>
    <cfRule type="duplicateValues" dxfId="2859" priority="3464"/>
    <cfRule type="duplicateValues" dxfId="2858" priority="3436"/>
    <cfRule type="duplicateValues" dxfId="2857" priority="3437"/>
    <cfRule type="duplicateValues" dxfId="2856" priority="3438"/>
    <cfRule type="duplicateValues" dxfId="2855" priority="3439"/>
    <cfRule type="duplicateValues" dxfId="2854" priority="3440"/>
    <cfRule type="duplicateValues" dxfId="2853" priority="3441"/>
    <cfRule type="duplicateValues" dxfId="2852" priority="3456"/>
    <cfRule type="duplicateValues" dxfId="2851" priority="3442"/>
    <cfRule type="duplicateValues" dxfId="2850" priority="3443"/>
    <cfRule type="duplicateValues" dxfId="2849" priority="3444"/>
    <cfRule type="duplicateValues" dxfId="2848" priority="3435"/>
  </conditionalFormatting>
  <conditionalFormatting sqref="B23">
    <cfRule type="duplicateValues" dxfId="2847" priority="3361"/>
    <cfRule type="duplicateValues" dxfId="2846" priority="3362"/>
    <cfRule type="duplicateValues" dxfId="2845" priority="3363"/>
    <cfRule type="duplicateValues" dxfId="2844" priority="3364"/>
    <cfRule type="duplicateValues" dxfId="2843" priority="3365"/>
    <cfRule type="duplicateValues" dxfId="2842" priority="3366"/>
    <cfRule type="duplicateValues" dxfId="2841" priority="3367"/>
    <cfRule type="duplicateValues" dxfId="2840" priority="3368"/>
    <cfRule type="duplicateValues" dxfId="2839" priority="3370"/>
    <cfRule type="duplicateValues" dxfId="2838" priority="3371"/>
    <cfRule type="duplicateValues" dxfId="2837" priority="3372"/>
    <cfRule type="duplicateValues" dxfId="2836" priority="3373"/>
    <cfRule type="duplicateValues" dxfId="2835" priority="3374"/>
    <cfRule type="duplicateValues" dxfId="2834" priority="3375"/>
    <cfRule type="duplicateValues" dxfId="2833" priority="3376"/>
    <cfRule type="duplicateValues" dxfId="2832" priority="3318"/>
    <cfRule type="duplicateValues" dxfId="2831" priority="3369"/>
    <cfRule type="duplicateValues" dxfId="2830" priority="3299"/>
    <cfRule type="duplicateValues" dxfId="2829" priority="3300"/>
    <cfRule type="duplicateValues" dxfId="2828" priority="3301"/>
    <cfRule type="duplicateValues" dxfId="2827" priority="3302"/>
    <cfRule type="duplicateValues" dxfId="2826" priority="3303"/>
    <cfRule type="duplicateValues" dxfId="2825" priority="3304"/>
    <cfRule type="duplicateValues" dxfId="2824" priority="3305"/>
    <cfRule type="duplicateValues" dxfId="2823" priority="3306"/>
    <cfRule type="duplicateValues" dxfId="2822" priority="3307"/>
    <cfRule type="duplicateValues" dxfId="2821" priority="3308"/>
    <cfRule type="duplicateValues" dxfId="2820" priority="3309"/>
    <cfRule type="duplicateValues" dxfId="2819" priority="3310"/>
    <cfRule type="duplicateValues" dxfId="2818" priority="3311"/>
    <cfRule type="duplicateValues" dxfId="2817" priority="3312"/>
    <cfRule type="duplicateValues" dxfId="2816" priority="3313"/>
    <cfRule type="duplicateValues" dxfId="2815" priority="3314"/>
    <cfRule type="duplicateValues" dxfId="2814" priority="3315"/>
    <cfRule type="duplicateValues" dxfId="2813" priority="3316"/>
    <cfRule type="duplicateValues" dxfId="2812" priority="3317"/>
    <cfRule type="duplicateValues" dxfId="2811" priority="3319"/>
    <cfRule type="duplicateValues" dxfId="2810" priority="3320"/>
    <cfRule type="duplicateValues" dxfId="2809" priority="3321"/>
    <cfRule type="duplicateValues" dxfId="2808" priority="3322"/>
    <cfRule type="duplicateValues" dxfId="2807" priority="3323"/>
    <cfRule type="duplicateValues" dxfId="2806" priority="3324"/>
    <cfRule type="duplicateValues" dxfId="2805" priority="3325"/>
    <cfRule type="duplicateValues" dxfId="2804" priority="3326"/>
    <cfRule type="duplicateValues" dxfId="2803" priority="3327"/>
    <cfRule type="duplicateValues" dxfId="2802" priority="3328"/>
    <cfRule type="duplicateValues" dxfId="2801" priority="3329"/>
    <cfRule type="duplicateValues" dxfId="2800" priority="3330"/>
    <cfRule type="duplicateValues" dxfId="2799" priority="3331"/>
    <cfRule type="duplicateValues" dxfId="2798" priority="3332"/>
    <cfRule type="duplicateValues" dxfId="2797" priority="3333"/>
    <cfRule type="duplicateValues" dxfId="2796" priority="3334"/>
    <cfRule type="duplicateValues" dxfId="2795" priority="3335"/>
    <cfRule type="duplicateValues" dxfId="2794" priority="3336"/>
    <cfRule type="duplicateValues" dxfId="2793" priority="3337"/>
    <cfRule type="duplicateValues" dxfId="2792" priority="3338"/>
    <cfRule type="duplicateValues" dxfId="2791" priority="3339"/>
    <cfRule type="duplicateValues" dxfId="2790" priority="3340"/>
    <cfRule type="duplicateValues" dxfId="2789" priority="3341"/>
    <cfRule type="duplicateValues" dxfId="2788" priority="3342"/>
    <cfRule type="duplicateValues" dxfId="2787" priority="3343"/>
    <cfRule type="duplicateValues" dxfId="2786" priority="3344"/>
    <cfRule type="duplicateValues" dxfId="2785" priority="3345"/>
    <cfRule type="duplicateValues" dxfId="2784" priority="3346"/>
    <cfRule type="duplicateValues" dxfId="2783" priority="3347"/>
    <cfRule type="duplicateValues" dxfId="2782" priority="3348"/>
    <cfRule type="duplicateValues" dxfId="2781" priority="3349"/>
    <cfRule type="duplicateValues" dxfId="2780" priority="3350"/>
    <cfRule type="duplicateValues" dxfId="2779" priority="3351"/>
    <cfRule type="duplicateValues" dxfId="2778" priority="3352"/>
    <cfRule type="duplicateValues" dxfId="2777" priority="3353"/>
    <cfRule type="duplicateValues" dxfId="2776" priority="3354"/>
    <cfRule type="duplicateValues" dxfId="2775" priority="3355"/>
    <cfRule type="duplicateValues" dxfId="2774" priority="3356"/>
    <cfRule type="duplicateValues" dxfId="2773" priority="3357"/>
    <cfRule type="duplicateValues" dxfId="2772" priority="3358"/>
    <cfRule type="duplicateValues" dxfId="2771" priority="3359"/>
    <cfRule type="duplicateValues" dxfId="2770" priority="3360"/>
  </conditionalFormatting>
  <conditionalFormatting sqref="B24:B45">
    <cfRule type="duplicateValues" dxfId="2769" priority="3399"/>
    <cfRule type="duplicateValues" dxfId="2768" priority="3384"/>
    <cfRule type="duplicateValues" dxfId="2767" priority="3383"/>
    <cfRule type="duplicateValues" dxfId="2766" priority="3416"/>
    <cfRule type="duplicateValues" dxfId="2765" priority="3415"/>
    <cfRule type="duplicateValues" dxfId="2764" priority="3414"/>
    <cfRule type="duplicateValues" dxfId="2763" priority="3413"/>
    <cfRule type="duplicateValues" dxfId="2762" priority="3409"/>
    <cfRule type="duplicateValues" dxfId="2761" priority="3412"/>
    <cfRule type="duplicateValues" dxfId="2760" priority="3411"/>
    <cfRule type="duplicateValues" dxfId="2759" priority="3404"/>
    <cfRule type="duplicateValues" dxfId="2758" priority="3377"/>
    <cfRule type="duplicateValues" dxfId="2757" priority="3382"/>
    <cfRule type="duplicateValues" dxfId="2756" priority="3381"/>
    <cfRule type="duplicateValues" dxfId="2755" priority="3380"/>
    <cfRule type="duplicateValues" dxfId="2754" priority="3410"/>
    <cfRule type="duplicateValues" dxfId="2753" priority="3379"/>
    <cfRule type="duplicateValues" dxfId="2752" priority="3407"/>
    <cfRule type="duplicateValues" dxfId="2751" priority="3406"/>
    <cfRule type="duplicateValues" dxfId="2750" priority="3405"/>
    <cfRule type="duplicateValues" dxfId="2749" priority="3408"/>
    <cfRule type="duplicateValues" dxfId="2748" priority="3403"/>
    <cfRule type="duplicateValues" dxfId="2747" priority="3402"/>
    <cfRule type="duplicateValues" dxfId="2746" priority="3401"/>
    <cfRule type="duplicateValues" dxfId="2745" priority="3400"/>
    <cfRule type="duplicateValues" dxfId="2744" priority="3378"/>
    <cfRule type="duplicateValues" dxfId="2743" priority="3398"/>
    <cfRule type="duplicateValues" dxfId="2742" priority="3397"/>
    <cfRule type="duplicateValues" dxfId="2741" priority="3396"/>
    <cfRule type="duplicateValues" dxfId="2740" priority="3395"/>
    <cfRule type="duplicateValues" dxfId="2739" priority="3394"/>
    <cfRule type="duplicateValues" dxfId="2738" priority="3393"/>
    <cfRule type="duplicateValues" dxfId="2737" priority="3392"/>
    <cfRule type="duplicateValues" dxfId="2736" priority="3391"/>
    <cfRule type="duplicateValues" dxfId="2735" priority="3390"/>
    <cfRule type="duplicateValues" dxfId="2734" priority="3389"/>
    <cfRule type="duplicateValues" dxfId="2733" priority="3388"/>
    <cfRule type="duplicateValues" dxfId="2732" priority="3387"/>
    <cfRule type="duplicateValues" dxfId="2731" priority="3386"/>
    <cfRule type="duplicateValues" dxfId="2730" priority="3385"/>
  </conditionalFormatting>
  <conditionalFormatting sqref="B46">
    <cfRule type="duplicateValues" dxfId="2729" priority="3252"/>
    <cfRule type="duplicateValues" dxfId="2728" priority="3253"/>
    <cfRule type="duplicateValues" dxfId="2727" priority="3254"/>
    <cfRule type="duplicateValues" dxfId="2726" priority="3255"/>
    <cfRule type="duplicateValues" dxfId="2725" priority="3256"/>
    <cfRule type="duplicateValues" dxfId="2724" priority="3257"/>
    <cfRule type="duplicateValues" dxfId="2723" priority="3258"/>
    <cfRule type="duplicateValues" dxfId="2722" priority="3259"/>
    <cfRule type="duplicateValues" dxfId="2721" priority="3260"/>
    <cfRule type="duplicateValues" dxfId="2720" priority="3262"/>
    <cfRule type="duplicateValues" dxfId="2719" priority="3263"/>
    <cfRule type="duplicateValues" dxfId="2718" priority="3264"/>
    <cfRule type="duplicateValues" dxfId="2717" priority="3265"/>
    <cfRule type="duplicateValues" dxfId="2716" priority="3243"/>
    <cfRule type="duplicateValues" dxfId="2715" priority="3261"/>
    <cfRule type="duplicateValues" dxfId="2714" priority="3247"/>
    <cfRule type="duplicateValues" dxfId="2713" priority="3226"/>
    <cfRule type="duplicateValues" dxfId="2712" priority="3227"/>
    <cfRule type="duplicateValues" dxfId="2711" priority="3228"/>
    <cfRule type="duplicateValues" dxfId="2710" priority="3230"/>
    <cfRule type="duplicateValues" dxfId="2709" priority="3231"/>
    <cfRule type="duplicateValues" dxfId="2708" priority="3232"/>
    <cfRule type="duplicateValues" dxfId="2707" priority="3233"/>
    <cfRule type="duplicateValues" dxfId="2706" priority="3234"/>
    <cfRule type="duplicateValues" dxfId="2705" priority="3235"/>
    <cfRule type="duplicateValues" dxfId="2704" priority="3236"/>
    <cfRule type="duplicateValues" dxfId="2703" priority="3237"/>
    <cfRule type="duplicateValues" dxfId="2702" priority="3238"/>
    <cfRule type="duplicateValues" dxfId="2701" priority="3239"/>
    <cfRule type="duplicateValues" dxfId="2700" priority="3240"/>
    <cfRule type="duplicateValues" dxfId="2699" priority="3241"/>
    <cfRule type="duplicateValues" dxfId="2698" priority="3242"/>
    <cfRule type="duplicateValues" dxfId="2697" priority="3244"/>
    <cfRule type="duplicateValues" dxfId="2696" priority="3245"/>
    <cfRule type="duplicateValues" dxfId="2695" priority="3246"/>
    <cfRule type="duplicateValues" dxfId="2694" priority="3248"/>
    <cfRule type="duplicateValues" dxfId="2693" priority="3229"/>
    <cfRule type="duplicateValues" dxfId="2692" priority="3249"/>
    <cfRule type="duplicateValues" dxfId="2691" priority="3250"/>
    <cfRule type="duplicateValues" dxfId="2690" priority="3251"/>
  </conditionalFormatting>
  <conditionalFormatting sqref="B47">
    <cfRule type="duplicateValues" dxfId="2689" priority="3199"/>
    <cfRule type="duplicateValues" dxfId="2688" priority="3200"/>
    <cfRule type="duplicateValues" dxfId="2687" priority="3201"/>
    <cfRule type="duplicateValues" dxfId="2686" priority="3202"/>
    <cfRule type="duplicateValues" dxfId="2685" priority="3203"/>
    <cfRule type="duplicateValues" dxfId="2684" priority="3204"/>
    <cfRule type="duplicateValues" dxfId="2683" priority="3205"/>
    <cfRule type="duplicateValues" dxfId="2682" priority="3206"/>
    <cfRule type="duplicateValues" dxfId="2681" priority="3207"/>
    <cfRule type="duplicateValues" dxfId="2680" priority="3208"/>
    <cfRule type="duplicateValues" dxfId="2679" priority="3209"/>
    <cfRule type="duplicateValues" dxfId="2678" priority="3210"/>
    <cfRule type="duplicateValues" dxfId="2677" priority="3211"/>
    <cfRule type="duplicateValues" dxfId="2676" priority="3212"/>
    <cfRule type="duplicateValues" dxfId="2675" priority="3213"/>
    <cfRule type="duplicateValues" dxfId="2674" priority="3214"/>
    <cfRule type="duplicateValues" dxfId="2673" priority="3189"/>
    <cfRule type="duplicateValues" dxfId="2672" priority="3188"/>
    <cfRule type="duplicateValues" dxfId="2671" priority="3187"/>
    <cfRule type="duplicateValues" dxfId="2670" priority="3186"/>
    <cfRule type="duplicateValues" dxfId="2669" priority="3185"/>
    <cfRule type="duplicateValues" dxfId="2668" priority="3198"/>
    <cfRule type="duplicateValues" dxfId="2667" priority="3225"/>
    <cfRule type="duplicateValues" dxfId="2666" priority="3224"/>
    <cfRule type="duplicateValues" dxfId="2665" priority="3223"/>
    <cfRule type="duplicateValues" dxfId="2664" priority="3222"/>
    <cfRule type="duplicateValues" dxfId="2663" priority="3221"/>
    <cfRule type="duplicateValues" dxfId="2662" priority="3220"/>
    <cfRule type="duplicateValues" dxfId="2661" priority="3219"/>
    <cfRule type="duplicateValues" dxfId="2660" priority="3218"/>
    <cfRule type="duplicateValues" dxfId="2659" priority="3217"/>
    <cfRule type="duplicateValues" dxfId="2658" priority="3216"/>
    <cfRule type="duplicateValues" dxfId="2657" priority="3215"/>
    <cfRule type="duplicateValues" dxfId="2656" priority="3197"/>
    <cfRule type="duplicateValues" dxfId="2655" priority="3196"/>
    <cfRule type="duplicateValues" dxfId="2654" priority="3195"/>
    <cfRule type="duplicateValues" dxfId="2653" priority="3194"/>
    <cfRule type="duplicateValues" dxfId="2652" priority="3193"/>
    <cfRule type="duplicateValues" dxfId="2651" priority="3192"/>
    <cfRule type="duplicateValues" dxfId="2650" priority="3191"/>
    <cfRule type="duplicateValues" dxfId="2649" priority="3190"/>
  </conditionalFormatting>
  <conditionalFormatting sqref="B48:B51">
    <cfRule type="duplicateValues" dxfId="2648" priority="3142"/>
    <cfRule type="duplicateValues" dxfId="2647" priority="3141"/>
    <cfRule type="duplicateValues" dxfId="2646" priority="3140"/>
    <cfRule type="duplicateValues" dxfId="2645" priority="3148"/>
    <cfRule type="duplicateValues" dxfId="2644" priority="3147"/>
    <cfRule type="duplicateValues" dxfId="2643" priority="3150"/>
    <cfRule type="duplicateValues" dxfId="2642" priority="3146"/>
    <cfRule type="duplicateValues" dxfId="2641" priority="3145"/>
    <cfRule type="duplicateValues" dxfId="2640" priority="3144"/>
    <cfRule type="duplicateValues" dxfId="2639" priority="3143"/>
    <cfRule type="duplicateValues" dxfId="2638" priority="3161"/>
    <cfRule type="duplicateValues" dxfId="2637" priority="3149"/>
    <cfRule type="duplicateValues" dxfId="2636" priority="3180"/>
    <cfRule type="duplicateValues" dxfId="2635" priority="3179"/>
    <cfRule type="duplicateValues" dxfId="2634" priority="3178"/>
    <cfRule type="duplicateValues" dxfId="2633" priority="3177"/>
    <cfRule type="duplicateValues" dxfId="2632" priority="3176"/>
    <cfRule type="duplicateValues" dxfId="2631" priority="3175"/>
    <cfRule type="duplicateValues" dxfId="2630" priority="3174"/>
    <cfRule type="duplicateValues" dxfId="2629" priority="3173"/>
    <cfRule type="duplicateValues" dxfId="2628" priority="3172"/>
    <cfRule type="duplicateValues" dxfId="2627" priority="3171"/>
    <cfRule type="duplicateValues" dxfId="2626" priority="3170"/>
    <cfRule type="duplicateValues" dxfId="2625" priority="3169"/>
    <cfRule type="duplicateValues" dxfId="2624" priority="3168"/>
    <cfRule type="duplicateValues" dxfId="2623" priority="3167"/>
    <cfRule type="duplicateValues" dxfId="2622" priority="3166"/>
    <cfRule type="duplicateValues" dxfId="2621" priority="3165"/>
    <cfRule type="duplicateValues" dxfId="2620" priority="3164"/>
    <cfRule type="duplicateValues" dxfId="2619" priority="3163"/>
    <cfRule type="duplicateValues" dxfId="2618" priority="3162"/>
    <cfRule type="duplicateValues" dxfId="2617" priority="3160"/>
    <cfRule type="duplicateValues" dxfId="2616" priority="3159"/>
    <cfRule type="duplicateValues" dxfId="2615" priority="3158"/>
    <cfRule type="duplicateValues" dxfId="2614" priority="3157"/>
    <cfRule type="duplicateValues" dxfId="2613" priority="3156"/>
    <cfRule type="duplicateValues" dxfId="2612" priority="3155"/>
    <cfRule type="duplicateValues" dxfId="2611" priority="3154"/>
    <cfRule type="duplicateValues" dxfId="2610" priority="3153"/>
    <cfRule type="duplicateValues" dxfId="2609" priority="3152"/>
    <cfRule type="duplicateValues" dxfId="2608" priority="3151"/>
  </conditionalFormatting>
  <conditionalFormatting sqref="B52:B55">
    <cfRule type="duplicateValues" dxfId="2607" priority="3126"/>
    <cfRule type="duplicateValues" dxfId="2606" priority="3125"/>
    <cfRule type="duplicateValues" dxfId="2605" priority="3124"/>
    <cfRule type="duplicateValues" dxfId="2604" priority="3123"/>
    <cfRule type="duplicateValues" dxfId="2603" priority="3122"/>
    <cfRule type="duplicateValues" dxfId="2602" priority="3121"/>
    <cfRule type="duplicateValues" dxfId="2601" priority="3120"/>
    <cfRule type="duplicateValues" dxfId="2600" priority="3091"/>
    <cfRule type="duplicateValues" dxfId="2599" priority="3119"/>
    <cfRule type="duplicateValues" dxfId="2598" priority="3117"/>
    <cfRule type="duplicateValues" dxfId="2597" priority="3092"/>
    <cfRule type="duplicateValues" dxfId="2596" priority="3093"/>
    <cfRule type="duplicateValues" dxfId="2595" priority="3094"/>
    <cfRule type="duplicateValues" dxfId="2594" priority="3095"/>
    <cfRule type="duplicateValues" dxfId="2593" priority="3118"/>
    <cfRule type="duplicateValues" dxfId="2592" priority="3116"/>
    <cfRule type="duplicateValues" dxfId="2591" priority="3115"/>
    <cfRule type="duplicateValues" dxfId="2590" priority="3114"/>
    <cfRule type="duplicateValues" dxfId="2589" priority="3113"/>
    <cfRule type="duplicateValues" dxfId="2588" priority="3111"/>
    <cfRule type="duplicateValues" dxfId="2587" priority="3110"/>
    <cfRule type="duplicateValues" dxfId="2586" priority="3109"/>
    <cfRule type="duplicateValues" dxfId="2585" priority="3108"/>
    <cfRule type="duplicateValues" dxfId="2584" priority="3107"/>
    <cfRule type="duplicateValues" dxfId="2583" priority="3106"/>
    <cfRule type="duplicateValues" dxfId="2582" priority="3105"/>
    <cfRule type="duplicateValues" dxfId="2581" priority="3104"/>
    <cfRule type="duplicateValues" dxfId="2580" priority="3103"/>
    <cfRule type="duplicateValues" dxfId="2579" priority="3102"/>
    <cfRule type="duplicateValues" dxfId="2578" priority="3127"/>
    <cfRule type="duplicateValues" dxfId="2577" priority="3101"/>
    <cfRule type="duplicateValues" dxfId="2576" priority="3100"/>
    <cfRule type="duplicateValues" dxfId="2575" priority="3099"/>
    <cfRule type="duplicateValues" dxfId="2574" priority="3098"/>
    <cfRule type="duplicateValues" dxfId="2573" priority="3097"/>
    <cfRule type="duplicateValues" dxfId="2572" priority="3096"/>
    <cfRule type="duplicateValues" dxfId="2571" priority="3130"/>
    <cfRule type="duplicateValues" dxfId="2570" priority="3129"/>
    <cfRule type="duplicateValues" dxfId="2569" priority="3128"/>
    <cfRule type="duplicateValues" dxfId="2568" priority="3112"/>
  </conditionalFormatting>
  <conditionalFormatting sqref="B56:B113">
    <cfRule type="duplicateValues" dxfId="2567" priority="3054"/>
    <cfRule type="duplicateValues" dxfId="2566" priority="3056"/>
    <cfRule type="duplicateValues" dxfId="2565" priority="3057"/>
    <cfRule type="duplicateValues" dxfId="2564" priority="3058"/>
    <cfRule type="duplicateValues" dxfId="2563" priority="3059"/>
    <cfRule type="duplicateValues" dxfId="2562" priority="3060"/>
    <cfRule type="duplicateValues" dxfId="2561" priority="3061"/>
    <cfRule type="duplicateValues" dxfId="2560" priority="3062"/>
    <cfRule type="duplicateValues" dxfId="2559" priority="3063"/>
    <cfRule type="duplicateValues" dxfId="2558" priority="3064"/>
    <cfRule type="duplicateValues" dxfId="2557" priority="3065"/>
    <cfRule type="duplicateValues" dxfId="2556" priority="3066"/>
    <cfRule type="duplicateValues" dxfId="2555" priority="3067"/>
    <cfRule type="duplicateValues" dxfId="2554" priority="3068"/>
    <cfRule type="duplicateValues" dxfId="2553" priority="3069"/>
    <cfRule type="duplicateValues" dxfId="2552" priority="3070"/>
    <cfRule type="duplicateValues" dxfId="2551" priority="3071"/>
    <cfRule type="duplicateValues" dxfId="2550" priority="3072"/>
    <cfRule type="duplicateValues" dxfId="2549" priority="3073"/>
    <cfRule type="duplicateValues" dxfId="2548" priority="3074"/>
    <cfRule type="duplicateValues" dxfId="2547" priority="3075"/>
    <cfRule type="duplicateValues" dxfId="2546" priority="3076"/>
    <cfRule type="duplicateValues" dxfId="2545" priority="3077"/>
    <cfRule type="duplicateValues" dxfId="2544" priority="3078"/>
    <cfRule type="duplicateValues" dxfId="2543" priority="3079"/>
    <cfRule type="duplicateValues" dxfId="2542" priority="3080"/>
    <cfRule type="duplicateValues" dxfId="2541" priority="3081"/>
    <cfRule type="duplicateValues" dxfId="2540" priority="3082"/>
    <cfRule type="duplicateValues" dxfId="2539" priority="3083"/>
    <cfRule type="duplicateValues" dxfId="2538" priority="3084"/>
    <cfRule type="duplicateValues" dxfId="2537" priority="3085"/>
    <cfRule type="duplicateValues" dxfId="2536" priority="3086"/>
    <cfRule type="duplicateValues" dxfId="2535" priority="3087"/>
    <cfRule type="duplicateValues" dxfId="2534" priority="3088"/>
    <cfRule type="duplicateValues" dxfId="2533" priority="3089"/>
    <cfRule type="duplicateValues" dxfId="2532" priority="3090"/>
    <cfRule type="duplicateValues" dxfId="2531" priority="3055"/>
    <cfRule type="duplicateValues" dxfId="2530" priority="3051"/>
    <cfRule type="duplicateValues" dxfId="2529" priority="3052"/>
    <cfRule type="duplicateValues" dxfId="2528" priority="3053"/>
  </conditionalFormatting>
  <conditionalFormatting sqref="B58">
    <cfRule type="duplicateValues" dxfId="2527" priority="3034"/>
    <cfRule type="duplicateValues" dxfId="2526" priority="3022"/>
    <cfRule type="duplicateValues" dxfId="2525" priority="3035"/>
    <cfRule type="duplicateValues" dxfId="2524" priority="3008"/>
    <cfRule type="duplicateValues" dxfId="2523" priority="3009"/>
    <cfRule type="duplicateValues" dxfId="2522" priority="3010"/>
    <cfRule type="duplicateValues" dxfId="2521" priority="3011"/>
    <cfRule type="duplicateValues" dxfId="2520" priority="3012"/>
    <cfRule type="duplicateValues" dxfId="2519" priority="3013"/>
    <cfRule type="duplicateValues" dxfId="2518" priority="3014"/>
    <cfRule type="duplicateValues" dxfId="2517" priority="3015"/>
    <cfRule type="duplicateValues" dxfId="2516" priority="3016"/>
    <cfRule type="duplicateValues" dxfId="2515" priority="3017"/>
    <cfRule type="duplicateValues" dxfId="2514" priority="3018"/>
    <cfRule type="duplicateValues" dxfId="2513" priority="3019"/>
    <cfRule type="duplicateValues" dxfId="2512" priority="3020"/>
    <cfRule type="duplicateValues" dxfId="2511" priority="3021"/>
    <cfRule type="duplicateValues" dxfId="2510" priority="3036"/>
    <cfRule type="duplicateValues" dxfId="2509" priority="3037"/>
    <cfRule type="duplicateValues" dxfId="2508" priority="3038"/>
    <cfRule type="duplicateValues" dxfId="2507" priority="3041"/>
    <cfRule type="duplicateValues" dxfId="2506" priority="3039"/>
    <cfRule type="duplicateValues" dxfId="2505" priority="3040"/>
    <cfRule type="duplicateValues" dxfId="2504" priority="3042"/>
    <cfRule type="duplicateValues" dxfId="2503" priority="3043"/>
    <cfRule type="duplicateValues" dxfId="2502" priority="3044"/>
    <cfRule type="duplicateValues" dxfId="2501" priority="3045"/>
    <cfRule type="duplicateValues" dxfId="2500" priority="3046"/>
    <cfRule type="duplicateValues" dxfId="2499" priority="3047"/>
    <cfRule type="duplicateValues" dxfId="2498" priority="3023"/>
    <cfRule type="duplicateValues" dxfId="2497" priority="3024"/>
    <cfRule type="duplicateValues" dxfId="2496" priority="3025"/>
    <cfRule type="duplicateValues" dxfId="2495" priority="3026"/>
    <cfRule type="duplicateValues" dxfId="2494" priority="3027"/>
    <cfRule type="duplicateValues" dxfId="2493" priority="3028"/>
    <cfRule type="duplicateValues" dxfId="2492" priority="3029"/>
    <cfRule type="duplicateValues" dxfId="2491" priority="3030"/>
    <cfRule type="duplicateValues" dxfId="2490" priority="3031"/>
    <cfRule type="duplicateValues" dxfId="2489" priority="3032"/>
    <cfRule type="duplicateValues" dxfId="2488" priority="3033"/>
  </conditionalFormatting>
  <conditionalFormatting sqref="B59:B60">
    <cfRule type="duplicateValues" dxfId="2487" priority="3002"/>
    <cfRule type="duplicateValues" dxfId="2486" priority="3001"/>
    <cfRule type="duplicateValues" dxfId="2485" priority="3000"/>
    <cfRule type="duplicateValues" dxfId="2484" priority="2999"/>
    <cfRule type="duplicateValues" dxfId="2483" priority="2998"/>
    <cfRule type="duplicateValues" dxfId="2482" priority="2997"/>
    <cfRule type="duplicateValues" dxfId="2481" priority="2996"/>
    <cfRule type="duplicateValues" dxfId="2480" priority="2995"/>
    <cfRule type="duplicateValues" dxfId="2479" priority="2994"/>
    <cfRule type="duplicateValues" dxfId="2478" priority="2993"/>
    <cfRule type="duplicateValues" dxfId="2477" priority="2992"/>
    <cfRule type="duplicateValues" dxfId="2476" priority="2991"/>
    <cfRule type="duplicateValues" dxfId="2475" priority="2990"/>
    <cfRule type="duplicateValues" dxfId="2474" priority="2989"/>
    <cfRule type="duplicateValues" dxfId="2473" priority="2988"/>
    <cfRule type="duplicateValues" dxfId="2472" priority="2987"/>
    <cfRule type="duplicateValues" dxfId="2471" priority="2986"/>
    <cfRule type="duplicateValues" dxfId="2470" priority="2985"/>
    <cfRule type="duplicateValues" dxfId="2469" priority="2984"/>
    <cfRule type="duplicateValues" dxfId="2468" priority="2983"/>
    <cfRule type="duplicateValues" dxfId="2467" priority="2981"/>
    <cfRule type="duplicateValues" dxfId="2466" priority="2980"/>
    <cfRule type="duplicateValues" dxfId="2465" priority="2979"/>
    <cfRule type="duplicateValues" dxfId="2464" priority="2978"/>
    <cfRule type="duplicateValues" dxfId="2463" priority="2977"/>
    <cfRule type="duplicateValues" dxfId="2462" priority="2976"/>
    <cfRule type="duplicateValues" dxfId="2461" priority="2975"/>
    <cfRule type="duplicateValues" dxfId="2460" priority="2974"/>
    <cfRule type="duplicateValues" dxfId="2459" priority="2973"/>
    <cfRule type="duplicateValues" dxfId="2458" priority="2972"/>
    <cfRule type="duplicateValues" dxfId="2457" priority="2971"/>
    <cfRule type="duplicateValues" dxfId="2456" priority="2970"/>
    <cfRule type="duplicateValues" dxfId="2455" priority="2969"/>
    <cfRule type="duplicateValues" dxfId="2454" priority="2968"/>
    <cfRule type="duplicateValues" dxfId="2453" priority="2967"/>
    <cfRule type="duplicateValues" dxfId="2452" priority="2966"/>
    <cfRule type="duplicateValues" dxfId="2451" priority="2965"/>
    <cfRule type="duplicateValues" dxfId="2450" priority="2964"/>
    <cfRule type="duplicateValues" dxfId="2449" priority="2963"/>
    <cfRule type="duplicateValues" dxfId="2448" priority="3003"/>
    <cfRule type="duplicateValues" dxfId="2447" priority="2982"/>
  </conditionalFormatting>
  <conditionalFormatting sqref="B61">
    <cfRule type="duplicateValues" dxfId="2446" priority="2957"/>
    <cfRule type="duplicateValues" dxfId="2445" priority="2956"/>
    <cfRule type="duplicateValues" dxfId="2444" priority="2955"/>
    <cfRule type="duplicateValues" dxfId="2443" priority="2915"/>
    <cfRule type="duplicateValues" dxfId="2442" priority="2926"/>
    <cfRule type="duplicateValues" dxfId="2441" priority="2916"/>
    <cfRule type="duplicateValues" dxfId="2440" priority="2917"/>
    <cfRule type="duplicateValues" dxfId="2439" priority="2918"/>
    <cfRule type="duplicateValues" dxfId="2438" priority="2919"/>
    <cfRule type="duplicateValues" dxfId="2437" priority="2920"/>
    <cfRule type="duplicateValues" dxfId="2436" priority="2921"/>
    <cfRule type="duplicateValues" dxfId="2435" priority="2922"/>
    <cfRule type="duplicateValues" dxfId="2434" priority="2923"/>
    <cfRule type="duplicateValues" dxfId="2433" priority="2924"/>
    <cfRule type="duplicateValues" dxfId="2432" priority="2925"/>
    <cfRule type="duplicateValues" dxfId="2431" priority="2927"/>
    <cfRule type="duplicateValues" dxfId="2430" priority="2928"/>
    <cfRule type="duplicateValues" dxfId="2429" priority="2952"/>
    <cfRule type="duplicateValues" dxfId="2428" priority="2929"/>
    <cfRule type="duplicateValues" dxfId="2427" priority="2930"/>
    <cfRule type="duplicateValues" dxfId="2426" priority="2931"/>
    <cfRule type="duplicateValues" dxfId="2425" priority="2932"/>
    <cfRule type="duplicateValues" dxfId="2424" priority="2933"/>
    <cfRule type="duplicateValues" dxfId="2423" priority="2934"/>
    <cfRule type="duplicateValues" dxfId="2422" priority="2944"/>
    <cfRule type="duplicateValues" dxfId="2421" priority="2935"/>
    <cfRule type="duplicateValues" dxfId="2420" priority="2936"/>
    <cfRule type="duplicateValues" dxfId="2419" priority="2937"/>
    <cfRule type="duplicateValues" dxfId="2418" priority="2938"/>
    <cfRule type="duplicateValues" dxfId="2417" priority="2939"/>
    <cfRule type="duplicateValues" dxfId="2416" priority="2940"/>
    <cfRule type="duplicateValues" dxfId="2415" priority="2941"/>
    <cfRule type="duplicateValues" dxfId="2414" priority="2942"/>
    <cfRule type="duplicateValues" dxfId="2413" priority="2943"/>
    <cfRule type="duplicateValues" dxfId="2412" priority="2945"/>
    <cfRule type="duplicateValues" dxfId="2411" priority="2946"/>
    <cfRule type="duplicateValues" dxfId="2410" priority="2947"/>
    <cfRule type="duplicateValues" dxfId="2409" priority="2948"/>
    <cfRule type="duplicateValues" dxfId="2408" priority="2949"/>
    <cfRule type="duplicateValues" dxfId="2407" priority="2950"/>
    <cfRule type="duplicateValues" dxfId="2406" priority="2951"/>
    <cfRule type="duplicateValues" dxfId="2405" priority="2953"/>
    <cfRule type="duplicateValues" dxfId="2404" priority="2954"/>
  </conditionalFormatting>
  <conditionalFormatting sqref="B62">
    <cfRule type="duplicateValues" dxfId="2403" priority="2894"/>
    <cfRule type="duplicateValues" dxfId="2402" priority="2893"/>
    <cfRule type="duplicateValues" dxfId="2401" priority="2892"/>
    <cfRule type="duplicateValues" dxfId="2400" priority="2891"/>
    <cfRule type="duplicateValues" dxfId="2399" priority="2890"/>
    <cfRule type="duplicateValues" dxfId="2398" priority="2889"/>
    <cfRule type="duplicateValues" dxfId="2397" priority="2887"/>
    <cfRule type="duplicateValues" dxfId="2396" priority="2886"/>
    <cfRule type="duplicateValues" dxfId="2395" priority="2867"/>
    <cfRule type="duplicateValues" dxfId="2394" priority="2885"/>
    <cfRule type="duplicateValues" dxfId="2393" priority="2884"/>
    <cfRule type="duplicateValues" dxfId="2392" priority="2863"/>
    <cfRule type="duplicateValues" dxfId="2391" priority="2883"/>
    <cfRule type="duplicateValues" dxfId="2390" priority="2882"/>
    <cfRule type="duplicateValues" dxfId="2389" priority="2881"/>
    <cfRule type="duplicateValues" dxfId="2388" priority="2880"/>
    <cfRule type="duplicateValues" dxfId="2387" priority="2879"/>
    <cfRule type="duplicateValues" dxfId="2386" priority="2878"/>
    <cfRule type="duplicateValues" dxfId="2385" priority="2877"/>
    <cfRule type="duplicateValues" dxfId="2384" priority="2876"/>
    <cfRule type="duplicateValues" dxfId="2383" priority="2875"/>
    <cfRule type="duplicateValues" dxfId="2382" priority="2874"/>
    <cfRule type="duplicateValues" dxfId="2381" priority="2873"/>
    <cfRule type="duplicateValues" dxfId="2380" priority="2872"/>
    <cfRule type="duplicateValues" dxfId="2379" priority="2871"/>
    <cfRule type="duplicateValues" dxfId="2378" priority="2870"/>
    <cfRule type="duplicateValues" dxfId="2377" priority="2869"/>
    <cfRule type="duplicateValues" dxfId="2376" priority="2868"/>
    <cfRule type="duplicateValues" dxfId="2375" priority="2866"/>
    <cfRule type="duplicateValues" dxfId="2374" priority="2897"/>
    <cfRule type="duplicateValues" dxfId="2373" priority="2865"/>
    <cfRule type="duplicateValues" dxfId="2372" priority="2864"/>
    <cfRule type="duplicateValues" dxfId="2371" priority="2862"/>
    <cfRule type="duplicateValues" dxfId="2370" priority="2861"/>
    <cfRule type="duplicateValues" dxfId="2369" priority="2860"/>
    <cfRule type="duplicateValues" dxfId="2368" priority="2859"/>
    <cfRule type="duplicateValues" dxfId="2367" priority="2858"/>
    <cfRule type="duplicateValues" dxfId="2366" priority="2888"/>
    <cfRule type="duplicateValues" dxfId="2365" priority="2895"/>
    <cfRule type="duplicateValues" dxfId="2364" priority="2896"/>
  </conditionalFormatting>
  <conditionalFormatting sqref="B63:B68">
    <cfRule type="duplicateValues" dxfId="2363" priority="2852"/>
    <cfRule type="duplicateValues" dxfId="2362" priority="2851"/>
    <cfRule type="duplicateValues" dxfId="2361" priority="2850"/>
    <cfRule type="duplicateValues" dxfId="2360" priority="2849"/>
    <cfRule type="duplicateValues" dxfId="2359" priority="2848"/>
    <cfRule type="duplicateValues" dxfId="2358" priority="2847"/>
    <cfRule type="duplicateValues" dxfId="2357" priority="2846"/>
    <cfRule type="duplicateValues" dxfId="2356" priority="2845"/>
    <cfRule type="duplicateValues" dxfId="2355" priority="2844"/>
    <cfRule type="duplicateValues" dxfId="2354" priority="2843"/>
    <cfRule type="duplicateValues" dxfId="2353" priority="2842"/>
    <cfRule type="duplicateValues" dxfId="2352" priority="2841"/>
    <cfRule type="duplicateValues" dxfId="2351" priority="2853"/>
    <cfRule type="duplicateValues" dxfId="2350" priority="2854"/>
    <cfRule type="duplicateValues" dxfId="2349" priority="2840"/>
    <cfRule type="duplicateValues" dxfId="2348" priority="2839"/>
    <cfRule type="duplicateValues" dxfId="2347" priority="2838"/>
    <cfRule type="duplicateValues" dxfId="2346" priority="2837"/>
    <cfRule type="duplicateValues" dxfId="2345" priority="2836"/>
    <cfRule type="duplicateValues" dxfId="2344" priority="2835"/>
    <cfRule type="duplicateValues" dxfId="2343" priority="2834"/>
    <cfRule type="duplicateValues" dxfId="2342" priority="2833"/>
    <cfRule type="duplicateValues" dxfId="2341" priority="2832"/>
    <cfRule type="duplicateValues" dxfId="2340" priority="2831"/>
    <cfRule type="duplicateValues" dxfId="2339" priority="2830"/>
    <cfRule type="duplicateValues" dxfId="2338" priority="2829"/>
    <cfRule type="duplicateValues" dxfId="2337" priority="2828"/>
    <cfRule type="duplicateValues" dxfId="2336" priority="2827"/>
    <cfRule type="duplicateValues" dxfId="2335" priority="2826"/>
    <cfRule type="duplicateValues" dxfId="2334" priority="2825"/>
    <cfRule type="duplicateValues" dxfId="2333" priority="2824"/>
    <cfRule type="duplicateValues" dxfId="2332" priority="2823"/>
    <cfRule type="duplicateValues" dxfId="2331" priority="2822"/>
    <cfRule type="duplicateValues" dxfId="2330" priority="2821"/>
    <cfRule type="duplicateValues" dxfId="2329" priority="2820"/>
    <cfRule type="duplicateValues" dxfId="2328" priority="2819"/>
    <cfRule type="duplicateValues" dxfId="2327" priority="2818"/>
    <cfRule type="duplicateValues" dxfId="2326" priority="2817"/>
    <cfRule type="duplicateValues" dxfId="2325" priority="2816"/>
    <cfRule type="duplicateValues" dxfId="2324" priority="2815"/>
  </conditionalFormatting>
  <conditionalFormatting sqref="B69:B71">
    <cfRule type="duplicateValues" dxfId="2323" priority="2660"/>
    <cfRule type="duplicateValues" dxfId="2322" priority="2661"/>
    <cfRule type="duplicateValues" dxfId="2321" priority="2662"/>
    <cfRule type="duplicateValues" dxfId="2320" priority="2663"/>
    <cfRule type="duplicateValues" dxfId="2319" priority="2664"/>
    <cfRule type="duplicateValues" dxfId="2318" priority="2665"/>
    <cfRule type="duplicateValues" dxfId="2317" priority="2666"/>
    <cfRule type="duplicateValues" dxfId="2316" priority="2667"/>
    <cfRule type="duplicateValues" dxfId="2315" priority="2668"/>
    <cfRule type="duplicateValues" dxfId="2314" priority="2669"/>
    <cfRule type="duplicateValues" dxfId="2313" priority="2670"/>
    <cfRule type="duplicateValues" dxfId="2312" priority="2671"/>
    <cfRule type="duplicateValues" dxfId="2311" priority="2672"/>
    <cfRule type="duplicateValues" dxfId="2310" priority="2673"/>
    <cfRule type="duplicateValues" dxfId="2309" priority="2675"/>
    <cfRule type="duplicateValues" dxfId="2308" priority="2674"/>
    <cfRule type="duplicateValues" dxfId="2307" priority="2676"/>
    <cfRule type="duplicateValues" dxfId="2306" priority="2677"/>
    <cfRule type="duplicateValues" dxfId="2305" priority="2678"/>
    <cfRule type="duplicateValues" dxfId="2304" priority="2679"/>
    <cfRule type="duplicateValues" dxfId="2303" priority="2680"/>
    <cfRule type="duplicateValues" dxfId="2302" priority="2681"/>
    <cfRule type="duplicateValues" dxfId="2301" priority="2682"/>
    <cfRule type="duplicateValues" dxfId="2300" priority="2683"/>
    <cfRule type="duplicateValues" dxfId="2299" priority="2684"/>
    <cfRule type="duplicateValues" dxfId="2298" priority="2685"/>
    <cfRule type="duplicateValues" dxfId="2297" priority="2686"/>
    <cfRule type="duplicateValues" dxfId="2296" priority="2687"/>
    <cfRule type="duplicateValues" dxfId="2295" priority="2659"/>
    <cfRule type="duplicateValues" dxfId="2294" priority="2688"/>
    <cfRule type="duplicateValues" dxfId="2293" priority="2689"/>
    <cfRule type="duplicateValues" dxfId="2292" priority="2690"/>
    <cfRule type="duplicateValues" dxfId="2291" priority="2691"/>
    <cfRule type="duplicateValues" dxfId="2290" priority="2692"/>
    <cfRule type="duplicateValues" dxfId="2289" priority="2693"/>
    <cfRule type="duplicateValues" dxfId="2288" priority="2694"/>
    <cfRule type="duplicateValues" dxfId="2287" priority="2695"/>
    <cfRule type="duplicateValues" dxfId="2286" priority="2696"/>
    <cfRule type="duplicateValues" dxfId="2285" priority="2697"/>
    <cfRule type="duplicateValues" dxfId="2284" priority="2698"/>
  </conditionalFormatting>
  <conditionalFormatting sqref="B72">
    <cfRule type="duplicateValues" dxfId="2283" priority="2702"/>
    <cfRule type="duplicateValues" dxfId="2282" priority="2741"/>
    <cfRule type="duplicateValues" dxfId="2281" priority="2740"/>
    <cfRule type="duplicateValues" dxfId="2280" priority="2739"/>
    <cfRule type="duplicateValues" dxfId="2279" priority="2738"/>
    <cfRule type="duplicateValues" dxfId="2278" priority="2737"/>
    <cfRule type="duplicateValues" dxfId="2277" priority="2736"/>
    <cfRule type="duplicateValues" dxfId="2276" priority="2735"/>
    <cfRule type="duplicateValues" dxfId="2275" priority="2734"/>
    <cfRule type="duplicateValues" dxfId="2274" priority="2733"/>
    <cfRule type="duplicateValues" dxfId="2273" priority="2732"/>
    <cfRule type="duplicateValues" dxfId="2272" priority="2731"/>
    <cfRule type="duplicateValues" dxfId="2271" priority="2730"/>
    <cfRule type="duplicateValues" dxfId="2270" priority="2729"/>
    <cfRule type="duplicateValues" dxfId="2269" priority="2728"/>
    <cfRule type="duplicateValues" dxfId="2268" priority="2727"/>
    <cfRule type="duplicateValues" dxfId="2267" priority="2726"/>
    <cfRule type="duplicateValues" dxfId="2266" priority="2725"/>
    <cfRule type="duplicateValues" dxfId="2265" priority="2724"/>
    <cfRule type="duplicateValues" dxfId="2264" priority="2723"/>
    <cfRule type="duplicateValues" dxfId="2263" priority="2722"/>
    <cfRule type="duplicateValues" dxfId="2262" priority="2721"/>
    <cfRule type="duplicateValues" dxfId="2261" priority="2720"/>
    <cfRule type="duplicateValues" dxfId="2260" priority="2719"/>
    <cfRule type="duplicateValues" dxfId="2259" priority="2718"/>
    <cfRule type="duplicateValues" dxfId="2258" priority="2717"/>
    <cfRule type="duplicateValues" dxfId="2257" priority="2716"/>
    <cfRule type="duplicateValues" dxfId="2256" priority="2715"/>
    <cfRule type="duplicateValues" dxfId="2255" priority="2714"/>
    <cfRule type="duplicateValues" dxfId="2254" priority="2713"/>
    <cfRule type="duplicateValues" dxfId="2253" priority="2712"/>
    <cfRule type="duplicateValues" dxfId="2252" priority="2711"/>
    <cfRule type="duplicateValues" dxfId="2251" priority="2710"/>
    <cfRule type="duplicateValues" dxfId="2250" priority="2709"/>
    <cfRule type="duplicateValues" dxfId="2249" priority="2708"/>
    <cfRule type="duplicateValues" dxfId="2248" priority="2707"/>
    <cfRule type="duplicateValues" dxfId="2247" priority="2706"/>
    <cfRule type="duplicateValues" dxfId="2246" priority="2705"/>
    <cfRule type="duplicateValues" dxfId="2245" priority="2704"/>
    <cfRule type="duplicateValues" dxfId="2244" priority="2703"/>
  </conditionalFormatting>
  <conditionalFormatting sqref="B72:B113">
    <cfRule type="duplicateValues" dxfId="2243" priority="2742"/>
    <cfRule type="duplicateValues" dxfId="2242" priority="2743"/>
    <cfRule type="duplicateValues" dxfId="2241" priority="2744"/>
    <cfRule type="duplicateValues" dxfId="2240" priority="2745"/>
    <cfRule type="duplicateValues" dxfId="2239" priority="2746"/>
    <cfRule type="duplicateValues" dxfId="2238" priority="2747"/>
    <cfRule type="duplicateValues" dxfId="2237" priority="2748"/>
    <cfRule type="duplicateValues" dxfId="2236" priority="2749"/>
    <cfRule type="duplicateValues" dxfId="2235" priority="2750"/>
    <cfRule type="duplicateValues" dxfId="2234" priority="2751"/>
    <cfRule type="duplicateValues" dxfId="2233" priority="2752"/>
    <cfRule type="duplicateValues" dxfId="2232" priority="2753"/>
    <cfRule type="duplicateValues" dxfId="2231" priority="2755"/>
    <cfRule type="duplicateValues" dxfId="2230" priority="2756"/>
    <cfRule type="duplicateValues" dxfId="2229" priority="2757"/>
    <cfRule type="duplicateValues" dxfId="2228" priority="2758"/>
    <cfRule type="duplicateValues" dxfId="2227" priority="2759"/>
    <cfRule type="duplicateValues" dxfId="2226" priority="2760"/>
    <cfRule type="duplicateValues" dxfId="2225" priority="2761"/>
    <cfRule type="duplicateValues" dxfId="2224" priority="2762"/>
    <cfRule type="duplicateValues" dxfId="2223" priority="2763"/>
    <cfRule type="duplicateValues" dxfId="2222" priority="2764"/>
    <cfRule type="duplicateValues" dxfId="2221" priority="2765"/>
    <cfRule type="duplicateValues" dxfId="2220" priority="2766"/>
    <cfRule type="duplicateValues" dxfId="2219" priority="2768"/>
    <cfRule type="duplicateValues" dxfId="2218" priority="2767"/>
    <cfRule type="duplicateValues" dxfId="2217" priority="2769"/>
    <cfRule type="duplicateValues" dxfId="2216" priority="2770"/>
    <cfRule type="duplicateValues" dxfId="2215" priority="2771"/>
    <cfRule type="duplicateValues" dxfId="2214" priority="2772"/>
    <cfRule type="duplicateValues" dxfId="2213" priority="2773"/>
    <cfRule type="duplicateValues" dxfId="2212" priority="2774"/>
    <cfRule type="duplicateValues" dxfId="2211" priority="2775"/>
    <cfRule type="duplicateValues" dxfId="2210" priority="2776"/>
    <cfRule type="duplicateValues" dxfId="2209" priority="2777"/>
    <cfRule type="duplicateValues" dxfId="2208" priority="2778"/>
    <cfRule type="duplicateValues" dxfId="2207" priority="2779"/>
    <cfRule type="duplicateValues" dxfId="2206" priority="2780"/>
    <cfRule type="duplicateValues" dxfId="2205" priority="2781"/>
    <cfRule type="duplicateValues" dxfId="2204" priority="2782"/>
    <cfRule type="duplicateValues" dxfId="2203" priority="2754"/>
  </conditionalFormatting>
  <conditionalFormatting sqref="B76">
    <cfRule type="duplicateValues" dxfId="2202" priority="2630"/>
    <cfRule type="duplicateValues" dxfId="2201" priority="2658"/>
    <cfRule type="duplicateValues" dxfId="2200" priority="2657"/>
    <cfRule type="duplicateValues" dxfId="2199" priority="2656"/>
    <cfRule type="duplicateValues" dxfId="2198" priority="2655"/>
    <cfRule type="duplicateValues" dxfId="2197" priority="2654"/>
    <cfRule type="duplicateValues" dxfId="2196" priority="2653"/>
    <cfRule type="duplicateValues" dxfId="2195" priority="2652"/>
    <cfRule type="duplicateValues" dxfId="2194" priority="2651"/>
    <cfRule type="duplicateValues" dxfId="2193" priority="2650"/>
    <cfRule type="duplicateValues" dxfId="2192" priority="2649"/>
    <cfRule type="duplicateValues" dxfId="2191" priority="2648"/>
    <cfRule type="duplicateValues" dxfId="2190" priority="2647"/>
    <cfRule type="duplicateValues" dxfId="2189" priority="2646"/>
    <cfRule type="duplicateValues" dxfId="2188" priority="2645"/>
    <cfRule type="duplicateValues" dxfId="2187" priority="2644"/>
    <cfRule type="duplicateValues" dxfId="2186" priority="2643"/>
    <cfRule type="duplicateValues" dxfId="2185" priority="2642"/>
    <cfRule type="duplicateValues" dxfId="2184" priority="2641"/>
    <cfRule type="duplicateValues" dxfId="2183" priority="2640"/>
    <cfRule type="duplicateValues" dxfId="2182" priority="2639"/>
    <cfRule type="duplicateValues" dxfId="2181" priority="2638"/>
    <cfRule type="duplicateValues" dxfId="2180" priority="2637"/>
    <cfRule type="duplicateValues" dxfId="2179" priority="2636"/>
    <cfRule type="duplicateValues" dxfId="2178" priority="2635"/>
    <cfRule type="duplicateValues" dxfId="2177" priority="2634"/>
    <cfRule type="duplicateValues" dxfId="2176" priority="2633"/>
    <cfRule type="duplicateValues" dxfId="2175" priority="2632"/>
    <cfRule type="duplicateValues" dxfId="2174" priority="2631"/>
    <cfRule type="duplicateValues" dxfId="2173" priority="2629"/>
    <cfRule type="duplicateValues" dxfId="2172" priority="2628"/>
    <cfRule type="duplicateValues" dxfId="2171" priority="2627"/>
    <cfRule type="duplicateValues" dxfId="2170" priority="2626"/>
    <cfRule type="duplicateValues" dxfId="2169" priority="2625"/>
    <cfRule type="duplicateValues" dxfId="2168" priority="2624"/>
    <cfRule type="duplicateValues" dxfId="2167" priority="2623"/>
    <cfRule type="duplicateValues" dxfId="2166" priority="2622"/>
    <cfRule type="duplicateValues" dxfId="2165" priority="2621"/>
    <cfRule type="duplicateValues" dxfId="2164" priority="2620"/>
    <cfRule type="duplicateValues" dxfId="2163" priority="2619"/>
    <cfRule type="duplicateValues" dxfId="2162" priority="2618"/>
    <cfRule type="duplicateValues" dxfId="2161" priority="2617"/>
    <cfRule type="duplicateValues" dxfId="2160" priority="2616"/>
    <cfRule type="duplicateValues" dxfId="2159" priority="2615"/>
    <cfRule type="duplicateValues" dxfId="2158" priority="2614"/>
    <cfRule type="duplicateValues" dxfId="2157" priority="2613"/>
    <cfRule type="duplicateValues" dxfId="2156" priority="2612"/>
    <cfRule type="duplicateValues" dxfId="2155" priority="2611"/>
    <cfRule type="duplicateValues" dxfId="2154" priority="2610"/>
    <cfRule type="duplicateValues" dxfId="2153" priority="2609"/>
    <cfRule type="duplicateValues" dxfId="2152" priority="2608"/>
    <cfRule type="duplicateValues" dxfId="2151" priority="2607"/>
    <cfRule type="duplicateValues" dxfId="2150" priority="2606"/>
    <cfRule type="duplicateValues" dxfId="2149" priority="2605"/>
    <cfRule type="duplicateValues" dxfId="2148" priority="2604"/>
    <cfRule type="duplicateValues" dxfId="2147" priority="2603"/>
    <cfRule type="duplicateValues" dxfId="2146" priority="2602"/>
    <cfRule type="duplicateValues" dxfId="2145" priority="2601"/>
    <cfRule type="duplicateValues" dxfId="2144" priority="2600"/>
    <cfRule type="duplicateValues" dxfId="2143" priority="2599"/>
    <cfRule type="duplicateValues" dxfId="2142" priority="2598"/>
    <cfRule type="duplicateValues" dxfId="2141" priority="2597"/>
    <cfRule type="duplicateValues" dxfId="2140" priority="2596"/>
    <cfRule type="duplicateValues" dxfId="2139" priority="2595"/>
    <cfRule type="duplicateValues" dxfId="2138" priority="2594"/>
    <cfRule type="duplicateValues" dxfId="2137" priority="2593"/>
    <cfRule type="duplicateValues" dxfId="2136" priority="2592"/>
    <cfRule type="duplicateValues" dxfId="2135" priority="2591"/>
    <cfRule type="duplicateValues" dxfId="2134" priority="2590"/>
    <cfRule type="duplicateValues" dxfId="2133" priority="2589"/>
    <cfRule type="duplicateValues" dxfId="2132" priority="2588"/>
    <cfRule type="duplicateValues" dxfId="2131" priority="2587"/>
    <cfRule type="duplicateValues" dxfId="2130" priority="2586"/>
    <cfRule type="duplicateValues" dxfId="2129" priority="2585"/>
    <cfRule type="duplicateValues" dxfId="2128" priority="2584"/>
    <cfRule type="duplicateValues" dxfId="2127" priority="2583"/>
    <cfRule type="duplicateValues" dxfId="2126" priority="2582"/>
    <cfRule type="duplicateValues" dxfId="2125" priority="2581"/>
    <cfRule type="duplicateValues" dxfId="2124" priority="2580"/>
    <cfRule type="duplicateValues" dxfId="2123" priority="2579"/>
    <cfRule type="duplicateValues" dxfId="2122" priority="2578"/>
  </conditionalFormatting>
  <conditionalFormatting sqref="B77:B83">
    <cfRule type="duplicateValues" dxfId="2121" priority="2563"/>
    <cfRule type="duplicateValues" dxfId="2120" priority="2556"/>
    <cfRule type="duplicateValues" dxfId="2119" priority="2557"/>
    <cfRule type="duplicateValues" dxfId="2118" priority="2558"/>
    <cfRule type="duplicateValues" dxfId="2117" priority="2559"/>
    <cfRule type="duplicateValues" dxfId="2116" priority="2560"/>
    <cfRule type="duplicateValues" dxfId="2115" priority="2561"/>
    <cfRule type="duplicateValues" dxfId="2114" priority="2562"/>
    <cfRule type="duplicateValues" dxfId="2113" priority="2564"/>
    <cfRule type="duplicateValues" dxfId="2112" priority="2565"/>
    <cfRule type="duplicateValues" dxfId="2111" priority="2537"/>
    <cfRule type="duplicateValues" dxfId="2110" priority="2566"/>
    <cfRule type="duplicateValues" dxfId="2109" priority="2567"/>
    <cfRule type="duplicateValues" dxfId="2108" priority="2568"/>
    <cfRule type="duplicateValues" dxfId="2107" priority="2569"/>
    <cfRule type="duplicateValues" dxfId="2106" priority="2570"/>
    <cfRule type="duplicateValues" dxfId="2105" priority="2571"/>
    <cfRule type="duplicateValues" dxfId="2104" priority="2572"/>
    <cfRule type="duplicateValues" dxfId="2103" priority="2535"/>
    <cfRule type="duplicateValues" dxfId="2102" priority="2536"/>
    <cfRule type="duplicateValues" dxfId="2101" priority="2573"/>
    <cfRule type="duplicateValues" dxfId="2100" priority="2538"/>
    <cfRule type="duplicateValues" dxfId="2099" priority="2539"/>
    <cfRule type="duplicateValues" dxfId="2098" priority="2540"/>
    <cfRule type="duplicateValues" dxfId="2097" priority="2541"/>
    <cfRule type="duplicateValues" dxfId="2096" priority="2574"/>
    <cfRule type="duplicateValues" dxfId="2095" priority="2542"/>
    <cfRule type="duplicateValues" dxfId="2094" priority="2543"/>
    <cfRule type="duplicateValues" dxfId="2093" priority="2544"/>
    <cfRule type="duplicateValues" dxfId="2092" priority="2545"/>
    <cfRule type="duplicateValues" dxfId="2091" priority="2546"/>
    <cfRule type="duplicateValues" dxfId="2090" priority="2547"/>
    <cfRule type="duplicateValues" dxfId="2089" priority="2548"/>
    <cfRule type="duplicateValues" dxfId="2088" priority="2549"/>
    <cfRule type="duplicateValues" dxfId="2087" priority="2550"/>
    <cfRule type="duplicateValues" dxfId="2086" priority="2551"/>
    <cfRule type="duplicateValues" dxfId="2085" priority="2552"/>
    <cfRule type="duplicateValues" dxfId="2084" priority="2553"/>
    <cfRule type="duplicateValues" dxfId="2083" priority="2554"/>
    <cfRule type="duplicateValues" dxfId="2082" priority="2555"/>
  </conditionalFormatting>
  <conditionalFormatting sqref="B80:B81 B83:B122 B72:B76 B1:B55 B124:B180">
    <cfRule type="duplicateValues" dxfId="2081" priority="3580"/>
  </conditionalFormatting>
  <conditionalFormatting sqref="B84:B108">
    <cfRule type="duplicateValues" dxfId="2080" priority="2493"/>
    <cfRule type="duplicateValues" dxfId="2079" priority="2494"/>
    <cfRule type="duplicateValues" dxfId="2078" priority="2495"/>
    <cfRule type="duplicateValues" dxfId="2077" priority="2496"/>
    <cfRule type="duplicateValues" dxfId="2076" priority="2498"/>
    <cfRule type="duplicateValues" dxfId="2075" priority="2500"/>
    <cfRule type="duplicateValues" dxfId="2074" priority="2501"/>
    <cfRule type="duplicateValues" dxfId="2073" priority="2502"/>
    <cfRule type="duplicateValues" dxfId="2072" priority="2504"/>
    <cfRule type="duplicateValues" dxfId="2071" priority="2505"/>
    <cfRule type="duplicateValues" dxfId="2070" priority="2506"/>
    <cfRule type="duplicateValues" dxfId="2069" priority="2507"/>
    <cfRule type="duplicateValues" dxfId="2068" priority="2508"/>
    <cfRule type="duplicateValues" dxfId="2067" priority="2509"/>
    <cfRule type="duplicateValues" dxfId="2066" priority="2527"/>
    <cfRule type="duplicateValues" dxfId="2065" priority="2503"/>
    <cfRule type="duplicateValues" dxfId="2064" priority="2499"/>
    <cfRule type="duplicateValues" dxfId="2063" priority="2519"/>
    <cfRule type="duplicateValues" dxfId="2062" priority="2510"/>
    <cfRule type="duplicateValues" dxfId="2061" priority="2511"/>
    <cfRule type="duplicateValues" dxfId="2060" priority="2492"/>
    <cfRule type="duplicateValues" dxfId="2059" priority="2497"/>
    <cfRule type="duplicateValues" dxfId="2058" priority="2512"/>
    <cfRule type="duplicateValues" dxfId="2057" priority="2513"/>
    <cfRule type="duplicateValues" dxfId="2056" priority="2514"/>
    <cfRule type="duplicateValues" dxfId="2055" priority="2515"/>
    <cfRule type="duplicateValues" dxfId="2054" priority="2516"/>
    <cfRule type="duplicateValues" dxfId="2053" priority="2517"/>
    <cfRule type="duplicateValues" dxfId="2052" priority="2518"/>
    <cfRule type="duplicateValues" dxfId="2051" priority="2520"/>
    <cfRule type="duplicateValues" dxfId="2050" priority="2521"/>
    <cfRule type="duplicateValues" dxfId="2049" priority="2522"/>
    <cfRule type="duplicateValues" dxfId="2048" priority="2523"/>
    <cfRule type="duplicateValues" dxfId="2047" priority="2524"/>
    <cfRule type="duplicateValues" dxfId="2046" priority="2525"/>
    <cfRule type="duplicateValues" dxfId="2045" priority="2526"/>
    <cfRule type="duplicateValues" dxfId="2044" priority="2491"/>
    <cfRule type="duplicateValues" dxfId="2043" priority="2490"/>
    <cfRule type="duplicateValues" dxfId="2042" priority="2489"/>
    <cfRule type="duplicateValues" dxfId="2041" priority="2488"/>
  </conditionalFormatting>
  <conditionalFormatting sqref="B92 B87">
    <cfRule type="duplicateValues" dxfId="2040" priority="2449"/>
    <cfRule type="duplicateValues" dxfId="2039" priority="2450"/>
    <cfRule type="duplicateValues" dxfId="2038" priority="2451"/>
    <cfRule type="duplicateValues" dxfId="2037" priority="2452"/>
    <cfRule type="duplicateValues" dxfId="2036" priority="2454"/>
    <cfRule type="duplicateValues" dxfId="2035" priority="2455"/>
    <cfRule type="duplicateValues" dxfId="2034" priority="2456"/>
    <cfRule type="duplicateValues" dxfId="2033" priority="2457"/>
    <cfRule type="duplicateValues" dxfId="2032" priority="2458"/>
    <cfRule type="duplicateValues" dxfId="2031" priority="2459"/>
    <cfRule type="duplicateValues" dxfId="2030" priority="2460"/>
    <cfRule type="duplicateValues" dxfId="2029" priority="2461"/>
    <cfRule type="duplicateValues" dxfId="2028" priority="2462"/>
    <cfRule type="duplicateValues" dxfId="2027" priority="2463"/>
    <cfRule type="duplicateValues" dxfId="2026" priority="2464"/>
    <cfRule type="duplicateValues" dxfId="2025" priority="2465"/>
    <cfRule type="duplicateValues" dxfId="2024" priority="2466"/>
    <cfRule type="duplicateValues" dxfId="2023" priority="2467"/>
    <cfRule type="duplicateValues" dxfId="2022" priority="2468"/>
    <cfRule type="duplicateValues" dxfId="2021" priority="2453"/>
    <cfRule type="duplicateValues" dxfId="2020" priority="2469"/>
    <cfRule type="duplicateValues" dxfId="2019" priority="2445"/>
    <cfRule type="duplicateValues" dxfId="2018" priority="2446"/>
    <cfRule type="duplicateValues" dxfId="2017" priority="2447"/>
    <cfRule type="duplicateValues" dxfId="2016" priority="2448"/>
    <cfRule type="duplicateValues" dxfId="2015" priority="2484"/>
    <cfRule type="duplicateValues" dxfId="2014" priority="2483"/>
    <cfRule type="duplicateValues" dxfId="2013" priority="2482"/>
    <cfRule type="duplicateValues" dxfId="2012" priority="2481"/>
    <cfRule type="duplicateValues" dxfId="2011" priority="2480"/>
    <cfRule type="duplicateValues" dxfId="2010" priority="2479"/>
    <cfRule type="duplicateValues" dxfId="2009" priority="2478"/>
    <cfRule type="duplicateValues" dxfId="2008" priority="2477"/>
    <cfRule type="duplicateValues" dxfId="2007" priority="2476"/>
    <cfRule type="duplicateValues" dxfId="2006" priority="2475"/>
    <cfRule type="duplicateValues" dxfId="2005" priority="2474"/>
    <cfRule type="duplicateValues" dxfId="2004" priority="2473"/>
    <cfRule type="duplicateValues" dxfId="2003" priority="2472"/>
    <cfRule type="duplicateValues" dxfId="2002" priority="2471"/>
    <cfRule type="duplicateValues" dxfId="2001" priority="2470"/>
  </conditionalFormatting>
  <conditionalFormatting sqref="B109:B110">
    <cfRule type="duplicateValues" dxfId="2000" priority="2369"/>
    <cfRule type="duplicateValues" dxfId="1999" priority="2368"/>
    <cfRule type="duplicateValues" dxfId="1998" priority="2367"/>
    <cfRule type="duplicateValues" dxfId="1997" priority="2366"/>
    <cfRule type="duplicateValues" dxfId="1996" priority="2365"/>
    <cfRule type="duplicateValues" dxfId="1995" priority="2391"/>
    <cfRule type="duplicateValues" dxfId="1994" priority="2392"/>
    <cfRule type="duplicateValues" dxfId="1993" priority="2393"/>
    <cfRule type="duplicateValues" dxfId="1992" priority="2394"/>
    <cfRule type="duplicateValues" dxfId="1991" priority="2395"/>
    <cfRule type="duplicateValues" dxfId="1990" priority="2396"/>
    <cfRule type="duplicateValues" dxfId="1989" priority="2397"/>
    <cfRule type="duplicateValues" dxfId="1988" priority="2398"/>
    <cfRule type="duplicateValues" dxfId="1987" priority="2399"/>
    <cfRule type="duplicateValues" dxfId="1986" priority="2400"/>
    <cfRule type="duplicateValues" dxfId="1985" priority="2401"/>
    <cfRule type="duplicateValues" dxfId="1984" priority="2402"/>
    <cfRule type="duplicateValues" dxfId="1983" priority="2403"/>
    <cfRule type="duplicateValues" dxfId="1982" priority="2404"/>
    <cfRule type="duplicateValues" dxfId="1981" priority="2405"/>
    <cfRule type="duplicateValues" dxfId="1980" priority="2406"/>
    <cfRule type="duplicateValues" dxfId="1979" priority="2407"/>
    <cfRule type="duplicateValues" dxfId="1978" priority="2408"/>
    <cfRule type="duplicateValues" dxfId="1977" priority="2409"/>
    <cfRule type="duplicateValues" dxfId="1976" priority="2410"/>
    <cfRule type="duplicateValues" dxfId="1975" priority="2411"/>
    <cfRule type="duplicateValues" dxfId="1974" priority="2412"/>
    <cfRule type="duplicateValues" dxfId="1973" priority="2413"/>
    <cfRule type="duplicateValues" dxfId="1972" priority="2414"/>
    <cfRule type="duplicateValues" dxfId="1971" priority="2415"/>
    <cfRule type="duplicateValues" dxfId="1970" priority="2416"/>
    <cfRule type="duplicateValues" dxfId="1969" priority="2417"/>
    <cfRule type="duplicateValues" dxfId="1968" priority="2418"/>
    <cfRule type="duplicateValues" dxfId="1967" priority="2419"/>
    <cfRule type="duplicateValues" dxfId="1966" priority="2420"/>
    <cfRule type="duplicateValues" dxfId="1965" priority="2421"/>
    <cfRule type="duplicateValues" dxfId="1964" priority="2422"/>
    <cfRule type="duplicateValues" dxfId="1963" priority="2423"/>
    <cfRule type="duplicateValues" dxfId="1962" priority="2424"/>
    <cfRule type="duplicateValues" dxfId="1961" priority="2425"/>
    <cfRule type="duplicateValues" dxfId="1960" priority="2426"/>
    <cfRule type="duplicateValues" dxfId="1959" priority="2427"/>
    <cfRule type="duplicateValues" dxfId="1958" priority="2428"/>
    <cfRule type="duplicateValues" dxfId="1957" priority="2386"/>
    <cfRule type="duplicateValues" dxfId="1956" priority="2444"/>
    <cfRule type="duplicateValues" dxfId="1955" priority="2443"/>
    <cfRule type="duplicateValues" dxfId="1954" priority="2442"/>
    <cfRule type="duplicateValues" dxfId="1953" priority="2441"/>
    <cfRule type="duplicateValues" dxfId="1952" priority="2440"/>
    <cfRule type="duplicateValues" dxfId="1951" priority="2439"/>
    <cfRule type="duplicateValues" dxfId="1950" priority="2438"/>
    <cfRule type="duplicateValues" dxfId="1949" priority="2437"/>
    <cfRule type="duplicateValues" dxfId="1948" priority="2436"/>
    <cfRule type="duplicateValues" dxfId="1947" priority="2435"/>
    <cfRule type="duplicateValues" dxfId="1946" priority="2390"/>
    <cfRule type="duplicateValues" dxfId="1945" priority="2434"/>
    <cfRule type="duplicateValues" dxfId="1944" priority="2433"/>
    <cfRule type="duplicateValues" dxfId="1943" priority="2432"/>
    <cfRule type="duplicateValues" dxfId="1942" priority="2431"/>
    <cfRule type="duplicateValues" dxfId="1941" priority="2430"/>
    <cfRule type="duplicateValues" dxfId="1940" priority="2429"/>
    <cfRule type="duplicateValues" dxfId="1939" priority="2388"/>
    <cfRule type="duplicateValues" dxfId="1938" priority="2387"/>
    <cfRule type="duplicateValues" dxfId="1937" priority="2385"/>
    <cfRule type="duplicateValues" dxfId="1936" priority="2384"/>
    <cfRule type="duplicateValues" dxfId="1935" priority="2383"/>
    <cfRule type="duplicateValues" dxfId="1934" priority="2382"/>
    <cfRule type="duplicateValues" dxfId="1933" priority="2381"/>
    <cfRule type="duplicateValues" dxfId="1932" priority="2380"/>
    <cfRule type="duplicateValues" dxfId="1931" priority="2379"/>
    <cfRule type="duplicateValues" dxfId="1930" priority="2378"/>
    <cfRule type="duplicateValues" dxfId="1929" priority="2377"/>
    <cfRule type="duplicateValues" dxfId="1928" priority="2376"/>
    <cfRule type="duplicateValues" dxfId="1927" priority="2389"/>
    <cfRule type="duplicateValues" dxfId="1926" priority="2375"/>
    <cfRule type="duplicateValues" dxfId="1925" priority="2374"/>
    <cfRule type="duplicateValues" dxfId="1924" priority="2373"/>
    <cfRule type="duplicateValues" dxfId="1923" priority="2372"/>
    <cfRule type="duplicateValues" dxfId="1922" priority="2371"/>
    <cfRule type="duplicateValues" dxfId="1921" priority="2370"/>
  </conditionalFormatting>
  <conditionalFormatting sqref="B111:B114">
    <cfRule type="duplicateValues" dxfId="1920" priority="2358"/>
    <cfRule type="duplicateValues" dxfId="1919" priority="2359"/>
    <cfRule type="duplicateValues" dxfId="1918" priority="2360"/>
    <cfRule type="duplicateValues" dxfId="1917" priority="2361"/>
    <cfRule type="duplicateValues" dxfId="1916" priority="2339"/>
    <cfRule type="duplicateValues" dxfId="1915" priority="2319"/>
    <cfRule type="duplicateValues" dxfId="1914" priority="2282"/>
    <cfRule type="duplicateValues" dxfId="1913" priority="2283"/>
    <cfRule type="duplicateValues" dxfId="1912" priority="2284"/>
    <cfRule type="duplicateValues" dxfId="1911" priority="2285"/>
    <cfRule type="duplicateValues" dxfId="1910" priority="2286"/>
    <cfRule type="duplicateValues" dxfId="1909" priority="2287"/>
    <cfRule type="duplicateValues" dxfId="1908" priority="2288"/>
    <cfRule type="duplicateValues" dxfId="1907" priority="2289"/>
    <cfRule type="duplicateValues" dxfId="1906" priority="2290"/>
    <cfRule type="duplicateValues" dxfId="1905" priority="2291"/>
    <cfRule type="duplicateValues" dxfId="1904" priority="2292"/>
    <cfRule type="duplicateValues" dxfId="1903" priority="2294"/>
    <cfRule type="duplicateValues" dxfId="1902" priority="2295"/>
    <cfRule type="duplicateValues" dxfId="1901" priority="2296"/>
    <cfRule type="duplicateValues" dxfId="1900" priority="2297"/>
    <cfRule type="duplicateValues" dxfId="1899" priority="2298"/>
    <cfRule type="duplicateValues" dxfId="1898" priority="2299"/>
    <cfRule type="duplicateValues" dxfId="1897" priority="2300"/>
    <cfRule type="duplicateValues" dxfId="1896" priority="2301"/>
    <cfRule type="duplicateValues" dxfId="1895" priority="2302"/>
    <cfRule type="duplicateValues" dxfId="1894" priority="2303"/>
    <cfRule type="duplicateValues" dxfId="1893" priority="2304"/>
    <cfRule type="duplicateValues" dxfId="1892" priority="2305"/>
    <cfRule type="duplicateValues" dxfId="1891" priority="2306"/>
    <cfRule type="duplicateValues" dxfId="1890" priority="2307"/>
    <cfRule type="duplicateValues" dxfId="1889" priority="2308"/>
    <cfRule type="duplicateValues" dxfId="1888" priority="2309"/>
    <cfRule type="duplicateValues" dxfId="1887" priority="2310"/>
    <cfRule type="duplicateValues" dxfId="1886" priority="2311"/>
    <cfRule type="duplicateValues" dxfId="1885" priority="2312"/>
    <cfRule type="duplicateValues" dxfId="1884" priority="2313"/>
    <cfRule type="duplicateValues" dxfId="1883" priority="2314"/>
    <cfRule type="duplicateValues" dxfId="1882" priority="2315"/>
    <cfRule type="duplicateValues" dxfId="1881" priority="2316"/>
    <cfRule type="duplicateValues" dxfId="1880" priority="2317"/>
    <cfRule type="duplicateValues" dxfId="1879" priority="2318"/>
    <cfRule type="duplicateValues" dxfId="1878" priority="2320"/>
    <cfRule type="duplicateValues" dxfId="1877" priority="2321"/>
    <cfRule type="duplicateValues" dxfId="1876" priority="2322"/>
    <cfRule type="duplicateValues" dxfId="1875" priority="2323"/>
    <cfRule type="duplicateValues" dxfId="1874" priority="2324"/>
    <cfRule type="duplicateValues" dxfId="1873" priority="2325"/>
    <cfRule type="duplicateValues" dxfId="1872" priority="2326"/>
    <cfRule type="duplicateValues" dxfId="1871" priority="2327"/>
    <cfRule type="duplicateValues" dxfId="1870" priority="2328"/>
    <cfRule type="duplicateValues" dxfId="1869" priority="2329"/>
    <cfRule type="duplicateValues" dxfId="1868" priority="2330"/>
    <cfRule type="duplicateValues" dxfId="1867" priority="2331"/>
    <cfRule type="duplicateValues" dxfId="1866" priority="2332"/>
    <cfRule type="duplicateValues" dxfId="1865" priority="2333"/>
    <cfRule type="duplicateValues" dxfId="1864" priority="2334"/>
    <cfRule type="duplicateValues" dxfId="1863" priority="2335"/>
    <cfRule type="duplicateValues" dxfId="1862" priority="2336"/>
    <cfRule type="duplicateValues" dxfId="1861" priority="2337"/>
    <cfRule type="duplicateValues" dxfId="1860" priority="2338"/>
    <cfRule type="duplicateValues" dxfId="1859" priority="2293"/>
    <cfRule type="duplicateValues" dxfId="1858" priority="2340"/>
    <cfRule type="duplicateValues" dxfId="1857" priority="2341"/>
    <cfRule type="duplicateValues" dxfId="1856" priority="2342"/>
    <cfRule type="duplicateValues" dxfId="1855" priority="2343"/>
    <cfRule type="duplicateValues" dxfId="1854" priority="2344"/>
    <cfRule type="duplicateValues" dxfId="1853" priority="2345"/>
    <cfRule type="duplicateValues" dxfId="1852" priority="2346"/>
    <cfRule type="duplicateValues" dxfId="1851" priority="2347"/>
    <cfRule type="duplicateValues" dxfId="1850" priority="2348"/>
    <cfRule type="duplicateValues" dxfId="1849" priority="2349"/>
    <cfRule type="duplicateValues" dxfId="1848" priority="2350"/>
    <cfRule type="duplicateValues" dxfId="1847" priority="2351"/>
    <cfRule type="duplicateValues" dxfId="1846" priority="2352"/>
    <cfRule type="duplicateValues" dxfId="1845" priority="2353"/>
    <cfRule type="duplicateValues" dxfId="1844" priority="2354"/>
    <cfRule type="duplicateValues" dxfId="1843" priority="2355"/>
    <cfRule type="duplicateValues" dxfId="1842" priority="2356"/>
    <cfRule type="duplicateValues" dxfId="1841" priority="2357"/>
  </conditionalFormatting>
  <conditionalFormatting sqref="B114">
    <cfRule type="duplicateValues" dxfId="1840" priority="2205"/>
    <cfRule type="duplicateValues" dxfId="1839" priority="2204"/>
    <cfRule type="duplicateValues" dxfId="1838" priority="2203"/>
    <cfRule type="duplicateValues" dxfId="1837" priority="2202"/>
    <cfRule type="duplicateValues" dxfId="1836" priority="2201"/>
    <cfRule type="duplicateValues" dxfId="1835" priority="2199"/>
    <cfRule type="duplicateValues" dxfId="1834" priority="2198"/>
    <cfRule type="duplicateValues" dxfId="1833" priority="2279"/>
    <cfRule type="duplicateValues" dxfId="1832" priority="2278"/>
    <cfRule type="duplicateValues" dxfId="1831" priority="2277"/>
    <cfRule type="duplicateValues" dxfId="1830" priority="2276"/>
    <cfRule type="duplicateValues" dxfId="1829" priority="2275"/>
    <cfRule type="duplicateValues" dxfId="1828" priority="2274"/>
    <cfRule type="duplicateValues" dxfId="1827" priority="2273"/>
    <cfRule type="duplicateValues" dxfId="1826" priority="2272"/>
    <cfRule type="duplicateValues" dxfId="1825" priority="2271"/>
    <cfRule type="duplicateValues" dxfId="1824" priority="2270"/>
    <cfRule type="duplicateValues" dxfId="1823" priority="2269"/>
    <cfRule type="duplicateValues" dxfId="1822" priority="2268"/>
    <cfRule type="duplicateValues" dxfId="1821" priority="2267"/>
    <cfRule type="duplicateValues" dxfId="1820" priority="2266"/>
    <cfRule type="duplicateValues" dxfId="1819" priority="2265"/>
    <cfRule type="duplicateValues" dxfId="1818" priority="2264"/>
    <cfRule type="duplicateValues" dxfId="1817" priority="2263"/>
    <cfRule type="duplicateValues" dxfId="1816" priority="2262"/>
    <cfRule type="duplicateValues" dxfId="1815" priority="2261"/>
    <cfRule type="duplicateValues" dxfId="1814" priority="2260"/>
    <cfRule type="duplicateValues" dxfId="1813" priority="2259"/>
    <cfRule type="duplicateValues" dxfId="1812" priority="2280"/>
    <cfRule type="duplicateValues" dxfId="1811" priority="2258"/>
    <cfRule type="duplicateValues" dxfId="1810" priority="2257"/>
    <cfRule type="duplicateValues" dxfId="1809" priority="2256"/>
    <cfRule type="duplicateValues" dxfId="1808" priority="2255"/>
    <cfRule type="duplicateValues" dxfId="1807" priority="2254"/>
    <cfRule type="duplicateValues" dxfId="1806" priority="2253"/>
    <cfRule type="duplicateValues" dxfId="1805" priority="2252"/>
    <cfRule type="duplicateValues" dxfId="1804" priority="2251"/>
    <cfRule type="duplicateValues" dxfId="1803" priority="2200"/>
    <cfRule type="duplicateValues" dxfId="1802" priority="2250"/>
    <cfRule type="duplicateValues" dxfId="1801" priority="2249"/>
    <cfRule type="duplicateValues" dxfId="1800" priority="2248"/>
    <cfRule type="duplicateValues" dxfId="1799" priority="2247"/>
    <cfRule type="duplicateValues" dxfId="1798" priority="2246"/>
    <cfRule type="duplicateValues" dxfId="1797" priority="2245"/>
    <cfRule type="duplicateValues" dxfId="1796" priority="2244"/>
    <cfRule type="duplicateValues" dxfId="1795" priority="2243"/>
    <cfRule type="duplicateValues" dxfId="1794" priority="2242"/>
    <cfRule type="duplicateValues" dxfId="1793" priority="2241"/>
    <cfRule type="duplicateValues" dxfId="1792" priority="2240"/>
    <cfRule type="duplicateValues" dxfId="1791" priority="2239"/>
    <cfRule type="duplicateValues" dxfId="1790" priority="2238"/>
    <cfRule type="duplicateValues" dxfId="1789" priority="2237"/>
    <cfRule type="duplicateValues" dxfId="1788" priority="2236"/>
    <cfRule type="duplicateValues" dxfId="1787" priority="2235"/>
    <cfRule type="duplicateValues" dxfId="1786" priority="2234"/>
    <cfRule type="duplicateValues" dxfId="1785" priority="2233"/>
    <cfRule type="duplicateValues" dxfId="1784" priority="2232"/>
    <cfRule type="duplicateValues" dxfId="1783" priority="2231"/>
    <cfRule type="duplicateValues" dxfId="1782" priority="2230"/>
    <cfRule type="duplicateValues" dxfId="1781" priority="2229"/>
    <cfRule type="duplicateValues" dxfId="1780" priority="2228"/>
    <cfRule type="duplicateValues" dxfId="1779" priority="2227"/>
    <cfRule type="duplicateValues" dxfId="1778" priority="2226"/>
    <cfRule type="duplicateValues" dxfId="1777" priority="2225"/>
    <cfRule type="duplicateValues" dxfId="1776" priority="2224"/>
    <cfRule type="duplicateValues" dxfId="1775" priority="2223"/>
    <cfRule type="duplicateValues" dxfId="1774" priority="2222"/>
    <cfRule type="duplicateValues" dxfId="1773" priority="2221"/>
    <cfRule type="duplicateValues" dxfId="1772" priority="2220"/>
    <cfRule type="duplicateValues" dxfId="1771" priority="2219"/>
    <cfRule type="duplicateValues" dxfId="1770" priority="2218"/>
    <cfRule type="duplicateValues" dxfId="1769" priority="2217"/>
    <cfRule type="duplicateValues" dxfId="1768" priority="2216"/>
    <cfRule type="duplicateValues" dxfId="1767" priority="2215"/>
    <cfRule type="duplicateValues" dxfId="1766" priority="2214"/>
    <cfRule type="duplicateValues" dxfId="1765" priority="2213"/>
    <cfRule type="duplicateValues" dxfId="1764" priority="2212"/>
    <cfRule type="duplicateValues" dxfId="1763" priority="2211"/>
    <cfRule type="duplicateValues" dxfId="1762" priority="2210"/>
    <cfRule type="duplicateValues" dxfId="1761" priority="2209"/>
    <cfRule type="duplicateValues" dxfId="1760" priority="2208"/>
    <cfRule type="duplicateValues" dxfId="1759" priority="2207"/>
    <cfRule type="duplicateValues" dxfId="1758" priority="2206"/>
  </conditionalFormatting>
  <conditionalFormatting sqref="B115">
    <cfRule type="duplicateValues" dxfId="1757" priority="2170"/>
    <cfRule type="duplicateValues" dxfId="1756" priority="2171"/>
    <cfRule type="duplicateValues" dxfId="1755" priority="2172"/>
    <cfRule type="duplicateValues" dxfId="1754" priority="2173"/>
    <cfRule type="duplicateValues" dxfId="1753" priority="2174"/>
    <cfRule type="duplicateValues" dxfId="1752" priority="2175"/>
    <cfRule type="duplicateValues" dxfId="1751" priority="2176"/>
    <cfRule type="duplicateValues" dxfId="1750" priority="2177"/>
    <cfRule type="duplicateValues" dxfId="1749" priority="2178"/>
    <cfRule type="duplicateValues" dxfId="1748" priority="2179"/>
    <cfRule type="duplicateValues" dxfId="1747" priority="2180"/>
    <cfRule type="duplicateValues" dxfId="1746" priority="2181"/>
    <cfRule type="duplicateValues" dxfId="1745" priority="2182"/>
    <cfRule type="duplicateValues" dxfId="1744" priority="2183"/>
    <cfRule type="duplicateValues" dxfId="1743" priority="2184"/>
    <cfRule type="duplicateValues" dxfId="1742" priority="2185"/>
    <cfRule type="duplicateValues" dxfId="1741" priority="2186"/>
    <cfRule type="duplicateValues" dxfId="1740" priority="2187"/>
    <cfRule type="duplicateValues" dxfId="1739" priority="2188"/>
    <cfRule type="duplicateValues" dxfId="1738" priority="2189"/>
    <cfRule type="duplicateValues" dxfId="1737" priority="2190"/>
    <cfRule type="duplicateValues" dxfId="1736" priority="2191"/>
    <cfRule type="duplicateValues" dxfId="1735" priority="2192"/>
    <cfRule type="duplicateValues" dxfId="1734" priority="2193"/>
    <cfRule type="duplicateValues" dxfId="1733" priority="2194"/>
    <cfRule type="duplicateValues" dxfId="1732" priority="2195"/>
    <cfRule type="duplicateValues" dxfId="1731" priority="2196"/>
    <cfRule type="duplicateValues" dxfId="1730" priority="2197"/>
    <cfRule type="duplicateValues" dxfId="1729" priority="2118"/>
    <cfRule type="duplicateValues" dxfId="1728" priority="2119"/>
    <cfRule type="duplicateValues" dxfId="1727" priority="2120"/>
    <cfRule type="duplicateValues" dxfId="1726" priority="2121"/>
    <cfRule type="duplicateValues" dxfId="1725" priority="2122"/>
    <cfRule type="duplicateValues" dxfId="1724" priority="2123"/>
    <cfRule type="duplicateValues" dxfId="1723" priority="2124"/>
    <cfRule type="duplicateValues" dxfId="1722" priority="2125"/>
    <cfRule type="duplicateValues" dxfId="1721" priority="2126"/>
    <cfRule type="duplicateValues" dxfId="1720" priority="2127"/>
    <cfRule type="duplicateValues" dxfId="1719" priority="2128"/>
    <cfRule type="duplicateValues" dxfId="1718" priority="2129"/>
    <cfRule type="duplicateValues" dxfId="1717" priority="2130"/>
    <cfRule type="duplicateValues" dxfId="1716" priority="2131"/>
    <cfRule type="duplicateValues" dxfId="1715" priority="2132"/>
    <cfRule type="duplicateValues" dxfId="1714" priority="2133"/>
    <cfRule type="duplicateValues" dxfId="1713" priority="2134"/>
    <cfRule type="duplicateValues" dxfId="1712" priority="2135"/>
    <cfRule type="duplicateValues" dxfId="1711" priority="2136"/>
    <cfRule type="duplicateValues" dxfId="1710" priority="2137"/>
    <cfRule type="duplicateValues" dxfId="1709" priority="2138"/>
    <cfRule type="duplicateValues" dxfId="1708" priority="2139"/>
    <cfRule type="duplicateValues" dxfId="1707" priority="2140"/>
    <cfRule type="duplicateValues" dxfId="1706" priority="2141"/>
    <cfRule type="duplicateValues" dxfId="1705" priority="2142"/>
    <cfRule type="duplicateValues" dxfId="1704" priority="2143"/>
    <cfRule type="duplicateValues" dxfId="1703" priority="2144"/>
    <cfRule type="duplicateValues" dxfId="1702" priority="2145"/>
    <cfRule type="duplicateValues" dxfId="1701" priority="2146"/>
    <cfRule type="duplicateValues" dxfId="1700" priority="2147"/>
    <cfRule type="duplicateValues" dxfId="1699" priority="2148"/>
    <cfRule type="duplicateValues" dxfId="1698" priority="2149"/>
    <cfRule type="duplicateValues" dxfId="1697" priority="2150"/>
    <cfRule type="duplicateValues" dxfId="1696" priority="2151"/>
    <cfRule type="duplicateValues" dxfId="1695" priority="2152"/>
    <cfRule type="duplicateValues" dxfId="1694" priority="2153"/>
    <cfRule type="duplicateValues" dxfId="1693" priority="2154"/>
    <cfRule type="duplicateValues" dxfId="1692" priority="2155"/>
    <cfRule type="duplicateValues" dxfId="1691" priority="2156"/>
    <cfRule type="duplicateValues" dxfId="1690" priority="2157"/>
    <cfRule type="duplicateValues" dxfId="1689" priority="2158"/>
    <cfRule type="duplicateValues" dxfId="1688" priority="2159"/>
    <cfRule type="duplicateValues" dxfId="1687" priority="2160"/>
    <cfRule type="duplicateValues" dxfId="1686" priority="2161"/>
    <cfRule type="duplicateValues" dxfId="1685" priority="2162"/>
    <cfRule type="duplicateValues" dxfId="1684" priority="2163"/>
    <cfRule type="duplicateValues" dxfId="1683" priority="2164"/>
    <cfRule type="duplicateValues" dxfId="1682" priority="2165"/>
    <cfRule type="duplicateValues" dxfId="1681" priority="2166"/>
    <cfRule type="duplicateValues" dxfId="1680" priority="2167"/>
    <cfRule type="duplicateValues" dxfId="1679" priority="2168"/>
    <cfRule type="duplicateValues" dxfId="1678" priority="2169"/>
  </conditionalFormatting>
  <conditionalFormatting sqref="B116:B118">
    <cfRule type="duplicateValues" dxfId="1677" priority="1970"/>
    <cfRule type="duplicateValues" dxfId="1676" priority="2099"/>
    <cfRule type="duplicateValues" dxfId="1675" priority="2098"/>
    <cfRule type="duplicateValues" dxfId="1674" priority="2097"/>
    <cfRule type="duplicateValues" dxfId="1673" priority="2096"/>
    <cfRule type="duplicateValues" dxfId="1672" priority="2095"/>
    <cfRule type="duplicateValues" dxfId="1671" priority="2094"/>
    <cfRule type="duplicateValues" dxfId="1670" priority="2093"/>
    <cfRule type="duplicateValues" dxfId="1669" priority="2092"/>
    <cfRule type="duplicateValues" dxfId="1668" priority="2091"/>
    <cfRule type="duplicateValues" dxfId="1667" priority="2090"/>
    <cfRule type="duplicateValues" dxfId="1666" priority="2089"/>
    <cfRule type="duplicateValues" dxfId="1665" priority="2088"/>
    <cfRule type="duplicateValues" dxfId="1664" priority="2087"/>
    <cfRule type="duplicateValues" dxfId="1663" priority="2086"/>
    <cfRule type="duplicateValues" dxfId="1662" priority="2085"/>
    <cfRule type="duplicateValues" dxfId="1661" priority="2084"/>
    <cfRule type="duplicateValues" dxfId="1660" priority="2083"/>
    <cfRule type="duplicateValues" dxfId="1659" priority="2082"/>
    <cfRule type="duplicateValues" dxfId="1658" priority="2081"/>
    <cfRule type="duplicateValues" dxfId="1657" priority="2080"/>
    <cfRule type="duplicateValues" dxfId="1656" priority="2079"/>
    <cfRule type="duplicateValues" dxfId="1655" priority="2078"/>
    <cfRule type="duplicateValues" dxfId="1654" priority="2077"/>
    <cfRule type="duplicateValues" dxfId="1653" priority="2076"/>
    <cfRule type="duplicateValues" dxfId="1652" priority="2075"/>
    <cfRule type="duplicateValues" dxfId="1651" priority="2074"/>
    <cfRule type="duplicateValues" dxfId="1650" priority="2073"/>
    <cfRule type="duplicateValues" dxfId="1649" priority="2072"/>
    <cfRule type="duplicateValues" dxfId="1648" priority="2071"/>
    <cfRule type="duplicateValues" dxfId="1647" priority="2070"/>
    <cfRule type="duplicateValues" dxfId="1646" priority="2069"/>
    <cfRule type="duplicateValues" dxfId="1645" priority="2068"/>
    <cfRule type="duplicateValues" dxfId="1644" priority="2067"/>
    <cfRule type="duplicateValues" dxfId="1643" priority="2066"/>
    <cfRule type="duplicateValues" dxfId="1642" priority="2065"/>
    <cfRule type="duplicateValues" dxfId="1641" priority="2064"/>
    <cfRule type="duplicateValues" dxfId="1640" priority="2063"/>
    <cfRule type="duplicateValues" dxfId="1639" priority="2062"/>
    <cfRule type="duplicateValues" dxfId="1638" priority="2061"/>
    <cfRule type="duplicateValues" dxfId="1637" priority="2060"/>
    <cfRule type="duplicateValues" dxfId="1636" priority="2059"/>
    <cfRule type="duplicateValues" dxfId="1635" priority="2058"/>
    <cfRule type="duplicateValues" dxfId="1634" priority="2057"/>
    <cfRule type="duplicateValues" dxfId="1633" priority="2056"/>
    <cfRule type="duplicateValues" dxfId="1632" priority="1994"/>
    <cfRule type="duplicateValues" dxfId="1631" priority="1995"/>
    <cfRule type="duplicateValues" dxfId="1630" priority="1996"/>
    <cfRule type="duplicateValues" dxfId="1629" priority="1997"/>
    <cfRule type="duplicateValues" dxfId="1628" priority="1998"/>
    <cfRule type="duplicateValues" dxfId="1627" priority="1999"/>
    <cfRule type="duplicateValues" dxfId="1626" priority="2000"/>
    <cfRule type="duplicateValues" dxfId="1625" priority="2001"/>
    <cfRule type="duplicateValues" dxfId="1624" priority="2002"/>
    <cfRule type="duplicateValues" dxfId="1623" priority="2003"/>
    <cfRule type="duplicateValues" dxfId="1622" priority="2004"/>
    <cfRule type="duplicateValues" dxfId="1621" priority="2005"/>
    <cfRule type="duplicateValues" dxfId="1620" priority="2006"/>
    <cfRule type="duplicateValues" dxfId="1619" priority="2007"/>
    <cfRule type="duplicateValues" dxfId="1618" priority="2008"/>
    <cfRule type="duplicateValues" dxfId="1617" priority="2009"/>
    <cfRule type="duplicateValues" dxfId="1616" priority="2010"/>
    <cfRule type="duplicateValues" dxfId="1615" priority="2011"/>
    <cfRule type="duplicateValues" dxfId="1614" priority="2012"/>
    <cfRule type="duplicateValues" dxfId="1613" priority="2013"/>
    <cfRule type="duplicateValues" dxfId="1612" priority="2014"/>
    <cfRule type="duplicateValues" dxfId="1611" priority="2015"/>
    <cfRule type="duplicateValues" dxfId="1610" priority="2016"/>
    <cfRule type="duplicateValues" dxfId="1609" priority="2017"/>
    <cfRule type="duplicateValues" dxfId="1608" priority="2018"/>
    <cfRule type="duplicateValues" dxfId="1607" priority="2019"/>
    <cfRule type="duplicateValues" dxfId="1606" priority="2020"/>
    <cfRule type="duplicateValues" dxfId="1605" priority="2021"/>
    <cfRule type="duplicateValues" dxfId="1604" priority="2022"/>
    <cfRule type="duplicateValues" dxfId="1603" priority="2023"/>
    <cfRule type="duplicateValues" dxfId="1602" priority="2024"/>
    <cfRule type="duplicateValues" dxfId="1601" priority="2025"/>
    <cfRule type="duplicateValues" dxfId="1600" priority="2026"/>
    <cfRule type="duplicateValues" dxfId="1599" priority="2027"/>
    <cfRule type="duplicateValues" dxfId="1598" priority="2028"/>
    <cfRule type="duplicateValues" dxfId="1597" priority="2029"/>
    <cfRule type="duplicateValues" dxfId="1596" priority="2030"/>
    <cfRule type="duplicateValues" dxfId="1595" priority="1974"/>
    <cfRule type="duplicateValues" dxfId="1594" priority="2031"/>
    <cfRule type="duplicateValues" dxfId="1593" priority="2032"/>
    <cfRule type="duplicateValues" dxfId="1592" priority="2033"/>
    <cfRule type="duplicateValues" dxfId="1591" priority="2034"/>
    <cfRule type="duplicateValues" dxfId="1590" priority="2035"/>
    <cfRule type="duplicateValues" dxfId="1589" priority="2055"/>
    <cfRule type="duplicateValues" dxfId="1588" priority="2036"/>
    <cfRule type="duplicateValues" dxfId="1587" priority="2037"/>
    <cfRule type="duplicateValues" dxfId="1586" priority="2038"/>
    <cfRule type="duplicateValues" dxfId="1585" priority="2039"/>
    <cfRule type="duplicateValues" dxfId="1584" priority="2040"/>
    <cfRule type="duplicateValues" dxfId="1583" priority="2041"/>
    <cfRule type="duplicateValues" dxfId="1582" priority="2042"/>
    <cfRule type="duplicateValues" dxfId="1581" priority="2043"/>
    <cfRule type="duplicateValues" dxfId="1580" priority="2044"/>
    <cfRule type="duplicateValues" dxfId="1579" priority="2045"/>
    <cfRule type="duplicateValues" dxfId="1578" priority="2046"/>
    <cfRule type="duplicateValues" dxfId="1577" priority="2047"/>
    <cfRule type="duplicateValues" dxfId="1576" priority="2048"/>
    <cfRule type="duplicateValues" dxfId="1575" priority="2049"/>
    <cfRule type="duplicateValues" dxfId="1574" priority="2050"/>
    <cfRule type="duplicateValues" dxfId="1573" priority="2051"/>
    <cfRule type="duplicateValues" dxfId="1572" priority="2052"/>
    <cfRule type="duplicateValues" dxfId="1571" priority="2053"/>
    <cfRule type="duplicateValues" dxfId="1570" priority="2054"/>
    <cfRule type="duplicateValues" dxfId="1569" priority="1931"/>
    <cfRule type="duplicateValues" dxfId="1568" priority="2117"/>
    <cfRule type="duplicateValues" dxfId="1567" priority="2116"/>
    <cfRule type="duplicateValues" dxfId="1566" priority="2115"/>
    <cfRule type="duplicateValues" dxfId="1565" priority="2114"/>
    <cfRule type="duplicateValues" dxfId="1564" priority="2113"/>
    <cfRule type="duplicateValues" dxfId="1563" priority="2112"/>
    <cfRule type="duplicateValues" dxfId="1562" priority="2111"/>
    <cfRule type="duplicateValues" dxfId="1561" priority="2110"/>
    <cfRule type="duplicateValues" dxfId="1560" priority="2109"/>
    <cfRule type="duplicateValues" dxfId="1559" priority="2108"/>
    <cfRule type="duplicateValues" dxfId="1558" priority="2107"/>
    <cfRule type="duplicateValues" dxfId="1557" priority="2106"/>
    <cfRule type="duplicateValues" dxfId="1556" priority="2105"/>
    <cfRule type="duplicateValues" dxfId="1555" priority="2104"/>
    <cfRule type="duplicateValues" dxfId="1554" priority="2103"/>
    <cfRule type="duplicateValues" dxfId="1553" priority="2102"/>
    <cfRule type="duplicateValues" dxfId="1552" priority="2101"/>
    <cfRule type="duplicateValues" dxfId="1551" priority="2100"/>
    <cfRule type="duplicateValues" dxfId="1550" priority="1915"/>
    <cfRule type="duplicateValues" dxfId="1549" priority="1916"/>
    <cfRule type="duplicateValues" dxfId="1548" priority="1917"/>
    <cfRule type="duplicateValues" dxfId="1547" priority="1918"/>
    <cfRule type="duplicateValues" dxfId="1546" priority="1919"/>
    <cfRule type="duplicateValues" dxfId="1545" priority="1920"/>
    <cfRule type="duplicateValues" dxfId="1544" priority="1921"/>
    <cfRule type="duplicateValues" dxfId="1543" priority="1922"/>
    <cfRule type="duplicateValues" dxfId="1542" priority="1923"/>
    <cfRule type="duplicateValues" dxfId="1541" priority="1924"/>
    <cfRule type="duplicateValues" dxfId="1540" priority="1925"/>
    <cfRule type="duplicateValues" dxfId="1539" priority="1926"/>
    <cfRule type="duplicateValues" dxfId="1538" priority="1927"/>
    <cfRule type="duplicateValues" dxfId="1537" priority="1928"/>
    <cfRule type="duplicateValues" dxfId="1536" priority="1929"/>
    <cfRule type="duplicateValues" dxfId="1535" priority="1930"/>
    <cfRule type="duplicateValues" dxfId="1534" priority="1964"/>
    <cfRule type="duplicateValues" dxfId="1533" priority="1932"/>
    <cfRule type="duplicateValues" dxfId="1532" priority="1933"/>
    <cfRule type="duplicateValues" dxfId="1531" priority="1934"/>
    <cfRule type="duplicateValues" dxfId="1530" priority="1935"/>
    <cfRule type="duplicateValues" dxfId="1529" priority="1936"/>
    <cfRule type="duplicateValues" dxfId="1528" priority="1937"/>
    <cfRule type="duplicateValues" dxfId="1527" priority="1938"/>
    <cfRule type="duplicateValues" dxfId="1526" priority="1939"/>
    <cfRule type="duplicateValues" dxfId="1525" priority="1940"/>
    <cfRule type="duplicateValues" dxfId="1524" priority="1941"/>
    <cfRule type="duplicateValues" dxfId="1523" priority="1942"/>
    <cfRule type="duplicateValues" dxfId="1522" priority="1943"/>
    <cfRule type="duplicateValues" dxfId="1521" priority="1944"/>
    <cfRule type="duplicateValues" dxfId="1520" priority="1945"/>
    <cfRule type="duplicateValues" dxfId="1519" priority="1946"/>
    <cfRule type="duplicateValues" dxfId="1518" priority="1947"/>
    <cfRule type="duplicateValues" dxfId="1517" priority="1948"/>
    <cfRule type="duplicateValues" dxfId="1516" priority="1949"/>
    <cfRule type="duplicateValues" dxfId="1515" priority="1950"/>
    <cfRule type="duplicateValues" dxfId="1514" priority="1951"/>
    <cfRule type="duplicateValues" dxfId="1513" priority="1952"/>
    <cfRule type="duplicateValues" dxfId="1512" priority="1953"/>
    <cfRule type="duplicateValues" dxfId="1511" priority="1954"/>
    <cfRule type="duplicateValues" dxfId="1510" priority="1955"/>
    <cfRule type="duplicateValues" dxfId="1509" priority="1956"/>
    <cfRule type="duplicateValues" dxfId="1508" priority="1957"/>
    <cfRule type="duplicateValues" dxfId="1507" priority="1958"/>
    <cfRule type="duplicateValues" dxfId="1506" priority="1959"/>
    <cfRule type="duplicateValues" dxfId="1505" priority="1960"/>
    <cfRule type="duplicateValues" dxfId="1504" priority="1961"/>
    <cfRule type="duplicateValues" dxfId="1503" priority="1962"/>
    <cfRule type="duplicateValues" dxfId="1502" priority="1963"/>
    <cfRule type="duplicateValues" dxfId="1501" priority="1965"/>
    <cfRule type="duplicateValues" dxfId="1500" priority="1966"/>
    <cfRule type="duplicateValues" dxfId="1499" priority="1967"/>
    <cfRule type="duplicateValues" dxfId="1498" priority="1968"/>
    <cfRule type="duplicateValues" dxfId="1497" priority="1969"/>
    <cfRule type="duplicateValues" dxfId="1496" priority="1971"/>
    <cfRule type="duplicateValues" dxfId="1495" priority="1972"/>
    <cfRule type="duplicateValues" dxfId="1494" priority="1973"/>
    <cfRule type="duplicateValues" dxfId="1493" priority="1975"/>
    <cfRule type="duplicateValues" dxfId="1492" priority="1976"/>
    <cfRule type="duplicateValues" dxfId="1491" priority="1977"/>
    <cfRule type="duplicateValues" dxfId="1490" priority="1978"/>
    <cfRule type="duplicateValues" dxfId="1489" priority="1979"/>
    <cfRule type="duplicateValues" dxfId="1488" priority="1980"/>
    <cfRule type="duplicateValues" dxfId="1487" priority="1981"/>
    <cfRule type="duplicateValues" dxfId="1486" priority="1982"/>
    <cfRule type="duplicateValues" dxfId="1485" priority="1983"/>
    <cfRule type="duplicateValues" dxfId="1484" priority="1984"/>
    <cfRule type="duplicateValues" dxfId="1483" priority="1985"/>
    <cfRule type="duplicateValues" dxfId="1482" priority="1986"/>
    <cfRule type="duplicateValues" dxfId="1481" priority="1987"/>
    <cfRule type="duplicateValues" dxfId="1480" priority="1988"/>
    <cfRule type="duplicateValues" dxfId="1479" priority="1989"/>
    <cfRule type="duplicateValues" dxfId="1478" priority="1990"/>
    <cfRule type="duplicateValues" dxfId="1477" priority="1991"/>
    <cfRule type="duplicateValues" dxfId="1476" priority="1992"/>
    <cfRule type="duplicateValues" dxfId="1475" priority="1993"/>
  </conditionalFormatting>
  <conditionalFormatting sqref="B119">
    <cfRule type="duplicateValues" dxfId="1474" priority="1834"/>
    <cfRule type="duplicateValues" dxfId="1473" priority="1835"/>
    <cfRule type="duplicateValues" dxfId="1472" priority="1836"/>
    <cfRule type="duplicateValues" dxfId="1471" priority="1837"/>
    <cfRule type="duplicateValues" dxfId="1470" priority="1838"/>
    <cfRule type="duplicateValues" dxfId="1469" priority="1839"/>
    <cfRule type="duplicateValues" dxfId="1468" priority="1840"/>
    <cfRule type="duplicateValues" dxfId="1467" priority="1841"/>
    <cfRule type="duplicateValues" dxfId="1466" priority="1842"/>
    <cfRule type="duplicateValues" dxfId="1465" priority="1843"/>
    <cfRule type="duplicateValues" dxfId="1464" priority="1844"/>
    <cfRule type="duplicateValues" dxfId="1463" priority="1845"/>
    <cfRule type="duplicateValues" dxfId="1462" priority="1846"/>
    <cfRule type="duplicateValues" dxfId="1461" priority="1847"/>
    <cfRule type="duplicateValues" dxfId="1460" priority="1848"/>
    <cfRule type="duplicateValues" dxfId="1459" priority="1849"/>
    <cfRule type="duplicateValues" dxfId="1458" priority="1850"/>
    <cfRule type="duplicateValues" dxfId="1457" priority="1851"/>
    <cfRule type="duplicateValues" dxfId="1456" priority="1852"/>
    <cfRule type="duplicateValues" dxfId="1455" priority="1853"/>
    <cfRule type="duplicateValues" dxfId="1454" priority="1854"/>
    <cfRule type="duplicateValues" dxfId="1453" priority="1855"/>
    <cfRule type="duplicateValues" dxfId="1452" priority="1856"/>
    <cfRule type="duplicateValues" dxfId="1451" priority="1857"/>
    <cfRule type="duplicateValues" dxfId="1450" priority="1858"/>
    <cfRule type="duplicateValues" dxfId="1449" priority="1859"/>
    <cfRule type="duplicateValues" dxfId="1448" priority="1860"/>
    <cfRule type="duplicateValues" dxfId="1447" priority="1861"/>
    <cfRule type="duplicateValues" dxfId="1446" priority="1862"/>
    <cfRule type="duplicateValues" dxfId="1445" priority="1863"/>
    <cfRule type="duplicateValues" dxfId="1444" priority="1864"/>
    <cfRule type="duplicateValues" dxfId="1443" priority="1865"/>
    <cfRule type="duplicateValues" dxfId="1442" priority="1866"/>
    <cfRule type="duplicateValues" dxfId="1441" priority="1867"/>
    <cfRule type="duplicateValues" dxfId="1440" priority="1868"/>
    <cfRule type="duplicateValues" dxfId="1439" priority="1869"/>
    <cfRule type="duplicateValues" dxfId="1438" priority="1870"/>
    <cfRule type="duplicateValues" dxfId="1437" priority="1871"/>
    <cfRule type="duplicateValues" dxfId="1436" priority="1872"/>
    <cfRule type="duplicateValues" dxfId="1435" priority="1873"/>
    <cfRule type="duplicateValues" dxfId="1434" priority="1874"/>
    <cfRule type="duplicateValues" dxfId="1433" priority="1875"/>
    <cfRule type="duplicateValues" dxfId="1432" priority="1876"/>
    <cfRule type="duplicateValues" dxfId="1431" priority="1877"/>
    <cfRule type="duplicateValues" dxfId="1430" priority="1878"/>
    <cfRule type="duplicateValues" dxfId="1429" priority="1879"/>
    <cfRule type="duplicateValues" dxfId="1428" priority="1880"/>
    <cfRule type="duplicateValues" dxfId="1427" priority="1881"/>
    <cfRule type="duplicateValues" dxfId="1426" priority="1882"/>
    <cfRule type="duplicateValues" dxfId="1425" priority="1883"/>
    <cfRule type="duplicateValues" dxfId="1424" priority="1884"/>
    <cfRule type="duplicateValues" dxfId="1423" priority="1885"/>
    <cfRule type="duplicateValues" dxfId="1422" priority="1886"/>
    <cfRule type="duplicateValues" dxfId="1421" priority="1887"/>
    <cfRule type="duplicateValues" dxfId="1420" priority="1888"/>
    <cfRule type="duplicateValues" dxfId="1419" priority="1889"/>
    <cfRule type="duplicateValues" dxfId="1418" priority="1890"/>
    <cfRule type="duplicateValues" dxfId="1417" priority="1891"/>
    <cfRule type="duplicateValues" dxfId="1416" priority="1892"/>
    <cfRule type="duplicateValues" dxfId="1415" priority="1893"/>
    <cfRule type="duplicateValues" dxfId="1414" priority="1894"/>
    <cfRule type="duplicateValues" dxfId="1413" priority="1895"/>
    <cfRule type="duplicateValues" dxfId="1412" priority="1897"/>
    <cfRule type="duplicateValues" dxfId="1411" priority="1898"/>
    <cfRule type="duplicateValues" dxfId="1410" priority="1899"/>
    <cfRule type="duplicateValues" dxfId="1409" priority="1900"/>
    <cfRule type="duplicateValues" dxfId="1408" priority="1901"/>
    <cfRule type="duplicateValues" dxfId="1407" priority="1902"/>
    <cfRule type="duplicateValues" dxfId="1406" priority="1903"/>
    <cfRule type="duplicateValues" dxfId="1405" priority="1904"/>
    <cfRule type="duplicateValues" dxfId="1404" priority="1905"/>
    <cfRule type="duplicateValues" dxfId="1403" priority="1906"/>
    <cfRule type="duplicateValues" dxfId="1402" priority="1907"/>
    <cfRule type="duplicateValues" dxfId="1401" priority="1908"/>
    <cfRule type="duplicateValues" dxfId="1400" priority="1909"/>
    <cfRule type="duplicateValues" dxfId="1399" priority="1910"/>
    <cfRule type="duplicateValues" dxfId="1398" priority="1911"/>
    <cfRule type="duplicateValues" dxfId="1397" priority="1912"/>
    <cfRule type="duplicateValues" dxfId="1396" priority="1913"/>
    <cfRule type="duplicateValues" dxfId="1395" priority="1914"/>
    <cfRule type="duplicateValues" dxfId="1394" priority="1896"/>
  </conditionalFormatting>
  <conditionalFormatting sqref="B119:B122 B80:B81 B83:B113 B72:B76 B1:B45 B124:B180">
    <cfRule type="duplicateValues" dxfId="1393" priority="3578"/>
  </conditionalFormatting>
  <conditionalFormatting sqref="B119:B122 B80:B81 B83:B113 B72:B76 B1:B55 B124:B180">
    <cfRule type="duplicateValues" dxfId="1392" priority="3579"/>
  </conditionalFormatting>
  <conditionalFormatting sqref="B120">
    <cfRule type="duplicateValues" dxfId="1391" priority="1741"/>
    <cfRule type="duplicateValues" dxfId="1390" priority="1740"/>
    <cfRule type="duplicateValues" dxfId="1389" priority="1739"/>
    <cfRule type="duplicateValues" dxfId="1388" priority="1738"/>
    <cfRule type="duplicateValues" dxfId="1387" priority="1737"/>
    <cfRule type="duplicateValues" dxfId="1386" priority="1736"/>
    <cfRule type="duplicateValues" dxfId="1385" priority="1735"/>
    <cfRule type="duplicateValues" dxfId="1384" priority="1734"/>
    <cfRule type="duplicateValues" dxfId="1383" priority="1733"/>
    <cfRule type="duplicateValues" dxfId="1382" priority="1732"/>
    <cfRule type="duplicateValues" dxfId="1381" priority="1731"/>
    <cfRule type="duplicateValues" dxfId="1380" priority="1730"/>
    <cfRule type="duplicateValues" dxfId="1379" priority="1729"/>
    <cfRule type="duplicateValues" dxfId="1378" priority="1728"/>
    <cfRule type="duplicateValues" dxfId="1377" priority="1727"/>
    <cfRule type="duplicateValues" dxfId="1376" priority="1726"/>
    <cfRule type="duplicateValues" dxfId="1375" priority="1725"/>
    <cfRule type="duplicateValues" dxfId="1374" priority="1724"/>
    <cfRule type="duplicateValues" dxfId="1373" priority="1723"/>
    <cfRule type="duplicateValues" dxfId="1372" priority="1722"/>
    <cfRule type="duplicateValues" dxfId="1371" priority="1721"/>
    <cfRule type="duplicateValues" dxfId="1370" priority="1720"/>
    <cfRule type="duplicateValues" dxfId="1369" priority="1719"/>
    <cfRule type="duplicateValues" dxfId="1368" priority="1718"/>
    <cfRule type="duplicateValues" dxfId="1367" priority="1717"/>
    <cfRule type="duplicateValues" dxfId="1366" priority="1716"/>
    <cfRule type="duplicateValues" dxfId="1365" priority="1715"/>
    <cfRule type="duplicateValues" dxfId="1364" priority="1714"/>
    <cfRule type="duplicateValues" dxfId="1363" priority="1713"/>
    <cfRule type="duplicateValues" dxfId="1362" priority="1712"/>
    <cfRule type="duplicateValues" dxfId="1361" priority="1711"/>
    <cfRule type="duplicateValues" dxfId="1360" priority="1710"/>
    <cfRule type="duplicateValues" dxfId="1359" priority="1753"/>
    <cfRule type="duplicateValues" dxfId="1358" priority="1752"/>
    <cfRule type="duplicateValues" dxfId="1357" priority="1751"/>
    <cfRule type="duplicateValues" dxfId="1356" priority="1750"/>
    <cfRule type="duplicateValues" dxfId="1355" priority="1749"/>
    <cfRule type="duplicateValues" dxfId="1354" priority="1748"/>
    <cfRule type="duplicateValues" dxfId="1353" priority="1747"/>
    <cfRule type="duplicateValues" dxfId="1352" priority="1746"/>
    <cfRule type="duplicateValues" dxfId="1351" priority="1745"/>
    <cfRule type="duplicateValues" dxfId="1350" priority="1744"/>
    <cfRule type="duplicateValues" dxfId="1349" priority="1743"/>
    <cfRule type="duplicateValues" dxfId="1348" priority="1742"/>
    <cfRule type="duplicateValues" dxfId="1347" priority="1815"/>
    <cfRule type="duplicateValues" dxfId="1346" priority="1830"/>
    <cfRule type="duplicateValues" dxfId="1345" priority="1829"/>
    <cfRule type="duplicateValues" dxfId="1344" priority="1828"/>
    <cfRule type="duplicateValues" dxfId="1343" priority="1827"/>
    <cfRule type="duplicateValues" dxfId="1342" priority="1826"/>
    <cfRule type="duplicateValues" dxfId="1341" priority="1765"/>
    <cfRule type="duplicateValues" dxfId="1340" priority="1825"/>
    <cfRule type="duplicateValues" dxfId="1339" priority="1824"/>
    <cfRule type="duplicateValues" dxfId="1338" priority="1823"/>
    <cfRule type="duplicateValues" dxfId="1337" priority="1822"/>
    <cfRule type="duplicateValues" dxfId="1336" priority="1821"/>
    <cfRule type="duplicateValues" dxfId="1335" priority="1820"/>
    <cfRule type="duplicateValues" dxfId="1334" priority="1819"/>
    <cfRule type="duplicateValues" dxfId="1333" priority="1818"/>
    <cfRule type="duplicateValues" dxfId="1332" priority="1817"/>
    <cfRule type="duplicateValues" dxfId="1331" priority="1816"/>
    <cfRule type="duplicateValues" dxfId="1330" priority="1814"/>
    <cfRule type="duplicateValues" dxfId="1329" priority="1813"/>
    <cfRule type="duplicateValues" dxfId="1328" priority="1812"/>
    <cfRule type="duplicateValues" dxfId="1327" priority="1811"/>
    <cfRule type="duplicateValues" dxfId="1326" priority="1810"/>
    <cfRule type="duplicateValues" dxfId="1325" priority="1809"/>
    <cfRule type="duplicateValues" dxfId="1324" priority="1808"/>
    <cfRule type="duplicateValues" dxfId="1323" priority="1807"/>
    <cfRule type="duplicateValues" dxfId="1322" priority="1806"/>
    <cfRule type="duplicateValues" dxfId="1321" priority="1805"/>
    <cfRule type="duplicateValues" dxfId="1320" priority="1804"/>
    <cfRule type="duplicateValues" dxfId="1319" priority="1803"/>
    <cfRule type="duplicateValues" dxfId="1318" priority="1802"/>
    <cfRule type="duplicateValues" dxfId="1317" priority="1801"/>
    <cfRule type="duplicateValues" dxfId="1316" priority="1800"/>
    <cfRule type="duplicateValues" dxfId="1315" priority="1799"/>
    <cfRule type="duplicateValues" dxfId="1314" priority="1798"/>
    <cfRule type="duplicateValues" dxfId="1313" priority="1797"/>
    <cfRule type="duplicateValues" dxfId="1312" priority="1796"/>
    <cfRule type="duplicateValues" dxfId="1311" priority="1795"/>
    <cfRule type="duplicateValues" dxfId="1310" priority="1794"/>
    <cfRule type="duplicateValues" dxfId="1309" priority="1793"/>
    <cfRule type="duplicateValues" dxfId="1308" priority="1792"/>
    <cfRule type="duplicateValues" dxfId="1307" priority="1791"/>
    <cfRule type="duplicateValues" dxfId="1306" priority="1790"/>
    <cfRule type="duplicateValues" dxfId="1305" priority="1789"/>
    <cfRule type="duplicateValues" dxfId="1304" priority="1788"/>
    <cfRule type="duplicateValues" dxfId="1303" priority="1787"/>
    <cfRule type="duplicateValues" dxfId="1302" priority="1786"/>
    <cfRule type="duplicateValues" dxfId="1301" priority="1785"/>
    <cfRule type="duplicateValues" dxfId="1300" priority="1784"/>
    <cfRule type="duplicateValues" dxfId="1299" priority="1783"/>
    <cfRule type="duplicateValues" dxfId="1298" priority="1782"/>
    <cfRule type="duplicateValues" dxfId="1297" priority="1781"/>
    <cfRule type="duplicateValues" dxfId="1296" priority="1780"/>
    <cfRule type="duplicateValues" dxfId="1295" priority="1779"/>
    <cfRule type="duplicateValues" dxfId="1294" priority="1778"/>
    <cfRule type="duplicateValues" dxfId="1293" priority="1777"/>
    <cfRule type="duplicateValues" dxfId="1292" priority="1776"/>
    <cfRule type="duplicateValues" dxfId="1291" priority="1775"/>
    <cfRule type="duplicateValues" dxfId="1290" priority="1774"/>
    <cfRule type="duplicateValues" dxfId="1289" priority="1773"/>
    <cfRule type="duplicateValues" dxfId="1288" priority="1772"/>
    <cfRule type="duplicateValues" dxfId="1287" priority="1771"/>
    <cfRule type="duplicateValues" dxfId="1286" priority="1770"/>
    <cfRule type="duplicateValues" dxfId="1285" priority="1769"/>
    <cfRule type="duplicateValues" dxfId="1284" priority="1768"/>
    <cfRule type="duplicateValues" dxfId="1283" priority="1767"/>
    <cfRule type="duplicateValues" dxfId="1282" priority="1766"/>
    <cfRule type="duplicateValues" dxfId="1281" priority="1764"/>
    <cfRule type="duplicateValues" dxfId="1280" priority="1763"/>
    <cfRule type="duplicateValues" dxfId="1279" priority="1762"/>
    <cfRule type="duplicateValues" dxfId="1278" priority="1761"/>
    <cfRule type="duplicateValues" dxfId="1277" priority="1760"/>
    <cfRule type="duplicateValues" dxfId="1276" priority="1759"/>
    <cfRule type="duplicateValues" dxfId="1275" priority="1758"/>
    <cfRule type="duplicateValues" dxfId="1274" priority="1757"/>
    <cfRule type="duplicateValues" dxfId="1273" priority="1756"/>
    <cfRule type="duplicateValues" dxfId="1272" priority="1755"/>
    <cfRule type="duplicateValues" dxfId="1271" priority="1754"/>
  </conditionalFormatting>
  <conditionalFormatting sqref="B121">
    <cfRule type="duplicateValues" dxfId="1270" priority="1566"/>
    <cfRule type="duplicateValues" dxfId="1269" priority="1567"/>
    <cfRule type="duplicateValues" dxfId="1268" priority="1568"/>
    <cfRule type="duplicateValues" dxfId="1267" priority="1706"/>
    <cfRule type="duplicateValues" dxfId="1266" priority="1705"/>
    <cfRule type="duplicateValues" dxfId="1265" priority="1704"/>
    <cfRule type="duplicateValues" dxfId="1264" priority="1703"/>
    <cfRule type="duplicateValues" dxfId="1263" priority="1702"/>
    <cfRule type="duplicateValues" dxfId="1262" priority="1701"/>
    <cfRule type="duplicateValues" dxfId="1261" priority="1700"/>
    <cfRule type="duplicateValues" dxfId="1260" priority="1699"/>
    <cfRule type="duplicateValues" dxfId="1259" priority="1698"/>
    <cfRule type="duplicateValues" dxfId="1258" priority="1561"/>
    <cfRule type="duplicateValues" dxfId="1257" priority="1562"/>
    <cfRule type="duplicateValues" dxfId="1256" priority="1572"/>
    <cfRule type="duplicateValues" dxfId="1255" priority="1563"/>
    <cfRule type="duplicateValues" dxfId="1254" priority="1564"/>
    <cfRule type="duplicateValues" dxfId="1253" priority="1565"/>
    <cfRule type="duplicateValues" dxfId="1252" priority="1546"/>
    <cfRule type="duplicateValues" dxfId="1251" priority="1573"/>
    <cfRule type="duplicateValues" dxfId="1250" priority="1574"/>
    <cfRule type="duplicateValues" dxfId="1249" priority="1575"/>
    <cfRule type="duplicateValues" dxfId="1248" priority="1576"/>
    <cfRule type="duplicateValues" dxfId="1247" priority="1577"/>
    <cfRule type="duplicateValues" dxfId="1246" priority="1578"/>
    <cfRule type="duplicateValues" dxfId="1245" priority="1547"/>
    <cfRule type="duplicateValues" dxfId="1244" priority="1548"/>
    <cfRule type="duplicateValues" dxfId="1243" priority="1549"/>
    <cfRule type="duplicateValues" dxfId="1242" priority="1579"/>
    <cfRule type="duplicateValues" dxfId="1241" priority="1580"/>
    <cfRule type="duplicateValues" dxfId="1240" priority="1581"/>
    <cfRule type="duplicateValues" dxfId="1239" priority="1582"/>
    <cfRule type="duplicateValues" dxfId="1238" priority="1583"/>
    <cfRule type="duplicateValues" dxfId="1237" priority="1584"/>
    <cfRule type="duplicateValues" dxfId="1236" priority="1585"/>
    <cfRule type="duplicateValues" dxfId="1235" priority="1586"/>
    <cfRule type="duplicateValues" dxfId="1234" priority="1587"/>
    <cfRule type="duplicateValues" dxfId="1233" priority="1588"/>
    <cfRule type="duplicateValues" dxfId="1232" priority="1589"/>
    <cfRule type="duplicateValues" dxfId="1231" priority="1590"/>
    <cfRule type="duplicateValues" dxfId="1230" priority="1591"/>
    <cfRule type="duplicateValues" dxfId="1229" priority="1592"/>
    <cfRule type="duplicateValues" dxfId="1228" priority="1593"/>
    <cfRule type="duplicateValues" dxfId="1227" priority="1594"/>
    <cfRule type="duplicateValues" dxfId="1226" priority="1595"/>
    <cfRule type="duplicateValues" dxfId="1225" priority="1596"/>
    <cfRule type="duplicateValues" dxfId="1224" priority="1597"/>
    <cfRule type="duplicateValues" dxfId="1223" priority="1598"/>
    <cfRule type="duplicateValues" dxfId="1222" priority="1599"/>
    <cfRule type="duplicateValues" dxfId="1221" priority="1600"/>
    <cfRule type="duplicateValues" dxfId="1220" priority="1601"/>
    <cfRule type="duplicateValues" dxfId="1219" priority="1602"/>
    <cfRule type="duplicateValues" dxfId="1218" priority="1603"/>
    <cfRule type="duplicateValues" dxfId="1217" priority="1604"/>
    <cfRule type="duplicateValues" dxfId="1216" priority="1605"/>
    <cfRule type="duplicateValues" dxfId="1215" priority="1606"/>
    <cfRule type="duplicateValues" dxfId="1214" priority="1607"/>
    <cfRule type="duplicateValues" dxfId="1213" priority="1608"/>
    <cfRule type="duplicateValues" dxfId="1212" priority="1609"/>
    <cfRule type="duplicateValues" dxfId="1211" priority="1610"/>
    <cfRule type="duplicateValues" dxfId="1210" priority="1611"/>
    <cfRule type="duplicateValues" dxfId="1209" priority="1612"/>
    <cfRule type="duplicateValues" dxfId="1208" priority="1613"/>
    <cfRule type="duplicateValues" dxfId="1207" priority="1614"/>
    <cfRule type="duplicateValues" dxfId="1206" priority="1615"/>
    <cfRule type="duplicateValues" dxfId="1205" priority="1616"/>
    <cfRule type="duplicateValues" dxfId="1204" priority="1617"/>
    <cfRule type="duplicateValues" dxfId="1203" priority="1618"/>
    <cfRule type="duplicateValues" dxfId="1202" priority="1619"/>
    <cfRule type="duplicateValues" dxfId="1201" priority="1620"/>
    <cfRule type="duplicateValues" dxfId="1200" priority="1621"/>
    <cfRule type="duplicateValues" dxfId="1199" priority="1622"/>
    <cfRule type="duplicateValues" dxfId="1198" priority="1623"/>
    <cfRule type="duplicateValues" dxfId="1197" priority="1624"/>
    <cfRule type="duplicateValues" dxfId="1196" priority="1625"/>
    <cfRule type="duplicateValues" dxfId="1195" priority="1626"/>
    <cfRule type="duplicateValues" dxfId="1194" priority="1627"/>
    <cfRule type="duplicateValues" dxfId="1193" priority="1628"/>
    <cfRule type="duplicateValues" dxfId="1192" priority="1629"/>
    <cfRule type="duplicateValues" dxfId="1191" priority="1630"/>
    <cfRule type="duplicateValues" dxfId="1190" priority="1631"/>
    <cfRule type="duplicateValues" dxfId="1189" priority="1632"/>
    <cfRule type="duplicateValues" dxfId="1188" priority="1633"/>
    <cfRule type="duplicateValues" dxfId="1187" priority="1571"/>
    <cfRule type="duplicateValues" dxfId="1186" priority="1570"/>
    <cfRule type="duplicateValues" dxfId="1185" priority="1569"/>
    <cfRule type="duplicateValues" dxfId="1184" priority="1634"/>
    <cfRule type="duplicateValues" dxfId="1183" priority="1635"/>
    <cfRule type="duplicateValues" dxfId="1182" priority="1636"/>
    <cfRule type="duplicateValues" dxfId="1181" priority="1637"/>
    <cfRule type="duplicateValues" dxfId="1180" priority="1638"/>
    <cfRule type="duplicateValues" dxfId="1179" priority="1639"/>
    <cfRule type="duplicateValues" dxfId="1178" priority="1640"/>
    <cfRule type="duplicateValues" dxfId="1177" priority="1641"/>
    <cfRule type="duplicateValues" dxfId="1176" priority="1642"/>
    <cfRule type="duplicateValues" dxfId="1175" priority="1643"/>
    <cfRule type="duplicateValues" dxfId="1174" priority="1644"/>
    <cfRule type="duplicateValues" dxfId="1173" priority="1645"/>
    <cfRule type="duplicateValues" dxfId="1172" priority="1646"/>
    <cfRule type="duplicateValues" dxfId="1171" priority="1647"/>
    <cfRule type="duplicateValues" dxfId="1170" priority="1648"/>
    <cfRule type="duplicateValues" dxfId="1169" priority="1649"/>
    <cfRule type="duplicateValues" dxfId="1168" priority="1650"/>
    <cfRule type="duplicateValues" dxfId="1167" priority="1651"/>
    <cfRule type="duplicateValues" dxfId="1166" priority="1652"/>
    <cfRule type="duplicateValues" dxfId="1165" priority="1653"/>
    <cfRule type="duplicateValues" dxfId="1164" priority="1654"/>
    <cfRule type="duplicateValues" dxfId="1163" priority="1655"/>
    <cfRule type="duplicateValues" dxfId="1162" priority="1656"/>
    <cfRule type="duplicateValues" dxfId="1161" priority="1657"/>
    <cfRule type="duplicateValues" dxfId="1160" priority="1658"/>
    <cfRule type="duplicateValues" dxfId="1159" priority="1659"/>
    <cfRule type="duplicateValues" dxfId="1158" priority="1661"/>
    <cfRule type="duplicateValues" dxfId="1157" priority="1662"/>
    <cfRule type="duplicateValues" dxfId="1156" priority="1663"/>
    <cfRule type="duplicateValues" dxfId="1155" priority="1664"/>
    <cfRule type="duplicateValues" dxfId="1154" priority="1665"/>
    <cfRule type="duplicateValues" dxfId="1153" priority="1666"/>
    <cfRule type="duplicateValues" dxfId="1152" priority="1667"/>
    <cfRule type="duplicateValues" dxfId="1151" priority="1668"/>
    <cfRule type="duplicateValues" dxfId="1150" priority="1669"/>
    <cfRule type="duplicateValues" dxfId="1149" priority="1670"/>
    <cfRule type="duplicateValues" dxfId="1148" priority="1671"/>
    <cfRule type="duplicateValues" dxfId="1147" priority="1672"/>
    <cfRule type="duplicateValues" dxfId="1146" priority="1673"/>
    <cfRule type="duplicateValues" dxfId="1145" priority="1674"/>
    <cfRule type="duplicateValues" dxfId="1144" priority="1675"/>
    <cfRule type="duplicateValues" dxfId="1143" priority="1676"/>
    <cfRule type="duplicateValues" dxfId="1142" priority="1677"/>
    <cfRule type="duplicateValues" dxfId="1141" priority="1678"/>
    <cfRule type="duplicateValues" dxfId="1140" priority="1679"/>
    <cfRule type="duplicateValues" dxfId="1139" priority="1680"/>
    <cfRule type="duplicateValues" dxfId="1138" priority="1681"/>
    <cfRule type="duplicateValues" dxfId="1137" priority="1682"/>
    <cfRule type="duplicateValues" dxfId="1136" priority="1683"/>
    <cfRule type="duplicateValues" dxfId="1135" priority="1684"/>
    <cfRule type="duplicateValues" dxfId="1134" priority="1685"/>
    <cfRule type="duplicateValues" dxfId="1133" priority="1686"/>
    <cfRule type="duplicateValues" dxfId="1132" priority="1687"/>
    <cfRule type="duplicateValues" dxfId="1131" priority="1688"/>
    <cfRule type="duplicateValues" dxfId="1130" priority="1689"/>
    <cfRule type="duplicateValues" dxfId="1129" priority="1690"/>
    <cfRule type="duplicateValues" dxfId="1128" priority="1691"/>
    <cfRule type="duplicateValues" dxfId="1127" priority="1692"/>
    <cfRule type="duplicateValues" dxfId="1126" priority="1693"/>
    <cfRule type="duplicateValues" dxfId="1125" priority="1694"/>
    <cfRule type="duplicateValues" dxfId="1124" priority="1695"/>
    <cfRule type="duplicateValues" dxfId="1123" priority="1696"/>
    <cfRule type="duplicateValues" dxfId="1122" priority="1550"/>
    <cfRule type="duplicateValues" dxfId="1121" priority="1551"/>
    <cfRule type="duplicateValues" dxfId="1120" priority="1552"/>
    <cfRule type="duplicateValues" dxfId="1119" priority="1697"/>
    <cfRule type="duplicateValues" dxfId="1118" priority="1553"/>
    <cfRule type="duplicateValues" dxfId="1117" priority="1554"/>
    <cfRule type="duplicateValues" dxfId="1116" priority="1555"/>
    <cfRule type="duplicateValues" dxfId="1115" priority="1660"/>
    <cfRule type="duplicateValues" dxfId="1114" priority="1556"/>
    <cfRule type="duplicateValues" dxfId="1113" priority="1557"/>
    <cfRule type="duplicateValues" dxfId="1112" priority="1558"/>
    <cfRule type="duplicateValues" dxfId="1111" priority="1559"/>
    <cfRule type="duplicateValues" dxfId="1110" priority="1560"/>
  </conditionalFormatting>
  <conditionalFormatting sqref="B122">
    <cfRule type="duplicateValues" dxfId="1109" priority="1459"/>
    <cfRule type="duplicateValues" dxfId="1108" priority="1458"/>
    <cfRule type="duplicateValues" dxfId="1107" priority="1457"/>
    <cfRule type="duplicateValues" dxfId="1106" priority="1456"/>
    <cfRule type="duplicateValues" dxfId="1105" priority="1455"/>
    <cfRule type="duplicateValues" dxfId="1104" priority="1454"/>
    <cfRule type="duplicateValues" dxfId="1103" priority="1453"/>
    <cfRule type="duplicateValues" dxfId="1102" priority="1531"/>
    <cfRule type="duplicateValues" dxfId="1101" priority="1530"/>
    <cfRule type="duplicateValues" dxfId="1100" priority="1529"/>
    <cfRule type="duplicateValues" dxfId="1099" priority="1544"/>
    <cfRule type="duplicateValues" dxfId="1098" priority="1528"/>
    <cfRule type="duplicateValues" dxfId="1097" priority="1527"/>
    <cfRule type="duplicateValues" dxfId="1096" priority="1526"/>
    <cfRule type="duplicateValues" dxfId="1095" priority="1524"/>
    <cfRule type="duplicateValues" dxfId="1094" priority="1545"/>
    <cfRule type="duplicateValues" dxfId="1093" priority="1523"/>
    <cfRule type="duplicateValues" dxfId="1092" priority="1522"/>
    <cfRule type="duplicateValues" dxfId="1091" priority="1521"/>
    <cfRule type="duplicateValues" dxfId="1090" priority="1520"/>
    <cfRule type="duplicateValues" dxfId="1089" priority="1519"/>
    <cfRule type="duplicateValues" dxfId="1088" priority="1518"/>
    <cfRule type="duplicateValues" dxfId="1087" priority="1517"/>
    <cfRule type="duplicateValues" dxfId="1086" priority="1516"/>
    <cfRule type="duplicateValues" dxfId="1085" priority="1515"/>
    <cfRule type="duplicateValues" dxfId="1084" priority="1514"/>
    <cfRule type="duplicateValues" dxfId="1083" priority="1513"/>
    <cfRule type="duplicateValues" dxfId="1082" priority="1512"/>
    <cfRule type="duplicateValues" dxfId="1081" priority="1511"/>
    <cfRule type="duplicateValues" dxfId="1080" priority="1510"/>
    <cfRule type="duplicateValues" dxfId="1079" priority="1543"/>
    <cfRule type="duplicateValues" dxfId="1078" priority="1542"/>
    <cfRule type="duplicateValues" dxfId="1077" priority="1541"/>
    <cfRule type="duplicateValues" dxfId="1076" priority="1540"/>
    <cfRule type="duplicateValues" dxfId="1075" priority="1539"/>
    <cfRule type="duplicateValues" dxfId="1074" priority="1538"/>
    <cfRule type="duplicateValues" dxfId="1073" priority="1537"/>
    <cfRule type="duplicateValues" dxfId="1072" priority="1509"/>
    <cfRule type="duplicateValues" dxfId="1071" priority="1508"/>
    <cfRule type="duplicateValues" dxfId="1070" priority="1507"/>
    <cfRule type="duplicateValues" dxfId="1069" priority="1506"/>
    <cfRule type="duplicateValues" dxfId="1068" priority="1505"/>
    <cfRule type="duplicateValues" dxfId="1067" priority="1504"/>
    <cfRule type="duplicateValues" dxfId="1066" priority="1503"/>
    <cfRule type="duplicateValues" dxfId="1065" priority="1502"/>
    <cfRule type="duplicateValues" dxfId="1064" priority="1501"/>
    <cfRule type="duplicateValues" dxfId="1063" priority="1500"/>
    <cfRule type="duplicateValues" dxfId="1062" priority="1499"/>
    <cfRule type="duplicateValues" dxfId="1061" priority="1498"/>
    <cfRule type="duplicateValues" dxfId="1060" priority="1497"/>
    <cfRule type="duplicateValues" dxfId="1059" priority="1496"/>
    <cfRule type="duplicateValues" dxfId="1058" priority="1495"/>
    <cfRule type="duplicateValues" dxfId="1057" priority="1494"/>
    <cfRule type="duplicateValues" dxfId="1056" priority="1493"/>
    <cfRule type="duplicateValues" dxfId="1055" priority="1492"/>
    <cfRule type="duplicateValues" dxfId="1054" priority="1491"/>
    <cfRule type="duplicateValues" dxfId="1053" priority="1490"/>
    <cfRule type="duplicateValues" dxfId="1052" priority="1489"/>
    <cfRule type="duplicateValues" dxfId="1051" priority="1488"/>
    <cfRule type="duplicateValues" dxfId="1050" priority="1487"/>
    <cfRule type="duplicateValues" dxfId="1049" priority="1486"/>
    <cfRule type="duplicateValues" dxfId="1048" priority="1536"/>
    <cfRule type="duplicateValues" dxfId="1047" priority="1485"/>
    <cfRule type="duplicateValues" dxfId="1046" priority="1484"/>
    <cfRule type="duplicateValues" dxfId="1045" priority="1483"/>
    <cfRule type="duplicateValues" dxfId="1044" priority="1482"/>
    <cfRule type="duplicateValues" dxfId="1043" priority="1481"/>
    <cfRule type="duplicateValues" dxfId="1042" priority="1480"/>
    <cfRule type="duplicateValues" dxfId="1041" priority="1479"/>
    <cfRule type="duplicateValues" dxfId="1040" priority="1478"/>
    <cfRule type="duplicateValues" dxfId="1039" priority="1477"/>
    <cfRule type="duplicateValues" dxfId="1038" priority="1476"/>
    <cfRule type="duplicateValues" dxfId="1037" priority="1475"/>
    <cfRule type="duplicateValues" dxfId="1036" priority="1474"/>
    <cfRule type="duplicateValues" dxfId="1035" priority="1473"/>
    <cfRule type="duplicateValues" dxfId="1034" priority="1472"/>
    <cfRule type="duplicateValues" dxfId="1033" priority="1471"/>
    <cfRule type="duplicateValues" dxfId="1032" priority="1535"/>
    <cfRule type="duplicateValues" dxfId="1031" priority="1534"/>
    <cfRule type="duplicateValues" dxfId="1030" priority="1533"/>
    <cfRule type="duplicateValues" dxfId="1029" priority="1470"/>
    <cfRule type="duplicateValues" dxfId="1028" priority="1469"/>
    <cfRule type="duplicateValues" dxfId="1027" priority="1468"/>
    <cfRule type="duplicateValues" dxfId="1026" priority="1467"/>
    <cfRule type="duplicateValues" dxfId="1025" priority="1466"/>
    <cfRule type="duplicateValues" dxfId="1024" priority="1465"/>
    <cfRule type="duplicateValues" dxfId="1023" priority="1525"/>
    <cfRule type="duplicateValues" dxfId="1022" priority="1464"/>
    <cfRule type="duplicateValues" dxfId="1021" priority="1463"/>
    <cfRule type="duplicateValues" dxfId="1020" priority="1462"/>
    <cfRule type="duplicateValues" dxfId="1019" priority="1532"/>
    <cfRule type="duplicateValues" dxfId="1018" priority="1461"/>
    <cfRule type="duplicateValues" dxfId="1017" priority="1460"/>
  </conditionalFormatting>
  <conditionalFormatting sqref="B123">
    <cfRule type="duplicateValues" dxfId="1016" priority="1427"/>
    <cfRule type="duplicateValues" dxfId="1015" priority="1426"/>
    <cfRule type="duplicateValues" dxfId="1014" priority="1425"/>
    <cfRule type="duplicateValues" dxfId="1013" priority="1424"/>
    <cfRule type="duplicateValues" dxfId="1012" priority="1423"/>
    <cfRule type="duplicateValues" dxfId="1011" priority="1422"/>
    <cfRule type="duplicateValues" dxfId="1010" priority="1421"/>
    <cfRule type="duplicateValues" dxfId="1009" priority="1420"/>
    <cfRule type="duplicateValues" dxfId="1008" priority="1419"/>
    <cfRule type="duplicateValues" dxfId="1007" priority="1418"/>
    <cfRule type="duplicateValues" dxfId="1006" priority="1417"/>
    <cfRule type="duplicateValues" dxfId="1005" priority="1416"/>
    <cfRule type="duplicateValues" dxfId="1004" priority="1415"/>
    <cfRule type="duplicateValues" dxfId="1003" priority="1414"/>
    <cfRule type="duplicateValues" dxfId="1002" priority="1413"/>
    <cfRule type="duplicateValues" dxfId="1001" priority="1412"/>
    <cfRule type="duplicateValues" dxfId="1000" priority="1411"/>
    <cfRule type="duplicateValues" dxfId="999" priority="1410"/>
    <cfRule type="duplicateValues" dxfId="998" priority="1409"/>
    <cfRule type="duplicateValues" dxfId="997" priority="1408"/>
    <cfRule type="duplicateValues" dxfId="996" priority="1407"/>
    <cfRule type="duplicateValues" dxfId="995" priority="1406"/>
    <cfRule type="duplicateValues" dxfId="994" priority="1405"/>
    <cfRule type="duplicateValues" dxfId="993" priority="1404"/>
    <cfRule type="duplicateValues" dxfId="992" priority="1403"/>
    <cfRule type="duplicateValues" dxfId="991" priority="1402"/>
    <cfRule type="duplicateValues" dxfId="990" priority="1401"/>
    <cfRule type="duplicateValues" dxfId="989" priority="1400"/>
    <cfRule type="duplicateValues" dxfId="988" priority="1398"/>
    <cfRule type="duplicateValues" dxfId="987" priority="1397"/>
    <cfRule type="duplicateValues" dxfId="986" priority="1396"/>
    <cfRule type="duplicateValues" dxfId="985" priority="1395"/>
    <cfRule type="duplicateValues" dxfId="984" priority="1394"/>
    <cfRule type="duplicateValues" dxfId="983" priority="1393"/>
    <cfRule type="duplicateValues" dxfId="982" priority="1392"/>
    <cfRule type="duplicateValues" dxfId="981" priority="1391"/>
    <cfRule type="duplicateValues" dxfId="980" priority="1390"/>
    <cfRule type="duplicateValues" dxfId="979" priority="1389"/>
    <cfRule type="duplicateValues" dxfId="978" priority="1388"/>
    <cfRule type="duplicateValues" dxfId="977" priority="1387"/>
    <cfRule type="duplicateValues" dxfId="976" priority="1386"/>
    <cfRule type="duplicateValues" dxfId="975" priority="1385"/>
    <cfRule type="duplicateValues" dxfId="974" priority="1384"/>
    <cfRule type="duplicateValues" dxfId="973" priority="1383"/>
    <cfRule type="duplicateValues" dxfId="972" priority="1382"/>
    <cfRule type="duplicateValues" dxfId="971" priority="1381"/>
    <cfRule type="duplicateValues" dxfId="970" priority="1380"/>
    <cfRule type="duplicateValues" dxfId="969" priority="1379"/>
    <cfRule type="duplicateValues" dxfId="968" priority="1378"/>
    <cfRule type="duplicateValues" dxfId="967" priority="1377"/>
    <cfRule type="duplicateValues" dxfId="966" priority="1376"/>
    <cfRule type="duplicateValues" dxfId="965" priority="1375"/>
    <cfRule type="duplicateValues" dxfId="964" priority="1374"/>
    <cfRule type="duplicateValues" dxfId="963" priority="1373"/>
    <cfRule type="duplicateValues" dxfId="962" priority="1372"/>
    <cfRule type="duplicateValues" dxfId="961" priority="1371"/>
    <cfRule type="duplicateValues" dxfId="960" priority="1370"/>
    <cfRule type="duplicateValues" dxfId="959" priority="1369"/>
    <cfRule type="duplicateValues" dxfId="958" priority="1368"/>
    <cfRule type="duplicateValues" dxfId="957" priority="1367"/>
    <cfRule type="duplicateValues" dxfId="956" priority="1366"/>
    <cfRule type="duplicateValues" dxfId="955" priority="1365"/>
    <cfRule type="duplicateValues" dxfId="954" priority="1364"/>
    <cfRule type="duplicateValues" dxfId="953" priority="1363"/>
    <cfRule type="duplicateValues" dxfId="952" priority="1362"/>
    <cfRule type="duplicateValues" dxfId="951" priority="1361"/>
    <cfRule type="duplicateValues" dxfId="950" priority="1360"/>
    <cfRule type="duplicateValues" dxfId="949" priority="1359"/>
    <cfRule type="duplicateValues" dxfId="948" priority="1358"/>
    <cfRule type="duplicateValues" dxfId="947" priority="1357"/>
    <cfRule type="duplicateValues" dxfId="946" priority="1356"/>
    <cfRule type="duplicateValues" dxfId="945" priority="1355"/>
    <cfRule type="duplicateValues" dxfId="944" priority="1354"/>
    <cfRule type="duplicateValues" dxfId="943" priority="1399"/>
    <cfRule type="duplicateValues" dxfId="942" priority="1452"/>
    <cfRule type="duplicateValues" dxfId="941" priority="1451"/>
    <cfRule type="duplicateValues" dxfId="940" priority="1450"/>
    <cfRule type="duplicateValues" dxfId="939" priority="1449"/>
    <cfRule type="duplicateValues" dxfId="938" priority="1448"/>
    <cfRule type="duplicateValues" dxfId="937" priority="1447"/>
    <cfRule type="duplicateValues" dxfId="936" priority="1446"/>
    <cfRule type="duplicateValues" dxfId="935" priority="1445"/>
    <cfRule type="duplicateValues" dxfId="934" priority="1444"/>
    <cfRule type="duplicateValues" dxfId="933" priority="1443"/>
    <cfRule type="duplicateValues" dxfId="932" priority="1442"/>
    <cfRule type="duplicateValues" dxfId="931" priority="1441"/>
    <cfRule type="duplicateValues" dxfId="930" priority="1440"/>
    <cfRule type="duplicateValues" dxfId="929" priority="1439"/>
    <cfRule type="duplicateValues" dxfId="928" priority="1438"/>
    <cfRule type="duplicateValues" dxfId="927" priority="1437"/>
    <cfRule type="duplicateValues" dxfId="926" priority="1436"/>
    <cfRule type="duplicateValues" dxfId="925" priority="1435"/>
    <cfRule type="duplicateValues" dxfId="924" priority="1434"/>
    <cfRule type="duplicateValues" dxfId="923" priority="1433"/>
    <cfRule type="duplicateValues" dxfId="922" priority="1432"/>
    <cfRule type="duplicateValues" dxfId="921" priority="1431"/>
    <cfRule type="duplicateValues" dxfId="920" priority="1430"/>
    <cfRule type="duplicateValues" dxfId="919" priority="1429"/>
    <cfRule type="duplicateValues" dxfId="918" priority="1428"/>
  </conditionalFormatting>
  <conditionalFormatting sqref="B124:B125">
    <cfRule type="duplicateValues" dxfId="917" priority="1318"/>
    <cfRule type="duplicateValues" dxfId="916" priority="1288"/>
    <cfRule type="duplicateValues" dxfId="915" priority="1289"/>
    <cfRule type="duplicateValues" dxfId="914" priority="1290"/>
    <cfRule type="duplicateValues" dxfId="913" priority="1291"/>
    <cfRule type="duplicateValues" dxfId="912" priority="1353"/>
    <cfRule type="duplicateValues" dxfId="911" priority="1352"/>
    <cfRule type="duplicateValues" dxfId="910" priority="1351"/>
    <cfRule type="duplicateValues" dxfId="909" priority="1350"/>
    <cfRule type="duplicateValues" dxfId="908" priority="1349"/>
    <cfRule type="duplicateValues" dxfId="907" priority="1284"/>
    <cfRule type="duplicateValues" dxfId="906" priority="1339"/>
    <cfRule type="duplicateValues" dxfId="905" priority="1285"/>
    <cfRule type="duplicateValues" dxfId="904" priority="1348"/>
    <cfRule type="duplicateValues" dxfId="903" priority="1347"/>
    <cfRule type="duplicateValues" dxfId="902" priority="1346"/>
    <cfRule type="duplicateValues" dxfId="901" priority="1345"/>
    <cfRule type="duplicateValues" dxfId="900" priority="1344"/>
    <cfRule type="duplicateValues" dxfId="899" priority="1343"/>
    <cfRule type="duplicateValues" dxfId="898" priority="1342"/>
    <cfRule type="duplicateValues" dxfId="897" priority="1341"/>
    <cfRule type="duplicateValues" dxfId="896" priority="1340"/>
    <cfRule type="duplicateValues" dxfId="895" priority="1286"/>
    <cfRule type="duplicateValues" dxfId="894" priority="1338"/>
    <cfRule type="duplicateValues" dxfId="893" priority="1337"/>
    <cfRule type="duplicateValues" dxfId="892" priority="1336"/>
    <cfRule type="duplicateValues" dxfId="891" priority="1335"/>
    <cfRule type="duplicateValues" dxfId="890" priority="1334"/>
    <cfRule type="duplicateValues" dxfId="889" priority="1333"/>
    <cfRule type="duplicateValues" dxfId="888" priority="1332"/>
    <cfRule type="duplicateValues" dxfId="887" priority="1331"/>
    <cfRule type="duplicateValues" dxfId="886" priority="1330"/>
    <cfRule type="duplicateValues" dxfId="885" priority="1329"/>
    <cfRule type="duplicateValues" dxfId="884" priority="1328"/>
    <cfRule type="duplicateValues" dxfId="883" priority="1327"/>
    <cfRule type="duplicateValues" dxfId="882" priority="1326"/>
    <cfRule type="duplicateValues" dxfId="881" priority="1325"/>
    <cfRule type="duplicateValues" dxfId="880" priority="1324"/>
    <cfRule type="duplicateValues" dxfId="879" priority="1323"/>
    <cfRule type="duplicateValues" dxfId="878" priority="1322"/>
    <cfRule type="duplicateValues" dxfId="877" priority="1321"/>
    <cfRule type="duplicateValues" dxfId="876" priority="1320"/>
    <cfRule type="duplicateValues" dxfId="875" priority="1319"/>
    <cfRule type="duplicateValues" dxfId="874" priority="1293"/>
    <cfRule type="duplicateValues" dxfId="873" priority="1317"/>
    <cfRule type="duplicateValues" dxfId="872" priority="1316"/>
    <cfRule type="duplicateValues" dxfId="871" priority="1315"/>
    <cfRule type="duplicateValues" dxfId="870" priority="1314"/>
    <cfRule type="duplicateValues" dxfId="869" priority="1313"/>
    <cfRule type="duplicateValues" dxfId="868" priority="1312"/>
    <cfRule type="duplicateValues" dxfId="867" priority="1311"/>
    <cfRule type="duplicateValues" dxfId="866" priority="1310"/>
    <cfRule type="duplicateValues" dxfId="865" priority="1309"/>
    <cfRule type="duplicateValues" dxfId="864" priority="1308"/>
    <cfRule type="duplicateValues" dxfId="863" priority="1307"/>
    <cfRule type="duplicateValues" dxfId="862" priority="1306"/>
    <cfRule type="duplicateValues" dxfId="861" priority="1305"/>
    <cfRule type="duplicateValues" dxfId="860" priority="1304"/>
    <cfRule type="duplicateValues" dxfId="859" priority="1303"/>
    <cfRule type="duplicateValues" dxfId="858" priority="1302"/>
    <cfRule type="duplicateValues" dxfId="857" priority="1301"/>
    <cfRule type="duplicateValues" dxfId="856" priority="1300"/>
    <cfRule type="duplicateValues" dxfId="855" priority="1299"/>
    <cfRule type="duplicateValues" dxfId="854" priority="1298"/>
    <cfRule type="duplicateValues" dxfId="853" priority="1297"/>
    <cfRule type="duplicateValues" dxfId="852" priority="1296"/>
    <cfRule type="duplicateValues" dxfId="851" priority="1295"/>
    <cfRule type="duplicateValues" dxfId="850" priority="1294"/>
    <cfRule type="duplicateValues" dxfId="849" priority="1276"/>
    <cfRule type="duplicateValues" dxfId="848" priority="1292"/>
    <cfRule type="duplicateValues" dxfId="847" priority="1273"/>
    <cfRule type="duplicateValues" dxfId="846" priority="1274"/>
    <cfRule type="duplicateValues" dxfId="845" priority="1275"/>
    <cfRule type="duplicateValues" dxfId="844" priority="1287"/>
    <cfRule type="duplicateValues" dxfId="843" priority="1277"/>
    <cfRule type="duplicateValues" dxfId="842" priority="1278"/>
    <cfRule type="duplicateValues" dxfId="841" priority="1279"/>
    <cfRule type="duplicateValues" dxfId="840" priority="1280"/>
    <cfRule type="duplicateValues" dxfId="839" priority="1281"/>
    <cfRule type="duplicateValues" dxfId="838" priority="1282"/>
    <cfRule type="duplicateValues" dxfId="837" priority="1283"/>
  </conditionalFormatting>
  <conditionalFormatting sqref="B124:B127 B119 B80:B81 B83 B72:B76 B1 B140:B180">
    <cfRule type="duplicateValues" dxfId="836" priority="3575"/>
    <cfRule type="duplicateValues" dxfId="835" priority="3576"/>
    <cfRule type="duplicateValues" dxfId="834" priority="3573"/>
    <cfRule type="duplicateValues" dxfId="833" priority="3572"/>
    <cfRule type="duplicateValues" dxfId="832" priority="3571"/>
    <cfRule type="duplicateValues" dxfId="831" priority="3574"/>
  </conditionalFormatting>
  <conditionalFormatting sqref="B124:B127 B119 B80:B81 B83 B72:B76 B1:B22 B140:B180">
    <cfRule type="duplicateValues" dxfId="830" priority="3568"/>
    <cfRule type="duplicateValues" dxfId="829" priority="3570"/>
    <cfRule type="duplicateValues" dxfId="828" priority="3569"/>
  </conditionalFormatting>
  <conditionalFormatting sqref="B124:B127 B119 B80:B81 B83 B72:B76 B140:B180">
    <cfRule type="duplicateValues" dxfId="827" priority="2699"/>
    <cfRule type="duplicateValues" dxfId="826" priority="2701"/>
    <cfRule type="duplicateValues" dxfId="825" priority="2700"/>
  </conditionalFormatting>
  <conditionalFormatting sqref="B126:B127">
    <cfRule type="duplicateValues" dxfId="824" priority="1264"/>
    <cfRule type="duplicateValues" dxfId="823" priority="1268"/>
    <cfRule type="duplicateValues" dxfId="822" priority="1267"/>
    <cfRule type="duplicateValues" dxfId="821" priority="1266"/>
    <cfRule type="duplicateValues" dxfId="820" priority="1253"/>
    <cfRule type="duplicateValues" dxfId="819" priority="1254"/>
    <cfRule type="duplicateValues" dxfId="818" priority="1255"/>
    <cfRule type="duplicateValues" dxfId="817" priority="1252"/>
    <cfRule type="duplicateValues" dxfId="816" priority="1240"/>
    <cfRule type="duplicateValues" dxfId="815" priority="1192"/>
    <cfRule type="duplicateValues" dxfId="814" priority="1193"/>
    <cfRule type="duplicateValues" dxfId="813" priority="1194"/>
    <cfRule type="duplicateValues" dxfId="812" priority="1195"/>
    <cfRule type="duplicateValues" dxfId="811" priority="1196"/>
    <cfRule type="duplicateValues" dxfId="810" priority="1197"/>
    <cfRule type="duplicateValues" dxfId="809" priority="1198"/>
    <cfRule type="duplicateValues" dxfId="808" priority="1199"/>
    <cfRule type="duplicateValues" dxfId="807" priority="1200"/>
    <cfRule type="duplicateValues" dxfId="806" priority="1201"/>
    <cfRule type="duplicateValues" dxfId="805" priority="1202"/>
    <cfRule type="duplicateValues" dxfId="804" priority="1203"/>
    <cfRule type="duplicateValues" dxfId="803" priority="1204"/>
    <cfRule type="duplicateValues" dxfId="802" priority="1205"/>
    <cfRule type="duplicateValues" dxfId="801" priority="1206"/>
    <cfRule type="duplicateValues" dxfId="800" priority="1207"/>
    <cfRule type="duplicateValues" dxfId="799" priority="1208"/>
    <cfRule type="duplicateValues" dxfId="798" priority="1209"/>
    <cfRule type="duplicateValues" dxfId="797" priority="1210"/>
    <cfRule type="duplicateValues" dxfId="796" priority="1211"/>
    <cfRule type="duplicateValues" dxfId="795" priority="1212"/>
    <cfRule type="duplicateValues" dxfId="794" priority="1213"/>
    <cfRule type="duplicateValues" dxfId="793" priority="1214"/>
    <cfRule type="duplicateValues" dxfId="792" priority="1215"/>
    <cfRule type="duplicateValues" dxfId="791" priority="1216"/>
    <cfRule type="duplicateValues" dxfId="790" priority="1217"/>
    <cfRule type="duplicateValues" dxfId="789" priority="1218"/>
    <cfRule type="duplicateValues" dxfId="788" priority="1219"/>
    <cfRule type="duplicateValues" dxfId="787" priority="1220"/>
    <cfRule type="duplicateValues" dxfId="786" priority="1221"/>
    <cfRule type="duplicateValues" dxfId="785" priority="1222"/>
    <cfRule type="duplicateValues" dxfId="784" priority="1223"/>
    <cfRule type="duplicateValues" dxfId="783" priority="1224"/>
    <cfRule type="duplicateValues" dxfId="782" priority="1225"/>
    <cfRule type="duplicateValues" dxfId="781" priority="1226"/>
    <cfRule type="duplicateValues" dxfId="780" priority="1227"/>
    <cfRule type="duplicateValues" dxfId="779" priority="1228"/>
    <cfRule type="duplicateValues" dxfId="778" priority="1229"/>
    <cfRule type="duplicateValues" dxfId="777" priority="1230"/>
    <cfRule type="duplicateValues" dxfId="776" priority="1231"/>
    <cfRule type="duplicateValues" dxfId="775" priority="1232"/>
    <cfRule type="duplicateValues" dxfId="774" priority="1233"/>
    <cfRule type="duplicateValues" dxfId="773" priority="1234"/>
    <cfRule type="duplicateValues" dxfId="772" priority="1235"/>
    <cfRule type="duplicateValues" dxfId="771" priority="1236"/>
    <cfRule type="duplicateValues" dxfId="770" priority="1237"/>
    <cfRule type="duplicateValues" dxfId="769" priority="1238"/>
    <cfRule type="duplicateValues" dxfId="768" priority="1239"/>
    <cfRule type="duplicateValues" dxfId="767" priority="1241"/>
    <cfRule type="duplicateValues" dxfId="766" priority="1242"/>
    <cfRule type="duplicateValues" dxfId="765" priority="1243"/>
    <cfRule type="duplicateValues" dxfId="764" priority="1244"/>
    <cfRule type="duplicateValues" dxfId="763" priority="1245"/>
    <cfRule type="duplicateValues" dxfId="762" priority="1246"/>
    <cfRule type="duplicateValues" dxfId="761" priority="1247"/>
    <cfRule type="duplicateValues" dxfId="760" priority="1248"/>
    <cfRule type="duplicateValues" dxfId="759" priority="1249"/>
    <cfRule type="duplicateValues" dxfId="758" priority="1272"/>
    <cfRule type="duplicateValues" dxfId="757" priority="1271"/>
    <cfRule type="duplicateValues" dxfId="756" priority="1270"/>
    <cfRule type="duplicateValues" dxfId="755" priority="1269"/>
    <cfRule type="duplicateValues" dxfId="754" priority="1256"/>
    <cfRule type="duplicateValues" dxfId="753" priority="1257"/>
    <cfRule type="duplicateValues" dxfId="752" priority="1258"/>
    <cfRule type="duplicateValues" dxfId="751" priority="1265"/>
    <cfRule type="duplicateValues" dxfId="750" priority="1259"/>
    <cfRule type="duplicateValues" dxfId="749" priority="1260"/>
    <cfRule type="duplicateValues" dxfId="748" priority="1261"/>
    <cfRule type="duplicateValues" dxfId="747" priority="1262"/>
    <cfRule type="duplicateValues" dxfId="746" priority="1263"/>
    <cfRule type="duplicateValues" dxfId="745" priority="1250"/>
    <cfRule type="duplicateValues" dxfId="744" priority="1251"/>
  </conditionalFormatting>
  <conditionalFormatting sqref="B128:B133">
    <cfRule type="duplicateValues" dxfId="743" priority="1105"/>
    <cfRule type="duplicateValues" dxfId="742" priority="1107"/>
    <cfRule type="duplicateValues" dxfId="741" priority="1106"/>
    <cfRule type="duplicateValues" dxfId="740" priority="1104"/>
    <cfRule type="duplicateValues" dxfId="739" priority="1103"/>
    <cfRule type="duplicateValues" dxfId="738" priority="1102"/>
  </conditionalFormatting>
  <conditionalFormatting sqref="B129:B130">
    <cfRule type="duplicateValues" dxfId="737" priority="1027"/>
    <cfRule type="duplicateValues" dxfId="736" priority="1028"/>
    <cfRule type="duplicateValues" dxfId="735" priority="1029"/>
    <cfRule type="duplicateValues" dxfId="734" priority="1030"/>
    <cfRule type="duplicateValues" dxfId="733" priority="1031"/>
    <cfRule type="duplicateValues" dxfId="732" priority="1032"/>
    <cfRule type="duplicateValues" dxfId="731" priority="1034"/>
    <cfRule type="duplicateValues" dxfId="730" priority="1035"/>
    <cfRule type="duplicateValues" dxfId="729" priority="1036"/>
    <cfRule type="duplicateValues" dxfId="728" priority="1037"/>
    <cfRule type="duplicateValues" dxfId="727" priority="1038"/>
    <cfRule type="duplicateValues" dxfId="726" priority="1039"/>
    <cfRule type="duplicateValues" dxfId="725" priority="1040"/>
    <cfRule type="duplicateValues" dxfId="724" priority="1041"/>
    <cfRule type="duplicateValues" dxfId="723" priority="1042"/>
    <cfRule type="duplicateValues" dxfId="722" priority="1043"/>
    <cfRule type="duplicateValues" dxfId="721" priority="1044"/>
    <cfRule type="duplicateValues" dxfId="720" priority="1045"/>
    <cfRule type="duplicateValues" dxfId="719" priority="1046"/>
    <cfRule type="duplicateValues" dxfId="718" priority="1047"/>
    <cfRule type="duplicateValues" dxfId="717" priority="1048"/>
    <cfRule type="duplicateValues" dxfId="716" priority="1049"/>
    <cfRule type="duplicateValues" dxfId="715" priority="1050"/>
    <cfRule type="duplicateValues" dxfId="714" priority="1051"/>
    <cfRule type="duplicateValues" dxfId="713" priority="1052"/>
    <cfRule type="duplicateValues" dxfId="712" priority="1053"/>
    <cfRule type="duplicateValues" dxfId="711" priority="1054"/>
    <cfRule type="duplicateValues" dxfId="710" priority="1055"/>
    <cfRule type="duplicateValues" dxfId="709" priority="1056"/>
    <cfRule type="duplicateValues" dxfId="708" priority="1057"/>
    <cfRule type="duplicateValues" dxfId="707" priority="1033"/>
    <cfRule type="duplicateValues" dxfId="706" priority="1058"/>
    <cfRule type="duplicateValues" dxfId="705" priority="1059"/>
    <cfRule type="duplicateValues" dxfId="704" priority="1060"/>
    <cfRule type="duplicateValues" dxfId="703" priority="1061"/>
    <cfRule type="duplicateValues" dxfId="702" priority="1062"/>
    <cfRule type="duplicateValues" dxfId="701" priority="1063"/>
    <cfRule type="duplicateValues" dxfId="700" priority="1064"/>
    <cfRule type="duplicateValues" dxfId="699" priority="1065"/>
    <cfRule type="duplicateValues" dxfId="698" priority="1066"/>
    <cfRule type="duplicateValues" dxfId="697" priority="1067"/>
    <cfRule type="duplicateValues" dxfId="696" priority="1068"/>
    <cfRule type="duplicateValues" dxfId="695" priority="1069"/>
    <cfRule type="duplicateValues" dxfId="694" priority="1070"/>
    <cfRule type="duplicateValues" dxfId="693" priority="1071"/>
    <cfRule type="duplicateValues" dxfId="692" priority="1072"/>
    <cfRule type="duplicateValues" dxfId="691" priority="1073"/>
    <cfRule type="duplicateValues" dxfId="690" priority="1074"/>
    <cfRule type="duplicateValues" dxfId="689" priority="1075"/>
    <cfRule type="duplicateValues" dxfId="688" priority="1076"/>
    <cfRule type="duplicateValues" dxfId="687" priority="1077"/>
    <cfRule type="duplicateValues" dxfId="686" priority="1078"/>
    <cfRule type="duplicateValues" dxfId="685" priority="1079"/>
    <cfRule type="duplicateValues" dxfId="684" priority="1080"/>
    <cfRule type="duplicateValues" dxfId="683" priority="1081"/>
    <cfRule type="duplicateValues" dxfId="682" priority="1082"/>
    <cfRule type="duplicateValues" dxfId="681" priority="1083"/>
    <cfRule type="duplicateValues" dxfId="680" priority="1084"/>
    <cfRule type="duplicateValues" dxfId="679" priority="1085"/>
    <cfRule type="duplicateValues" dxfId="678" priority="1086"/>
    <cfRule type="duplicateValues" dxfId="677" priority="1021"/>
    <cfRule type="duplicateValues" dxfId="676" priority="1088"/>
    <cfRule type="duplicateValues" dxfId="675" priority="1089"/>
    <cfRule type="duplicateValues" dxfId="674" priority="1090"/>
    <cfRule type="duplicateValues" dxfId="673" priority="1091"/>
    <cfRule type="duplicateValues" dxfId="672" priority="1092"/>
    <cfRule type="duplicateValues" dxfId="671" priority="1093"/>
    <cfRule type="duplicateValues" dxfId="670" priority="1100"/>
    <cfRule type="duplicateValues" dxfId="669" priority="1022"/>
    <cfRule type="duplicateValues" dxfId="668" priority="1023"/>
    <cfRule type="duplicateValues" dxfId="667" priority="1087"/>
    <cfRule type="duplicateValues" dxfId="666" priority="1024"/>
    <cfRule type="duplicateValues" dxfId="665" priority="1025"/>
    <cfRule type="duplicateValues" dxfId="664" priority="1026"/>
    <cfRule type="duplicateValues" dxfId="663" priority="1101"/>
    <cfRule type="duplicateValues" dxfId="662" priority="1099"/>
    <cfRule type="duplicateValues" dxfId="661" priority="1098"/>
    <cfRule type="duplicateValues" dxfId="660" priority="1097"/>
    <cfRule type="duplicateValues" dxfId="659" priority="1096"/>
    <cfRule type="duplicateValues" dxfId="658" priority="1095"/>
    <cfRule type="duplicateValues" dxfId="657" priority="1094"/>
  </conditionalFormatting>
  <conditionalFormatting sqref="B131:B133 B128">
    <cfRule type="duplicateValues" dxfId="656" priority="1122"/>
    <cfRule type="duplicateValues" dxfId="655" priority="1123"/>
    <cfRule type="duplicateValues" dxfId="654" priority="1124"/>
    <cfRule type="duplicateValues" dxfId="653" priority="1125"/>
    <cfRule type="duplicateValues" dxfId="652" priority="1126"/>
    <cfRule type="duplicateValues" dxfId="651" priority="1127"/>
    <cfRule type="duplicateValues" dxfId="650" priority="1128"/>
    <cfRule type="duplicateValues" dxfId="649" priority="1129"/>
    <cfRule type="duplicateValues" dxfId="648" priority="1130"/>
    <cfRule type="duplicateValues" dxfId="647" priority="1131"/>
    <cfRule type="duplicateValues" dxfId="646" priority="1132"/>
    <cfRule type="duplicateValues" dxfId="645" priority="1133"/>
    <cfRule type="duplicateValues" dxfId="644" priority="1134"/>
    <cfRule type="duplicateValues" dxfId="643" priority="1135"/>
    <cfRule type="duplicateValues" dxfId="642" priority="1136"/>
    <cfRule type="duplicateValues" dxfId="641" priority="1137"/>
    <cfRule type="duplicateValues" dxfId="640" priority="1138"/>
    <cfRule type="duplicateValues" dxfId="639" priority="1139"/>
    <cfRule type="duplicateValues" dxfId="638" priority="1140"/>
    <cfRule type="duplicateValues" dxfId="637" priority="1141"/>
    <cfRule type="duplicateValues" dxfId="636" priority="1142"/>
    <cfRule type="duplicateValues" dxfId="635" priority="1143"/>
    <cfRule type="duplicateValues" dxfId="634" priority="1144"/>
    <cfRule type="duplicateValues" dxfId="633" priority="1145"/>
    <cfRule type="duplicateValues" dxfId="632" priority="1146"/>
    <cfRule type="duplicateValues" dxfId="631" priority="1147"/>
    <cfRule type="duplicateValues" dxfId="630" priority="1148"/>
    <cfRule type="duplicateValues" dxfId="629" priority="1149"/>
    <cfRule type="duplicateValues" dxfId="628" priority="1150"/>
    <cfRule type="duplicateValues" dxfId="627" priority="1151"/>
    <cfRule type="duplicateValues" dxfId="626" priority="1152"/>
    <cfRule type="duplicateValues" dxfId="625" priority="1153"/>
    <cfRule type="duplicateValues" dxfId="624" priority="1154"/>
    <cfRule type="duplicateValues" dxfId="623" priority="1155"/>
    <cfRule type="duplicateValues" dxfId="622" priority="1156"/>
    <cfRule type="duplicateValues" dxfId="621" priority="1158"/>
    <cfRule type="duplicateValues" dxfId="620" priority="1159"/>
    <cfRule type="duplicateValues" dxfId="619" priority="1116"/>
    <cfRule type="duplicateValues" dxfId="618" priority="1157"/>
    <cfRule type="duplicateValues" dxfId="617" priority="1161"/>
    <cfRule type="duplicateValues" dxfId="616" priority="1162"/>
    <cfRule type="duplicateValues" dxfId="615" priority="1163"/>
    <cfRule type="duplicateValues" dxfId="614" priority="1164"/>
    <cfRule type="duplicateValues" dxfId="613" priority="1112"/>
    <cfRule type="duplicateValues" dxfId="612" priority="1111"/>
    <cfRule type="duplicateValues" dxfId="611" priority="1110"/>
    <cfRule type="duplicateValues" dxfId="610" priority="1109"/>
    <cfRule type="duplicateValues" dxfId="609" priority="1165"/>
    <cfRule type="duplicateValues" dxfId="608" priority="1166"/>
    <cfRule type="duplicateValues" dxfId="607" priority="1167"/>
    <cfRule type="duplicateValues" dxfId="606" priority="1168"/>
    <cfRule type="duplicateValues" dxfId="605" priority="1108"/>
    <cfRule type="duplicateValues" dxfId="604" priority="1113"/>
    <cfRule type="duplicateValues" dxfId="603" priority="1182"/>
    <cfRule type="duplicateValues" dxfId="602" priority="1183"/>
    <cfRule type="duplicateValues" dxfId="601" priority="1184"/>
    <cfRule type="duplicateValues" dxfId="600" priority="1185"/>
    <cfRule type="duplicateValues" dxfId="599" priority="1186"/>
    <cfRule type="duplicateValues" dxfId="598" priority="1187"/>
    <cfRule type="duplicateValues" dxfId="597" priority="1160"/>
    <cfRule type="duplicateValues" dxfId="596" priority="1188"/>
    <cfRule type="duplicateValues" dxfId="595" priority="1117"/>
    <cfRule type="duplicateValues" dxfId="594" priority="1118"/>
    <cfRule type="duplicateValues" dxfId="593" priority="1119"/>
    <cfRule type="duplicateValues" dxfId="592" priority="1120"/>
    <cfRule type="duplicateValues" dxfId="591" priority="1121"/>
    <cfRule type="duplicateValues" dxfId="590" priority="1169"/>
    <cfRule type="duplicateValues" dxfId="589" priority="1170"/>
    <cfRule type="duplicateValues" dxfId="588" priority="1171"/>
    <cfRule type="duplicateValues" dxfId="587" priority="1172"/>
    <cfRule type="duplicateValues" dxfId="586" priority="1173"/>
    <cfRule type="duplicateValues" dxfId="585" priority="1174"/>
    <cfRule type="duplicateValues" dxfId="584" priority="1175"/>
    <cfRule type="duplicateValues" dxfId="583" priority="1176"/>
    <cfRule type="duplicateValues" dxfId="582" priority="1177"/>
    <cfRule type="duplicateValues" dxfId="581" priority="1178"/>
    <cfRule type="duplicateValues" dxfId="580" priority="1179"/>
    <cfRule type="duplicateValues" dxfId="579" priority="1180"/>
    <cfRule type="duplicateValues" dxfId="578" priority="1181"/>
    <cfRule type="duplicateValues" dxfId="577" priority="1115"/>
    <cfRule type="duplicateValues" dxfId="576" priority="1114"/>
  </conditionalFormatting>
  <conditionalFormatting sqref="B131:B133">
    <cfRule type="duplicateValues" dxfId="575" priority="881"/>
    <cfRule type="duplicateValues" dxfId="574" priority="880"/>
    <cfRule type="duplicateValues" dxfId="573" priority="879"/>
    <cfRule type="duplicateValues" dxfId="572" priority="878"/>
    <cfRule type="duplicateValues" dxfId="571" priority="877"/>
    <cfRule type="duplicateValues" dxfId="570" priority="882"/>
  </conditionalFormatting>
  <conditionalFormatting sqref="B134:B136">
    <cfRule type="duplicateValues" dxfId="569" priority="1003"/>
    <cfRule type="duplicateValues" dxfId="568" priority="1002"/>
    <cfRule type="duplicateValues" dxfId="567" priority="1001"/>
    <cfRule type="duplicateValues" dxfId="566" priority="1000"/>
    <cfRule type="duplicateValues" dxfId="565" priority="999"/>
    <cfRule type="duplicateValues" dxfId="564" priority="998"/>
    <cfRule type="duplicateValues" dxfId="563" priority="997"/>
    <cfRule type="duplicateValues" dxfId="562" priority="996"/>
    <cfRule type="duplicateValues" dxfId="561" priority="995"/>
    <cfRule type="duplicateValues" dxfId="560" priority="994"/>
    <cfRule type="duplicateValues" dxfId="559" priority="993"/>
    <cfRule type="duplicateValues" dxfId="558" priority="992"/>
    <cfRule type="duplicateValues" dxfId="557" priority="991"/>
    <cfRule type="duplicateValues" dxfId="556" priority="990"/>
    <cfRule type="duplicateValues" dxfId="555" priority="989"/>
    <cfRule type="duplicateValues" dxfId="554" priority="988"/>
    <cfRule type="duplicateValues" dxfId="553" priority="987"/>
    <cfRule type="duplicateValues" dxfId="552" priority="986"/>
    <cfRule type="duplicateValues" dxfId="551" priority="985"/>
    <cfRule type="duplicateValues" dxfId="550" priority="984"/>
    <cfRule type="duplicateValues" dxfId="549" priority="983"/>
    <cfRule type="duplicateValues" dxfId="548" priority="982"/>
    <cfRule type="duplicateValues" dxfId="547" priority="981"/>
    <cfRule type="duplicateValues" dxfId="546" priority="980"/>
    <cfRule type="duplicateValues" dxfId="545" priority="979"/>
    <cfRule type="duplicateValues" dxfId="544" priority="978"/>
    <cfRule type="duplicateValues" dxfId="543" priority="977"/>
    <cfRule type="duplicateValues" dxfId="542" priority="976"/>
    <cfRule type="duplicateValues" dxfId="541" priority="974"/>
    <cfRule type="duplicateValues" dxfId="540" priority="973"/>
    <cfRule type="duplicateValues" dxfId="539" priority="972"/>
    <cfRule type="duplicateValues" dxfId="538" priority="971"/>
    <cfRule type="duplicateValues" dxfId="537" priority="970"/>
    <cfRule type="duplicateValues" dxfId="536" priority="969"/>
    <cfRule type="duplicateValues" dxfId="535" priority="968"/>
    <cfRule type="duplicateValues" dxfId="534" priority="967"/>
    <cfRule type="duplicateValues" dxfId="533" priority="966"/>
    <cfRule type="duplicateValues" dxfId="532" priority="965"/>
    <cfRule type="duplicateValues" dxfId="531" priority="964"/>
    <cfRule type="duplicateValues" dxfId="530" priority="963"/>
    <cfRule type="duplicateValues" dxfId="529" priority="962"/>
    <cfRule type="duplicateValues" dxfId="528" priority="961"/>
    <cfRule type="duplicateValues" dxfId="527" priority="960"/>
    <cfRule type="duplicateValues" dxfId="526" priority="959"/>
    <cfRule type="duplicateValues" dxfId="525" priority="958"/>
    <cfRule type="duplicateValues" dxfId="524" priority="957"/>
    <cfRule type="duplicateValues" dxfId="523" priority="956"/>
    <cfRule type="duplicateValues" dxfId="522" priority="955"/>
    <cfRule type="duplicateValues" dxfId="521" priority="954"/>
    <cfRule type="duplicateValues" dxfId="520" priority="953"/>
    <cfRule type="duplicateValues" dxfId="519" priority="952"/>
    <cfRule type="duplicateValues" dxfId="518" priority="951"/>
    <cfRule type="duplicateValues" dxfId="517" priority="950"/>
    <cfRule type="duplicateValues" dxfId="516" priority="949"/>
    <cfRule type="duplicateValues" dxfId="515" priority="948"/>
    <cfRule type="duplicateValues" dxfId="514" priority="947"/>
    <cfRule type="duplicateValues" dxfId="513" priority="946"/>
    <cfRule type="duplicateValues" dxfId="512" priority="945"/>
    <cfRule type="duplicateValues" dxfId="511" priority="944"/>
    <cfRule type="duplicateValues" dxfId="510" priority="943"/>
    <cfRule type="duplicateValues" dxfId="509" priority="942"/>
    <cfRule type="duplicateValues" dxfId="508" priority="941"/>
    <cfRule type="duplicateValues" dxfId="507" priority="940"/>
    <cfRule type="duplicateValues" dxfId="506" priority="939"/>
    <cfRule type="duplicateValues" dxfId="505" priority="938"/>
    <cfRule type="duplicateValues" dxfId="504" priority="937"/>
    <cfRule type="duplicateValues" dxfId="503" priority="936"/>
    <cfRule type="duplicateValues" dxfId="502" priority="935"/>
    <cfRule type="duplicateValues" dxfId="501" priority="898"/>
    <cfRule type="duplicateValues" dxfId="500" priority="897"/>
    <cfRule type="duplicateValues" dxfId="499" priority="934"/>
    <cfRule type="duplicateValues" dxfId="498" priority="933"/>
    <cfRule type="duplicateValues" dxfId="497" priority="932"/>
    <cfRule type="duplicateValues" dxfId="496" priority="931"/>
    <cfRule type="duplicateValues" dxfId="495" priority="930"/>
    <cfRule type="duplicateValues" dxfId="494" priority="929"/>
    <cfRule type="duplicateValues" dxfId="493" priority="928"/>
    <cfRule type="duplicateValues" dxfId="492" priority="927"/>
    <cfRule type="duplicateValues" dxfId="491" priority="926"/>
    <cfRule type="duplicateValues" dxfId="490" priority="925"/>
    <cfRule type="duplicateValues" dxfId="489" priority="924"/>
    <cfRule type="duplicateValues" dxfId="488" priority="923"/>
    <cfRule type="duplicateValues" dxfId="487" priority="922"/>
    <cfRule type="duplicateValues" dxfId="486" priority="921"/>
    <cfRule type="duplicateValues" dxfId="485" priority="920"/>
    <cfRule type="duplicateValues" dxfId="484" priority="919"/>
    <cfRule type="duplicateValues" dxfId="483" priority="918"/>
    <cfRule type="duplicateValues" dxfId="482" priority="917"/>
    <cfRule type="duplicateValues" dxfId="481" priority="916"/>
    <cfRule type="duplicateValues" dxfId="480" priority="915"/>
    <cfRule type="duplicateValues" dxfId="479" priority="914"/>
    <cfRule type="duplicateValues" dxfId="478" priority="913"/>
    <cfRule type="duplicateValues" dxfId="477" priority="912"/>
    <cfRule type="duplicateValues" dxfId="476" priority="911"/>
    <cfRule type="duplicateValues" dxfId="475" priority="910"/>
    <cfRule type="duplicateValues" dxfId="474" priority="909"/>
    <cfRule type="duplicateValues" dxfId="473" priority="907"/>
    <cfRule type="duplicateValues" dxfId="472" priority="906"/>
    <cfRule type="duplicateValues" dxfId="471" priority="905"/>
    <cfRule type="duplicateValues" dxfId="470" priority="904"/>
    <cfRule type="duplicateValues" dxfId="469" priority="903"/>
    <cfRule type="duplicateValues" dxfId="468" priority="902"/>
    <cfRule type="duplicateValues" dxfId="467" priority="901"/>
    <cfRule type="duplicateValues" dxfId="466" priority="900"/>
    <cfRule type="duplicateValues" dxfId="465" priority="899"/>
    <cfRule type="duplicateValues" dxfId="464" priority="975"/>
    <cfRule type="duplicateValues" dxfId="463" priority="908"/>
    <cfRule type="duplicateValues" dxfId="462" priority="1017"/>
    <cfRule type="duplicateValues" dxfId="461" priority="1016"/>
    <cfRule type="duplicateValues" dxfId="460" priority="1015"/>
    <cfRule type="duplicateValues" dxfId="459" priority="1014"/>
    <cfRule type="duplicateValues" dxfId="458" priority="1013"/>
    <cfRule type="duplicateValues" dxfId="457" priority="1012"/>
    <cfRule type="duplicateValues" dxfId="456" priority="1011"/>
    <cfRule type="duplicateValues" dxfId="455" priority="1010"/>
    <cfRule type="duplicateValues" dxfId="454" priority="1009"/>
    <cfRule type="duplicateValues" dxfId="453" priority="1008"/>
    <cfRule type="duplicateValues" dxfId="452" priority="1007"/>
    <cfRule type="duplicateValues" dxfId="451" priority="1006"/>
    <cfRule type="duplicateValues" dxfId="450" priority="1005"/>
    <cfRule type="duplicateValues" dxfId="449" priority="1004"/>
  </conditionalFormatting>
  <conditionalFormatting sqref="B137:B139">
    <cfRule type="duplicateValues" dxfId="448" priority="781"/>
    <cfRule type="duplicateValues" dxfId="447" priority="756"/>
    <cfRule type="duplicateValues" dxfId="446" priority="757"/>
    <cfRule type="duplicateValues" dxfId="445" priority="758"/>
    <cfRule type="duplicateValues" dxfId="444" priority="759"/>
    <cfRule type="duplicateValues" dxfId="443" priority="760"/>
    <cfRule type="duplicateValues" dxfId="442" priority="761"/>
    <cfRule type="duplicateValues" dxfId="441" priority="762"/>
    <cfRule type="duplicateValues" dxfId="440" priority="763"/>
    <cfRule type="duplicateValues" dxfId="439" priority="764"/>
    <cfRule type="duplicateValues" dxfId="438" priority="765"/>
    <cfRule type="duplicateValues" dxfId="437" priority="766"/>
    <cfRule type="duplicateValues" dxfId="436" priority="767"/>
    <cfRule type="duplicateValues" dxfId="435" priority="768"/>
    <cfRule type="duplicateValues" dxfId="434" priority="769"/>
    <cfRule type="duplicateValues" dxfId="433" priority="770"/>
    <cfRule type="duplicateValues" dxfId="432" priority="771"/>
    <cfRule type="duplicateValues" dxfId="431" priority="772"/>
    <cfRule type="duplicateValues" dxfId="430" priority="773"/>
    <cfRule type="duplicateValues" dxfId="429" priority="774"/>
    <cfRule type="duplicateValues" dxfId="428" priority="775"/>
    <cfRule type="duplicateValues" dxfId="427" priority="776"/>
    <cfRule type="duplicateValues" dxfId="426" priority="777"/>
    <cfRule type="duplicateValues" dxfId="425" priority="778"/>
    <cfRule type="duplicateValues" dxfId="424" priority="862"/>
    <cfRule type="duplicateValues" dxfId="423" priority="863"/>
    <cfRule type="duplicateValues" dxfId="422" priority="864"/>
    <cfRule type="duplicateValues" dxfId="421" priority="865"/>
    <cfRule type="duplicateValues" dxfId="420" priority="866"/>
    <cfRule type="duplicateValues" dxfId="419" priority="867"/>
    <cfRule type="duplicateValues" dxfId="418" priority="868"/>
    <cfRule type="duplicateValues" dxfId="417" priority="869"/>
    <cfRule type="duplicateValues" dxfId="416" priority="870"/>
    <cfRule type="duplicateValues" dxfId="415" priority="871"/>
    <cfRule type="duplicateValues" dxfId="414" priority="872"/>
    <cfRule type="duplicateValues" dxfId="413" priority="873"/>
    <cfRule type="duplicateValues" dxfId="412" priority="874"/>
    <cfRule type="duplicateValues" dxfId="411" priority="876"/>
    <cfRule type="duplicateValues" dxfId="410" priority="779"/>
    <cfRule type="duplicateValues" dxfId="409" priority="780"/>
    <cfRule type="duplicateValues" dxfId="408" priority="782"/>
    <cfRule type="duplicateValues" dxfId="407" priority="783"/>
    <cfRule type="duplicateValues" dxfId="406" priority="784"/>
    <cfRule type="duplicateValues" dxfId="405" priority="785"/>
    <cfRule type="duplicateValues" dxfId="404" priority="793"/>
    <cfRule type="duplicateValues" dxfId="403" priority="786"/>
    <cfRule type="duplicateValues" dxfId="402" priority="787"/>
    <cfRule type="duplicateValues" dxfId="401" priority="788"/>
    <cfRule type="duplicateValues" dxfId="400" priority="789"/>
    <cfRule type="duplicateValues" dxfId="399" priority="790"/>
    <cfRule type="duplicateValues" dxfId="398" priority="791"/>
    <cfRule type="duplicateValues" dxfId="397" priority="792"/>
    <cfRule type="duplicateValues" dxfId="396" priority="839"/>
    <cfRule type="duplicateValues" dxfId="395" priority="838"/>
    <cfRule type="duplicateValues" dxfId="394" priority="837"/>
    <cfRule type="duplicateValues" dxfId="393" priority="836"/>
    <cfRule type="duplicateValues" dxfId="392" priority="835"/>
    <cfRule type="duplicateValues" dxfId="391" priority="834"/>
    <cfRule type="duplicateValues" dxfId="390" priority="833"/>
    <cfRule type="duplicateValues" dxfId="389" priority="832"/>
    <cfRule type="duplicateValues" dxfId="388" priority="831"/>
    <cfRule type="duplicateValues" dxfId="387" priority="830"/>
    <cfRule type="duplicateValues" dxfId="386" priority="829"/>
    <cfRule type="duplicateValues" dxfId="385" priority="828"/>
    <cfRule type="duplicateValues" dxfId="384" priority="827"/>
    <cfRule type="duplicateValues" dxfId="383" priority="826"/>
    <cfRule type="duplicateValues" dxfId="382" priority="825"/>
    <cfRule type="duplicateValues" dxfId="381" priority="824"/>
    <cfRule type="duplicateValues" dxfId="380" priority="823"/>
    <cfRule type="duplicateValues" dxfId="379" priority="822"/>
    <cfRule type="duplicateValues" dxfId="378" priority="821"/>
    <cfRule type="duplicateValues" dxfId="377" priority="820"/>
    <cfRule type="duplicateValues" dxfId="376" priority="819"/>
    <cfRule type="duplicateValues" dxfId="375" priority="842"/>
    <cfRule type="duplicateValues" dxfId="374" priority="843"/>
    <cfRule type="duplicateValues" dxfId="373" priority="844"/>
    <cfRule type="duplicateValues" dxfId="372" priority="845"/>
    <cfRule type="duplicateValues" dxfId="371" priority="846"/>
    <cfRule type="duplicateValues" dxfId="370" priority="847"/>
    <cfRule type="duplicateValues" dxfId="369" priority="848"/>
    <cfRule type="duplicateValues" dxfId="368" priority="849"/>
    <cfRule type="duplicateValues" dxfId="367" priority="850"/>
    <cfRule type="duplicateValues" dxfId="366" priority="851"/>
    <cfRule type="duplicateValues" dxfId="365" priority="852"/>
    <cfRule type="duplicateValues" dxfId="364" priority="853"/>
    <cfRule type="duplicateValues" dxfId="363" priority="854"/>
    <cfRule type="duplicateValues" dxfId="362" priority="855"/>
    <cfRule type="duplicateValues" dxfId="361" priority="856"/>
    <cfRule type="duplicateValues" dxfId="360" priority="857"/>
    <cfRule type="duplicateValues" dxfId="359" priority="858"/>
    <cfRule type="duplicateValues" dxfId="358" priority="859"/>
    <cfRule type="duplicateValues" dxfId="357" priority="818"/>
    <cfRule type="duplicateValues" dxfId="356" priority="861"/>
    <cfRule type="duplicateValues" dxfId="355" priority="817"/>
    <cfRule type="duplicateValues" dxfId="354" priority="816"/>
    <cfRule type="duplicateValues" dxfId="353" priority="815"/>
    <cfRule type="duplicateValues" dxfId="352" priority="814"/>
    <cfRule type="duplicateValues" dxfId="351" priority="813"/>
    <cfRule type="duplicateValues" dxfId="350" priority="812"/>
    <cfRule type="duplicateValues" dxfId="349" priority="811"/>
    <cfRule type="duplicateValues" dxfId="348" priority="810"/>
    <cfRule type="duplicateValues" dxfId="347" priority="809"/>
    <cfRule type="duplicateValues" dxfId="346" priority="808"/>
    <cfRule type="duplicateValues" dxfId="345" priority="807"/>
    <cfRule type="duplicateValues" dxfId="344" priority="806"/>
    <cfRule type="duplicateValues" dxfId="343" priority="805"/>
    <cfRule type="duplicateValues" dxfId="342" priority="804"/>
    <cfRule type="duplicateValues" dxfId="341" priority="803"/>
    <cfRule type="duplicateValues" dxfId="340" priority="802"/>
    <cfRule type="duplicateValues" dxfId="339" priority="801"/>
    <cfRule type="duplicateValues" dxfId="338" priority="800"/>
    <cfRule type="duplicateValues" dxfId="337" priority="799"/>
    <cfRule type="duplicateValues" dxfId="336" priority="798"/>
    <cfRule type="duplicateValues" dxfId="335" priority="797"/>
    <cfRule type="duplicateValues" dxfId="334" priority="796"/>
    <cfRule type="duplicateValues" dxfId="333" priority="795"/>
    <cfRule type="duplicateValues" dxfId="332" priority="794"/>
    <cfRule type="duplicateValues" dxfId="331" priority="840"/>
    <cfRule type="duplicateValues" dxfId="330" priority="841"/>
    <cfRule type="duplicateValues" dxfId="329" priority="860"/>
    <cfRule type="duplicateValues" dxfId="328" priority="875"/>
  </conditionalFormatting>
  <conditionalFormatting sqref="B140:B180">
    <cfRule type="duplicateValues" dxfId="327" priority="743"/>
    <cfRule type="duplicateValues" dxfId="326" priority="742"/>
    <cfRule type="duplicateValues" dxfId="325" priority="740"/>
    <cfRule type="duplicateValues" dxfId="324" priority="739"/>
    <cfRule type="duplicateValues" dxfId="323" priority="738"/>
    <cfRule type="duplicateValues" dxfId="322" priority="737"/>
    <cfRule type="duplicateValues" dxfId="321" priority="666"/>
    <cfRule type="duplicateValues" dxfId="320" priority="667"/>
    <cfRule type="duplicateValues" dxfId="319" priority="668"/>
    <cfRule type="duplicateValues" dxfId="318" priority="669"/>
    <cfRule type="duplicateValues" dxfId="317" priority="670"/>
    <cfRule type="duplicateValues" dxfId="316" priority="671"/>
    <cfRule type="duplicateValues" dxfId="315" priority="672"/>
    <cfRule type="duplicateValues" dxfId="314" priority="673"/>
    <cfRule type="duplicateValues" dxfId="313" priority="674"/>
    <cfRule type="duplicateValues" dxfId="312" priority="675"/>
    <cfRule type="duplicateValues" dxfId="311" priority="676"/>
    <cfRule type="duplicateValues" dxfId="310" priority="677"/>
    <cfRule type="duplicateValues" dxfId="309" priority="678"/>
    <cfRule type="duplicateValues" dxfId="308" priority="679"/>
    <cfRule type="duplicateValues" dxfId="307" priority="680"/>
    <cfRule type="duplicateValues" dxfId="306" priority="681"/>
    <cfRule type="duplicateValues" dxfId="305" priority="682"/>
    <cfRule type="duplicateValues" dxfId="304" priority="683"/>
    <cfRule type="duplicateValues" dxfId="303" priority="684"/>
    <cfRule type="duplicateValues" dxfId="302" priority="685"/>
    <cfRule type="duplicateValues" dxfId="301" priority="686"/>
    <cfRule type="duplicateValues" dxfId="300" priority="687"/>
    <cfRule type="duplicateValues" dxfId="299" priority="688"/>
    <cfRule type="duplicateValues" dxfId="298" priority="689"/>
    <cfRule type="duplicateValues" dxfId="297" priority="690"/>
    <cfRule type="duplicateValues" dxfId="296" priority="691"/>
    <cfRule type="duplicateValues" dxfId="295" priority="692"/>
    <cfRule type="duplicateValues" dxfId="294" priority="693"/>
    <cfRule type="duplicateValues" dxfId="293" priority="694"/>
    <cfRule type="duplicateValues" dxfId="292" priority="695"/>
    <cfRule type="duplicateValues" dxfId="291" priority="696"/>
    <cfRule type="duplicateValues" dxfId="290" priority="697"/>
    <cfRule type="duplicateValues" dxfId="289" priority="698"/>
    <cfRule type="duplicateValues" dxfId="288" priority="699"/>
    <cfRule type="duplicateValues" dxfId="287" priority="700"/>
    <cfRule type="duplicateValues" dxfId="286" priority="701"/>
    <cfRule type="duplicateValues" dxfId="285" priority="702"/>
    <cfRule type="duplicateValues" dxfId="284" priority="703"/>
    <cfRule type="duplicateValues" dxfId="283" priority="704"/>
    <cfRule type="duplicateValues" dxfId="282" priority="705"/>
    <cfRule type="duplicateValues" dxfId="281" priority="706"/>
    <cfRule type="duplicateValues" dxfId="280" priority="707"/>
    <cfRule type="duplicateValues" dxfId="279" priority="708"/>
    <cfRule type="duplicateValues" dxfId="278" priority="709"/>
    <cfRule type="duplicateValues" dxfId="277" priority="710"/>
    <cfRule type="duplicateValues" dxfId="276" priority="711"/>
    <cfRule type="duplicateValues" dxfId="275" priority="712"/>
    <cfRule type="duplicateValues" dxfId="274" priority="713"/>
    <cfRule type="duplicateValues" dxfId="273" priority="714"/>
    <cfRule type="duplicateValues" dxfId="272" priority="715"/>
    <cfRule type="duplicateValues" dxfId="271" priority="716"/>
    <cfRule type="duplicateValues" dxfId="270" priority="717"/>
    <cfRule type="duplicateValues" dxfId="269" priority="718"/>
    <cfRule type="duplicateValues" dxfId="268" priority="719"/>
    <cfRule type="duplicateValues" dxfId="267" priority="720"/>
    <cfRule type="duplicateValues" dxfId="266" priority="721"/>
    <cfRule type="duplicateValues" dxfId="265" priority="722"/>
    <cfRule type="duplicateValues" dxfId="264" priority="723"/>
    <cfRule type="duplicateValues" dxfId="263" priority="724"/>
    <cfRule type="duplicateValues" dxfId="262" priority="725"/>
    <cfRule type="duplicateValues" dxfId="261" priority="726"/>
    <cfRule type="duplicateValues" dxfId="260" priority="736"/>
    <cfRule type="duplicateValues" dxfId="259" priority="735"/>
    <cfRule type="duplicateValues" dxfId="258" priority="734"/>
    <cfRule type="duplicateValues" dxfId="257" priority="733"/>
    <cfRule type="duplicateValues" dxfId="256" priority="732"/>
    <cfRule type="duplicateValues" dxfId="255" priority="731"/>
    <cfRule type="duplicateValues" dxfId="254" priority="730"/>
    <cfRule type="duplicateValues" dxfId="253" priority="729"/>
    <cfRule type="duplicateValues" dxfId="252" priority="728"/>
    <cfRule type="duplicateValues" dxfId="251" priority="727"/>
    <cfRule type="duplicateValues" dxfId="250" priority="741"/>
    <cfRule type="duplicateValues" dxfId="249" priority="746"/>
    <cfRule type="duplicateValues" dxfId="248" priority="745"/>
    <cfRule type="duplicateValues" dxfId="247" priority="744"/>
  </conditionalFormatting>
  <conditionalFormatting sqref="B181:B1048576">
    <cfRule type="duplicateValues" dxfId="246" priority="7979"/>
  </conditionalFormatting>
  <conditionalFormatting sqref="C1:L1">
    <cfRule type="duplicateValues" dxfId="245" priority="3567"/>
    <cfRule type="duplicateValues" dxfId="244" priority="3566"/>
    <cfRule type="duplicateValues" dxfId="243" priority="3565"/>
    <cfRule type="duplicateValues" dxfId="242" priority="3564"/>
    <cfRule type="duplicateValues" dxfId="241" priority="3562"/>
    <cfRule type="duplicateValues" dxfId="240" priority="3563"/>
  </conditionalFormatting>
  <conditionalFormatting sqref="E181:E1048576">
    <cfRule type="duplicateValues" dxfId="239" priority="7768"/>
    <cfRule type="duplicateValues" dxfId="238" priority="7767"/>
  </conditionalFormatting>
  <conditionalFormatting sqref="O1:O58 O65:O180">
    <cfRule type="duplicateValues" dxfId="237" priority="3553"/>
    <cfRule type="duplicateValues" dxfId="236" priority="3554"/>
  </conditionalFormatting>
  <conditionalFormatting sqref="O1:O60 O65:O180">
    <cfRule type="duplicateValues" dxfId="235" priority="3542"/>
    <cfRule type="duplicateValues" dxfId="234" priority="3539"/>
    <cfRule type="duplicateValues" dxfId="233" priority="3538"/>
    <cfRule type="duplicateValues" dxfId="232" priority="3537"/>
    <cfRule type="duplicateValues" dxfId="231" priority="3541"/>
    <cfRule type="duplicateValues" dxfId="230" priority="3545"/>
    <cfRule type="duplicateValues" dxfId="229" priority="3543"/>
    <cfRule type="duplicateValues" dxfId="228" priority="3546"/>
    <cfRule type="duplicateValues" dxfId="227" priority="3547"/>
    <cfRule type="duplicateValues" dxfId="226" priority="3540"/>
  </conditionalFormatting>
  <conditionalFormatting sqref="O1:O61 O65:O180">
    <cfRule type="duplicateValues" dxfId="225" priority="3544"/>
  </conditionalFormatting>
  <conditionalFormatting sqref="O1:O63 O65:O180">
    <cfRule type="duplicateValues" dxfId="224" priority="3536"/>
    <cfRule type="duplicateValues" dxfId="223" priority="3535"/>
  </conditionalFormatting>
  <conditionalFormatting sqref="O1:O180">
    <cfRule type="duplicateValues" dxfId="222" priority="3551"/>
    <cfRule type="duplicateValues" dxfId="221" priority="3552"/>
    <cfRule type="duplicateValues" dxfId="220" priority="3561"/>
    <cfRule type="duplicateValues" dxfId="219" priority="3534"/>
    <cfRule type="duplicateValues" dxfId="218" priority="3555"/>
    <cfRule type="duplicateValues" dxfId="217" priority="3549"/>
    <cfRule type="duplicateValues" dxfId="216" priority="3533"/>
    <cfRule type="duplicateValues" dxfId="215" priority="3532"/>
    <cfRule type="duplicateValues" dxfId="214" priority="3556"/>
    <cfRule type="duplicateValues" dxfId="213" priority="3531"/>
    <cfRule type="duplicateValues" dxfId="212" priority="3548"/>
    <cfRule type="duplicateValues" dxfId="211" priority="3550"/>
    <cfRule type="duplicateValues" dxfId="210" priority="3557"/>
    <cfRule type="duplicateValues" dxfId="209" priority="3558"/>
    <cfRule type="duplicateValues" dxfId="208" priority="3559"/>
    <cfRule type="duplicateValues" dxfId="207" priority="3560"/>
  </conditionalFormatting>
  <conditionalFormatting sqref="O3:O14">
    <cfRule type="duplicateValues" dxfId="206" priority="3426"/>
    <cfRule type="duplicateValues" dxfId="205" priority="3428"/>
    <cfRule type="duplicateValues" dxfId="204" priority="3427"/>
  </conditionalFormatting>
  <conditionalFormatting sqref="O15:O31">
    <cfRule type="duplicateValues" dxfId="203" priority="3421"/>
    <cfRule type="duplicateValues" dxfId="202" priority="3420"/>
    <cfRule type="duplicateValues" dxfId="201" priority="3422"/>
  </conditionalFormatting>
  <conditionalFormatting sqref="O32:O47">
    <cfRule type="duplicateValues" dxfId="200" priority="3295"/>
    <cfRule type="duplicateValues" dxfId="199" priority="3294"/>
    <cfRule type="duplicateValues" dxfId="198" priority="3293"/>
  </conditionalFormatting>
  <conditionalFormatting sqref="O34">
    <cfRule type="duplicateValues" dxfId="197" priority="3279"/>
    <cfRule type="duplicateValues" dxfId="196" priority="3282"/>
    <cfRule type="duplicateValues" dxfId="195" priority="3281"/>
    <cfRule type="duplicateValues" dxfId="194" priority="3280"/>
    <cfRule type="duplicateValues" dxfId="193" priority="3284"/>
    <cfRule type="duplicateValues" dxfId="192" priority="3285"/>
    <cfRule type="duplicateValues" dxfId="191" priority="3286"/>
    <cfRule type="duplicateValues" dxfId="190" priority="3287"/>
    <cfRule type="duplicateValues" dxfId="189" priority="3288"/>
    <cfRule type="duplicateValues" dxfId="188" priority="3289"/>
    <cfRule type="duplicateValues" dxfId="187" priority="3290"/>
    <cfRule type="duplicateValues" dxfId="186" priority="3291"/>
    <cfRule type="duplicateValues" dxfId="185" priority="3283"/>
    <cfRule type="duplicateValues" dxfId="184" priority="3292"/>
    <cfRule type="duplicateValues" dxfId="183" priority="3275"/>
    <cfRule type="duplicateValues" dxfId="182" priority="3278"/>
    <cfRule type="duplicateValues" dxfId="181" priority="3277"/>
    <cfRule type="duplicateValues" dxfId="180" priority="3276"/>
  </conditionalFormatting>
  <conditionalFormatting sqref="O44:O46">
    <cfRule type="duplicateValues" dxfId="179" priority="3267"/>
    <cfRule type="duplicateValues" dxfId="178" priority="3266"/>
    <cfRule type="duplicateValues" dxfId="177" priority="3268"/>
  </conditionalFormatting>
  <conditionalFormatting sqref="O44:O55">
    <cfRule type="duplicateValues" dxfId="176" priority="3271"/>
    <cfRule type="duplicateValues" dxfId="175" priority="3270"/>
    <cfRule type="duplicateValues" dxfId="174" priority="3269"/>
  </conditionalFormatting>
  <conditionalFormatting sqref="O47">
    <cfRule type="duplicateValues" dxfId="173" priority="3182"/>
    <cfRule type="duplicateValues" dxfId="172" priority="3184"/>
    <cfRule type="duplicateValues" dxfId="171" priority="3183"/>
    <cfRule type="duplicateValues" dxfId="170" priority="3181"/>
  </conditionalFormatting>
  <conditionalFormatting sqref="O49">
    <cfRule type="duplicateValues" dxfId="169" priority="3139"/>
    <cfRule type="duplicateValues" dxfId="168" priority="3138"/>
    <cfRule type="duplicateValues" dxfId="167" priority="3137"/>
    <cfRule type="duplicateValues" dxfId="166" priority="3136"/>
    <cfRule type="duplicateValues" dxfId="165" priority="3135"/>
    <cfRule type="duplicateValues" dxfId="164" priority="3134"/>
    <cfRule type="duplicateValues" dxfId="163" priority="3133"/>
    <cfRule type="duplicateValues" dxfId="162" priority="3131"/>
    <cfRule type="duplicateValues" dxfId="161" priority="3132"/>
  </conditionalFormatting>
  <conditionalFormatting sqref="O56:O57">
    <cfRule type="duplicateValues" dxfId="160" priority="3049"/>
    <cfRule type="duplicateValues" dxfId="159" priority="3050"/>
    <cfRule type="duplicateValues" dxfId="158" priority="3048"/>
  </conditionalFormatting>
  <conditionalFormatting sqref="O58">
    <cfRule type="duplicateValues" dxfId="157" priority="3007"/>
    <cfRule type="duplicateValues" dxfId="156" priority="3006"/>
    <cfRule type="duplicateValues" dxfId="155" priority="3005"/>
    <cfRule type="duplicateValues" dxfId="154" priority="3004"/>
  </conditionalFormatting>
  <conditionalFormatting sqref="O59:O60">
    <cfRule type="duplicateValues" dxfId="153" priority="2962"/>
    <cfRule type="duplicateValues" dxfId="152" priority="2961"/>
    <cfRule type="duplicateValues" dxfId="151" priority="2960"/>
    <cfRule type="duplicateValues" dxfId="150" priority="2959"/>
    <cfRule type="duplicateValues" dxfId="149" priority="2958"/>
  </conditionalFormatting>
  <conditionalFormatting sqref="O61">
    <cfRule type="duplicateValues" dxfId="148" priority="2903"/>
    <cfRule type="duplicateValues" dxfId="147" priority="2902"/>
    <cfRule type="duplicateValues" dxfId="146" priority="2898"/>
    <cfRule type="duplicateValues" dxfId="145" priority="2899"/>
    <cfRule type="duplicateValues" dxfId="144" priority="2900"/>
    <cfRule type="duplicateValues" dxfId="143" priority="2901"/>
    <cfRule type="duplicateValues" dxfId="142" priority="2914"/>
    <cfRule type="duplicateValues" dxfId="141" priority="2913"/>
    <cfRule type="duplicateValues" dxfId="140" priority="2912"/>
    <cfRule type="duplicateValues" dxfId="139" priority="2911"/>
    <cfRule type="duplicateValues" dxfId="138" priority="2910"/>
    <cfRule type="duplicateValues" dxfId="137" priority="2909"/>
    <cfRule type="duplicateValues" dxfId="136" priority="2908"/>
    <cfRule type="duplicateValues" dxfId="135" priority="2907"/>
    <cfRule type="duplicateValues" dxfId="134" priority="2906"/>
    <cfRule type="duplicateValues" dxfId="133" priority="2905"/>
    <cfRule type="duplicateValues" dxfId="132" priority="2904"/>
  </conditionalFormatting>
  <conditionalFormatting sqref="O62:O63">
    <cfRule type="duplicateValues" dxfId="131" priority="2856"/>
    <cfRule type="duplicateValues" dxfId="130" priority="2857"/>
    <cfRule type="duplicateValues" dxfId="129" priority="2855"/>
  </conditionalFormatting>
  <conditionalFormatting sqref="O64">
    <cfRule type="duplicateValues" dxfId="128" priority="2795"/>
    <cfRule type="duplicateValues" dxfId="127" priority="2805"/>
    <cfRule type="duplicateValues" dxfId="126" priority="2806"/>
    <cfRule type="duplicateValues" dxfId="125" priority="2799"/>
    <cfRule type="duplicateValues" dxfId="124" priority="2807"/>
    <cfRule type="duplicateValues" dxfId="123" priority="2803"/>
    <cfRule type="duplicateValues" dxfId="122" priority="2802"/>
    <cfRule type="duplicateValues" dxfId="121" priority="2801"/>
    <cfRule type="duplicateValues" dxfId="120" priority="2800"/>
    <cfRule type="duplicateValues" dxfId="119" priority="2808"/>
    <cfRule type="duplicateValues" dxfId="118" priority="2798"/>
    <cfRule type="duplicateValues" dxfId="117" priority="2797"/>
    <cfRule type="duplicateValues" dxfId="116" priority="2796"/>
    <cfRule type="duplicateValues" dxfId="115" priority="2794"/>
    <cfRule type="duplicateValues" dxfId="114" priority="2793"/>
    <cfRule type="duplicateValues" dxfId="113" priority="2792"/>
    <cfRule type="duplicateValues" dxfId="112" priority="2791"/>
    <cfRule type="duplicateValues" dxfId="111" priority="2790"/>
    <cfRule type="duplicateValues" dxfId="110" priority="2789"/>
    <cfRule type="duplicateValues" dxfId="109" priority="2788"/>
    <cfRule type="duplicateValues" dxfId="108" priority="2787"/>
    <cfRule type="duplicateValues" dxfId="107" priority="2809"/>
    <cfRule type="duplicateValues" dxfId="106" priority="2810"/>
    <cfRule type="duplicateValues" dxfId="105" priority="2811"/>
    <cfRule type="duplicateValues" dxfId="104" priority="2812"/>
    <cfRule type="duplicateValues" dxfId="103" priority="2814"/>
    <cfRule type="duplicateValues" dxfId="102" priority="2813"/>
    <cfRule type="duplicateValues" dxfId="101" priority="2804"/>
    <cfRule type="duplicateValues" dxfId="100" priority="2786"/>
    <cfRule type="duplicateValues" dxfId="99" priority="2785"/>
    <cfRule type="duplicateValues" dxfId="98" priority="2784"/>
  </conditionalFormatting>
  <conditionalFormatting sqref="O77:O79">
    <cfRule type="duplicateValues" dxfId="97" priority="2534"/>
    <cfRule type="duplicateValues" dxfId="96" priority="2532"/>
    <cfRule type="duplicateValues" dxfId="95" priority="2533"/>
  </conditionalFormatting>
  <conditionalFormatting sqref="O84:O106">
    <cfRule type="duplicateValues" dxfId="94" priority="2485"/>
    <cfRule type="duplicateValues" dxfId="93" priority="2487"/>
    <cfRule type="duplicateValues" dxfId="92" priority="2486"/>
  </conditionalFormatting>
  <conditionalFormatting sqref="O86 O84 O77">
    <cfRule type="duplicateValues" dxfId="91" priority="2530"/>
    <cfRule type="duplicateValues" dxfId="90" priority="2528"/>
    <cfRule type="duplicateValues" dxfId="89" priority="2529"/>
    <cfRule type="duplicateValues" dxfId="88" priority="2531"/>
  </conditionalFormatting>
  <conditionalFormatting sqref="O111:O112">
    <cfRule type="duplicateValues" dxfId="87" priority="2362"/>
    <cfRule type="duplicateValues" dxfId="86" priority="2363"/>
    <cfRule type="duplicateValues" dxfId="85" priority="2364"/>
  </conditionalFormatting>
  <conditionalFormatting sqref="O114:O180">
    <cfRule type="duplicateValues" dxfId="84" priority="2281"/>
  </conditionalFormatting>
  <conditionalFormatting sqref="O119">
    <cfRule type="duplicateValues" dxfId="83" priority="1832"/>
    <cfRule type="duplicateValues" dxfId="82" priority="1833"/>
    <cfRule type="duplicateValues" dxfId="81" priority="1831"/>
  </conditionalFormatting>
  <conditionalFormatting sqref="O120:O123">
    <cfRule type="duplicateValues" dxfId="80" priority="1708"/>
    <cfRule type="duplicateValues" dxfId="79" priority="1707"/>
    <cfRule type="duplicateValues" dxfId="78" priority="1709"/>
  </conditionalFormatting>
  <conditionalFormatting sqref="O128:O129">
    <cfRule type="duplicateValues" dxfId="77" priority="1191"/>
    <cfRule type="duplicateValues" dxfId="76" priority="1190"/>
    <cfRule type="duplicateValues" dxfId="75" priority="1189"/>
  </conditionalFormatting>
  <conditionalFormatting sqref="O130:O135">
    <cfRule type="duplicateValues" dxfId="74" priority="1020"/>
    <cfRule type="duplicateValues" dxfId="73" priority="1019"/>
    <cfRule type="duplicateValues" dxfId="72" priority="1018"/>
  </conditionalFormatting>
  <conditionalFormatting sqref="O136">
    <cfRule type="duplicateValues" dxfId="71" priority="896"/>
    <cfRule type="duplicateValues" dxfId="70" priority="885"/>
    <cfRule type="duplicateValues" dxfId="69" priority="884"/>
    <cfRule type="duplicateValues" dxfId="68" priority="887"/>
    <cfRule type="duplicateValues" dxfId="67" priority="888"/>
    <cfRule type="duplicateValues" dxfId="66" priority="890"/>
    <cfRule type="duplicateValues" dxfId="65" priority="891"/>
    <cfRule type="duplicateValues" dxfId="64" priority="889"/>
    <cfRule type="duplicateValues" dxfId="63" priority="886"/>
    <cfRule type="duplicateValues" dxfId="62" priority="892"/>
    <cfRule type="duplicateValues" dxfId="61" priority="893"/>
    <cfRule type="duplicateValues" dxfId="60" priority="894"/>
    <cfRule type="duplicateValues" dxfId="59" priority="895"/>
    <cfRule type="duplicateValues" dxfId="58" priority="883"/>
  </conditionalFormatting>
  <conditionalFormatting sqref="O137:O139 O123:O127 O113:O119 O107:O110 O80:O83 O65:O76 O1:O2 O168:O180">
    <cfRule type="duplicateValues" dxfId="57" priority="3528"/>
    <cfRule type="duplicateValues" dxfId="56" priority="3529"/>
    <cfRule type="duplicateValues" dxfId="55" priority="3530"/>
  </conditionalFormatting>
  <conditionalFormatting sqref="O137:O139 O123:O127 O113:O119 O107:O110 O80:O83 O65:O76 O1:O14 O168:O180">
    <cfRule type="duplicateValues" dxfId="54" priority="3524"/>
    <cfRule type="duplicateValues" dxfId="53" priority="3525"/>
    <cfRule type="duplicateValues" dxfId="52" priority="3527"/>
    <cfRule type="duplicateValues" dxfId="51" priority="3526"/>
  </conditionalFormatting>
  <conditionalFormatting sqref="O137:O139 O123:O127 O113:O119 O107:O110 O80:O83 O65:O76 O32:O47 O1:O14 O168:O180">
    <cfRule type="duplicateValues" dxfId="50" priority="3522"/>
  </conditionalFormatting>
  <conditionalFormatting sqref="O137:O139 O123:O127 O113:O119 O107:O110 O80:O83 O65:O76 O32:O55 O1:O14 O168:O180">
    <cfRule type="duplicateValues" dxfId="49" priority="3520"/>
    <cfRule type="duplicateValues" dxfId="48" priority="3521"/>
    <cfRule type="duplicateValues" dxfId="47" priority="3519"/>
    <cfRule type="duplicateValues" dxfId="46" priority="3523"/>
  </conditionalFormatting>
  <conditionalFormatting sqref="O137:O139 O123:O127 O113:O119 O107:O110 O80:O83 O65:O76 O32:O57 O1:O14 O168:O180">
    <cfRule type="duplicateValues" dxfId="45" priority="3518"/>
  </conditionalFormatting>
  <conditionalFormatting sqref="O137:O139 O123:O127 O113:O119 O107:O110 O80:O83 O70:O76 O65:O68 O168:O180">
    <cfRule type="duplicateValues" dxfId="44" priority="2783"/>
  </conditionalFormatting>
  <conditionalFormatting sqref="O140:O167">
    <cfRule type="duplicateValues" dxfId="43" priority="665"/>
    <cfRule type="duplicateValues" dxfId="42" priority="664"/>
    <cfRule type="duplicateValues" dxfId="41" priority="663"/>
  </conditionalFormatting>
  <conditionalFormatting sqref="Q11 Q18">
    <cfRule type="containsText" dxfId="40" priority="3425" operator="containsText" text="VERIFICADO">
      <formula>NOT(ISERROR(SEARCH("VERIFICADO",Q11)))</formula>
    </cfRule>
    <cfRule type="containsText" dxfId="39" priority="3424" operator="containsText" text="PENDIENTES">
      <formula>NOT(ISERROR(SEARCH("PENDIENTES",Q11)))</formula>
    </cfRule>
    <cfRule type="containsText" dxfId="38" priority="3423" operator="containsText" text="TODO OK">
      <formula>NOT(ISERROR(SEARCH("TODO OK",Q11)))</formula>
    </cfRule>
  </conditionalFormatting>
  <conditionalFormatting sqref="Q20">
    <cfRule type="containsText" dxfId="37" priority="3419" operator="containsText" text="VERIFICADO">
      <formula>NOT(ISERROR(SEARCH("VERIFICADO",Q20)))</formula>
    </cfRule>
    <cfRule type="containsText" dxfId="36" priority="3418" operator="containsText" text="PENDIENTES">
      <formula>NOT(ISERROR(SEARCH("PENDIENTES",Q20)))</formula>
    </cfRule>
    <cfRule type="containsText" dxfId="35" priority="3417" operator="containsText" text="TODO OK">
      <formula>NOT(ISERROR(SEARCH("TODO OK",Q20)))</formula>
    </cfRule>
  </conditionalFormatting>
  <conditionalFormatting sqref="Q31">
    <cfRule type="containsText" dxfId="34" priority="3296" operator="containsText" text="TODO OK">
      <formula>NOT(ISERROR(SEARCH("TODO OK",Q31)))</formula>
    </cfRule>
    <cfRule type="containsText" dxfId="33" priority="3298" operator="containsText" text="VERIFICADO">
      <formula>NOT(ISERROR(SEARCH("VERIFICADO",Q31)))</formula>
    </cfRule>
    <cfRule type="containsText" dxfId="32" priority="3297" operator="containsText" text="PENDIENTES">
      <formula>NOT(ISERROR(SEARCH("PENDIENTES",Q31)))</formula>
    </cfRule>
  </conditionalFormatting>
  <conditionalFormatting sqref="Q40">
    <cfRule type="containsText" dxfId="31" priority="3274" operator="containsText" text="VERIFICADO">
      <formula>NOT(ISERROR(SEARCH("VERIFICADO",Q40)))</formula>
    </cfRule>
    <cfRule type="containsText" dxfId="30" priority="3273" operator="containsText" text="PENDIENTES">
      <formula>NOT(ISERROR(SEARCH("PENDIENTES",Q40)))</formula>
    </cfRule>
    <cfRule type="containsText" dxfId="29" priority="3272" operator="containsText" text="TODO OK">
      <formula>NOT(ISERROR(SEARCH("TODO OK",Q40)))</formula>
    </cfRule>
  </conditionalFormatting>
  <conditionalFormatting sqref="Q76">
    <cfRule type="containsText" dxfId="28" priority="2576" operator="containsText" text="PENDIENTES">
      <formula>NOT(ISERROR(SEARCH("PENDIENTES",Q76)))</formula>
    </cfRule>
    <cfRule type="containsText" dxfId="27" priority="2575" operator="containsText" text="TODO OK">
      <formula>NOT(ISERROR(SEARCH("TODO OK",Q76)))</formula>
    </cfRule>
    <cfRule type="containsText" dxfId="26" priority="2577" operator="containsText" text="VERIFICADO">
      <formula>NOT(ISERROR(SEARCH("VERIFICADO",Q76)))</formula>
    </cfRule>
  </conditionalFormatting>
  <conditionalFormatting sqref="R1">
    <cfRule type="containsText" dxfId="25" priority="3517" operator="containsText" text="ENVIADO">
      <formula>NOT(ISERROR(SEARCH("ENVIADO",R1)))</formula>
    </cfRule>
    <cfRule type="containsText" dxfId="24" priority="3516" operator="containsText" text="SIN">
      <formula>NOT(ISERROR(SEARCH("SIN",R1)))</formula>
    </cfRule>
    <cfRule type="containsText" dxfId="23" priority="3515" operator="containsText" text="EMAIL">
      <formula>NOT(ISERROR(SEARCH("EMAIL",R1)))</formula>
    </cfRule>
  </conditionalFormatting>
  <conditionalFormatting sqref="R1:R180">
    <cfRule type="containsText" dxfId="22" priority="3510" operator="containsText" text="VERIFICADO">
      <formula>NOT(ISERROR(SEARCH("VERIFICADO",R1)))</formula>
    </cfRule>
    <cfRule type="containsText" dxfId="21" priority="3511" operator="containsText" text="PENDIENTE">
      <formula>NOT(ISERROR(SEARCH("PENDIENTE",R1)))</formula>
    </cfRule>
    <cfRule type="containsText" dxfId="20" priority="3514" operator="containsText" text="POR ENVIAR">
      <formula>NOT(ISERROR(SEARCH("POR ENVIAR",R1)))</formula>
    </cfRule>
    <cfRule type="containsText" dxfId="19" priority="3513" operator="containsText" text="ENVIADO">
      <formula>NOT(ISERROR(SEARCH("ENVIADO",R1)))</formula>
    </cfRule>
    <cfRule type="containsText" dxfId="18" priority="3512" operator="containsText" text="SEND">
      <formula>NOT(ISERROR(SEARCH("SEND",R1)))</formula>
    </cfRule>
    <cfRule type="containsText" dxfId="17" priority="3509" operator="containsText" text="VERIFICADO">
      <formula>NOT(ISERROR(SEARCH("VERIFICADO",R1)))</formula>
    </cfRule>
  </conditionalFormatting>
  <conditionalFormatting sqref="S1:S180">
    <cfRule type="containsText" dxfId="16" priority="649" operator="containsText" text="N/A">
      <formula>NOT(ISERROR(SEARCH("N/A",S1)))</formula>
    </cfRule>
    <cfRule type="containsText" dxfId="15" priority="650" operator="containsText" text="VENCIDO">
      <formula>NOT(ISERROR(SEARCH("VENCIDO",S1)))</formula>
    </cfRule>
    <cfRule type="containsText" dxfId="14" priority="651" operator="containsText" text="VIGENTE">
      <formula>NOT(ISERROR(SEARCH("VIGENTE",S1)))</formula>
    </cfRule>
  </conditionalFormatting>
  <conditionalFormatting sqref="T1">
    <cfRule type="containsText" dxfId="13" priority="653" operator="containsText" text="PENDIENTE">
      <formula>NOT(ISERROR(SEARCH("PENDIENTE",T1)))</formula>
    </cfRule>
    <cfRule type="containsText" dxfId="12" priority="652" operator="containsText" text="FIRMADO">
      <formula>NOT(ISERROR(SEARCH("FIRMADO",T1)))</formula>
    </cfRule>
  </conditionalFormatting>
  <dataValidations count="1">
    <dataValidation type="list" allowBlank="1" showInputMessage="1" showErrorMessage="1" sqref="S2:S143 S147:S158" xr:uid="{9096C650-3C92-41AC-8C3A-7A03202F917A}">
      <formula1>"N/A, VIGENTE, VENCIDO"</formula1>
    </dataValidation>
  </dataValidations>
  <hyperlinks>
    <hyperlink ref="J31" r:id="rId1" xr:uid="{8682C243-A081-4C9A-9027-15456E9A9E51}"/>
    <hyperlink ref="J32" r:id="rId2" xr:uid="{6B65E649-9D43-407C-AE1C-A0517B2CB68D}"/>
    <hyperlink ref="J33" r:id="rId3" xr:uid="{B09AF4AF-0310-483A-8351-DEFC098E2408}"/>
    <hyperlink ref="J34" r:id="rId4" xr:uid="{FBE5992B-BD7F-41FF-8E23-15CE11E1256D}"/>
    <hyperlink ref="J35" r:id="rId5" xr:uid="{5FC8A11F-F1DB-454C-9F7A-07D3E0B0C10D}"/>
    <hyperlink ref="J138" r:id="rId6" xr:uid="{4ED35AAC-17A5-42B0-901F-A73697DCEC5F}"/>
    <hyperlink ref="J6" r:id="rId7" xr:uid="{BA5E7398-E1F8-4D8F-88D8-80FE58EABAA0}"/>
    <hyperlink ref="J7" r:id="rId8" xr:uid="{117EAA3E-FE3D-41AA-9489-D1AB530A9463}"/>
    <hyperlink ref="J8" r:id="rId9" xr:uid="{667A2DF9-E984-40B8-AEDA-01DBCF54A3DF}"/>
    <hyperlink ref="J9" r:id="rId10" xr:uid="{93C8BCE4-EC19-4689-A1B9-9E6378FF2103}"/>
    <hyperlink ref="J36" r:id="rId11" xr:uid="{FBAA6283-99B5-4588-8E2F-5DBCD324A682}"/>
    <hyperlink ref="J37" r:id="rId12" xr:uid="{0C2EB9B4-0FF6-407D-BB6A-CA7DC5B145B8}"/>
    <hyperlink ref="J38" r:id="rId13" xr:uid="{9B9BB059-E770-4652-BF28-8CB0D04ED707}"/>
    <hyperlink ref="J39" r:id="rId14" xr:uid="{0FF7B88C-D5A9-489A-A7B9-75434C813C64}"/>
    <hyperlink ref="J40" r:id="rId15" xr:uid="{9464FE88-12D1-454D-A6F7-0C3B1FD5F47F}"/>
    <hyperlink ref="J41" r:id="rId16" xr:uid="{BE5919F5-E781-4FD5-9A2B-F1FEB7F99DBE}"/>
    <hyperlink ref="J42" r:id="rId17" xr:uid="{7703F826-F30E-4D64-9732-2CE7241D1DAE}"/>
    <hyperlink ref="J43" r:id="rId18" xr:uid="{707FC496-C180-4877-9C08-03C247FAB35D}"/>
    <hyperlink ref="J44" r:id="rId19" xr:uid="{2949D4D5-D840-46CF-BB4E-0C545DC383A2}"/>
    <hyperlink ref="J45" r:id="rId20" xr:uid="{E7B1F2A3-62B7-4300-9DF0-C4E1EA440CC3}"/>
    <hyperlink ref="J46" r:id="rId21" xr:uid="{9445BF9C-8562-4648-A297-B61FC3A24781}"/>
    <hyperlink ref="J47" r:id="rId22" xr:uid="{C35B2C9B-ABE9-4EF6-B1CB-C51034F01382}"/>
    <hyperlink ref="J48" r:id="rId23" xr:uid="{A98A6CB0-0265-4677-A9DE-55D976139ABE}"/>
    <hyperlink ref="J49" r:id="rId24" xr:uid="{010A55EA-1265-427A-8E2B-20E6265EDE07}"/>
    <hyperlink ref="J50" r:id="rId25" xr:uid="{40487388-FC12-4C4E-87C1-2197F71F7DAB}"/>
    <hyperlink ref="J51" r:id="rId26" xr:uid="{67406A21-291B-429B-9AA6-A2B58B1E23EF}"/>
    <hyperlink ref="J166" r:id="rId27" xr:uid="{C070C890-C8D9-4CAD-9F0E-4E01DF75C01A}"/>
    <hyperlink ref="J167" r:id="rId28" xr:uid="{C063F103-D24F-472D-BF2B-C252B0F07C90}"/>
    <hyperlink ref="J168" r:id="rId29" xr:uid="{2D0B04B0-5CF0-40B7-8716-FF2D59AF4FC1}"/>
    <hyperlink ref="J163" r:id="rId30" xr:uid="{76B23CCA-13EE-4480-96E5-06E02CFEC9BC}"/>
  </hyperlinks>
  <pageMargins left="0.7" right="0.7" top="0.75" bottom="0.75" header="0.3" footer="0.3"/>
  <pageSetup paperSize="9"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33647-C9F4-4469-97CD-ACE9A18994C8}">
  <sheetPr codeName="Hoja2">
    <tabColor theme="9" tint="-0.249977111117893"/>
  </sheetPr>
  <dimension ref="A1:DB75"/>
  <sheetViews>
    <sheetView showGridLines="0" zoomScale="40" zoomScaleNormal="40" workbookViewId="0">
      <pane ySplit="18" topLeftCell="A19" activePane="bottomLeft" state="frozen"/>
      <selection pane="bottomLeft" activeCell="E32" sqref="E32"/>
    </sheetView>
  </sheetViews>
  <sheetFormatPr baseColWidth="10" defaultColWidth="11.42578125" defaultRowHeight="15" x14ac:dyDescent="0.25"/>
  <cols>
    <col min="1" max="1" width="16" style="26" customWidth="1"/>
    <col min="2" max="2" width="53.42578125" style="26" customWidth="1"/>
    <col min="3" max="3" width="74.28515625" style="26" customWidth="1"/>
    <col min="4" max="4" width="23.42578125" style="26" customWidth="1"/>
    <col min="5" max="5" width="57.7109375" style="26" customWidth="1"/>
    <col min="6" max="6" width="23.42578125" style="26" customWidth="1"/>
    <col min="7" max="7" width="38.28515625" style="26" customWidth="1"/>
    <col min="8" max="8" width="23.42578125" style="26" customWidth="1"/>
    <col min="9" max="9" width="33.85546875" style="26" customWidth="1"/>
    <col min="10" max="11" width="25.7109375" style="26" customWidth="1"/>
    <col min="12" max="14" width="25.7109375" style="26" hidden="1" customWidth="1"/>
    <col min="15" max="15" width="36" style="26" hidden="1" customWidth="1"/>
    <col min="16" max="16" width="35.7109375" style="26" hidden="1" customWidth="1"/>
    <col min="17" max="17" width="46.42578125" style="26" hidden="1" customWidth="1"/>
    <col min="18" max="18" width="35.42578125" style="26" customWidth="1"/>
    <col min="19" max="19" width="36" style="26" customWidth="1"/>
    <col min="20" max="20" width="41.85546875" style="26" customWidth="1"/>
    <col min="21" max="21" width="36" style="26" customWidth="1"/>
    <col min="22" max="22" width="37.85546875" style="26" customWidth="1"/>
    <col min="23" max="106" width="11.42578125" style="22"/>
    <col min="107" max="16384" width="11.42578125" style="25"/>
  </cols>
  <sheetData>
    <row r="1" spans="1:22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81"/>
      <c r="V1" s="8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81"/>
      <c r="V2" s="81"/>
    </row>
    <row r="3" spans="1:22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81" t="s">
        <v>62</v>
      </c>
      <c r="V3" s="81" t="s">
        <v>64</v>
      </c>
    </row>
    <row r="4" spans="1:22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81" t="s">
        <v>63</v>
      </c>
      <c r="V4" s="81" t="s">
        <v>65</v>
      </c>
    </row>
    <row r="5" spans="1:22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81"/>
      <c r="V5" s="81"/>
    </row>
    <row r="6" spans="1:22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81"/>
      <c r="V6" s="81"/>
    </row>
    <row r="7" spans="1:22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81"/>
      <c r="V7" s="81"/>
    </row>
    <row r="8" spans="1:22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2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2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spans="1:22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1:22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1:22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1:22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 ht="16.5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 ht="57" customHeight="1" x14ac:dyDescent="0.25">
      <c r="A16" s="21"/>
      <c r="B16" s="21"/>
      <c r="C16" s="57" t="s">
        <v>32</v>
      </c>
      <c r="D16" s="149" t="s">
        <v>76</v>
      </c>
      <c r="E16" s="149"/>
      <c r="F16" s="149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spans="1:106" ht="30" customHeight="1" thickBot="1" x14ac:dyDescent="0.3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153" t="s">
        <v>70</v>
      </c>
      <c r="Q17" s="153"/>
      <c r="R17" s="21"/>
      <c r="S17" s="21"/>
      <c r="T17" s="21"/>
      <c r="U17" s="21"/>
      <c r="V17" s="21"/>
    </row>
    <row r="18" spans="1:106" ht="64.5" customHeight="1" thickBot="1" x14ac:dyDescent="0.3">
      <c r="A18" s="21"/>
      <c r="B18" s="58" t="s">
        <v>52</v>
      </c>
      <c r="C18" s="59" t="s">
        <v>45</v>
      </c>
      <c r="D18" s="154" t="s">
        <v>33</v>
      </c>
      <c r="E18" s="154"/>
      <c r="F18" s="155" t="s">
        <v>34</v>
      </c>
      <c r="G18" s="155"/>
      <c r="H18" s="156" t="s">
        <v>72</v>
      </c>
      <c r="I18" s="156"/>
      <c r="J18" s="157" t="s">
        <v>73</v>
      </c>
      <c r="K18" s="157"/>
      <c r="L18" s="158" t="s">
        <v>53</v>
      </c>
      <c r="M18" s="158"/>
      <c r="N18" s="150" t="s">
        <v>35</v>
      </c>
      <c r="O18" s="150"/>
      <c r="P18" s="151" t="s">
        <v>71</v>
      </c>
      <c r="Q18" s="152"/>
      <c r="R18" s="76" t="s">
        <v>27</v>
      </c>
      <c r="S18" s="77" t="s">
        <v>36</v>
      </c>
      <c r="T18" s="78" t="s">
        <v>37</v>
      </c>
      <c r="U18" s="79" t="s">
        <v>16</v>
      </c>
      <c r="V18" s="80" t="s">
        <v>38</v>
      </c>
    </row>
    <row r="19" spans="1:106" s="24" customFormat="1" ht="64.5" customHeight="1" thickBot="1" x14ac:dyDescent="0.25">
      <c r="A19" s="53" t="s">
        <v>41</v>
      </c>
      <c r="B19" s="55" t="s">
        <v>52</v>
      </c>
      <c r="C19" s="54" t="s">
        <v>45</v>
      </c>
      <c r="D19" s="85" t="s">
        <v>47</v>
      </c>
      <c r="E19" s="86" t="s">
        <v>18</v>
      </c>
      <c r="F19" s="87" t="s">
        <v>55</v>
      </c>
      <c r="G19" s="88" t="s">
        <v>49</v>
      </c>
      <c r="H19" s="89" t="s">
        <v>66</v>
      </c>
      <c r="I19" s="90" t="s">
        <v>48</v>
      </c>
      <c r="J19" s="91" t="s">
        <v>56</v>
      </c>
      <c r="K19" s="92" t="s">
        <v>50</v>
      </c>
      <c r="L19" s="93" t="s">
        <v>67</v>
      </c>
      <c r="M19" s="94" t="s">
        <v>51</v>
      </c>
      <c r="N19" s="95" t="s">
        <v>57</v>
      </c>
      <c r="O19" s="96" t="s">
        <v>68</v>
      </c>
      <c r="P19" s="83" t="s">
        <v>69</v>
      </c>
      <c r="Q19" s="84" t="s">
        <v>58</v>
      </c>
      <c r="R19" s="38" t="s">
        <v>27</v>
      </c>
      <c r="S19" s="39" t="s">
        <v>36</v>
      </c>
      <c r="T19" s="40" t="s">
        <v>37</v>
      </c>
      <c r="U19" s="41" t="s">
        <v>16</v>
      </c>
      <c r="V19" s="42" t="s">
        <v>38</v>
      </c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</row>
    <row r="20" spans="1:106" ht="31.5" x14ac:dyDescent="0.5">
      <c r="A20" s="43">
        <v>1</v>
      </c>
      <c r="B20" s="73">
        <v>43275496</v>
      </c>
      <c r="C20" s="120" t="s">
        <v>77</v>
      </c>
      <c r="D20" s="123">
        <v>2</v>
      </c>
      <c r="E20" s="99">
        <f>(Tabla3[[#This Row],[CANT]]*5000000)</f>
        <v>10000000</v>
      </c>
      <c r="F20" s="123">
        <v>4</v>
      </c>
      <c r="G20" s="99">
        <f>(Tabla3[[#This Row],[CANT2]]*10000000)</f>
        <v>40000000</v>
      </c>
      <c r="H20" s="123"/>
      <c r="I20" s="99"/>
      <c r="J20" s="124"/>
      <c r="K20" s="99"/>
      <c r="L20" s="122"/>
      <c r="M20" s="45"/>
      <c r="N20" s="44"/>
      <c r="O20" s="45"/>
      <c r="P20" s="44"/>
      <c r="Q20" s="45"/>
      <c r="R20" s="103">
        <f t="shared" ref="R20:R50" si="0">(E20+G20+I20+K20+M20+O20+Q20)</f>
        <v>50000000</v>
      </c>
      <c r="S20" s="104">
        <f t="shared" ref="S20:S50" si="1">R20-(R20*10%)</f>
        <v>45000000</v>
      </c>
      <c r="T20" s="105">
        <f t="shared" ref="T20:T50" si="2">(S20*1%)</f>
        <v>450000</v>
      </c>
      <c r="U20" s="100"/>
      <c r="V20" s="100"/>
    </row>
    <row r="21" spans="1:106" ht="31.5" x14ac:dyDescent="0.5">
      <c r="A21" s="46">
        <f t="shared" ref="A21:A50" si="3">(A20+1)</f>
        <v>2</v>
      </c>
      <c r="B21" s="73">
        <v>39542295</v>
      </c>
      <c r="C21" s="121" t="s">
        <v>310</v>
      </c>
      <c r="D21" s="123">
        <v>5</v>
      </c>
      <c r="E21" s="99">
        <f>(Tabla3[[#This Row],[CANT]]*5000000)</f>
        <v>25000000</v>
      </c>
      <c r="F21" s="123">
        <v>2</v>
      </c>
      <c r="G21" s="99">
        <f>(Tabla3[[#This Row],[CANT2]]*10000000)</f>
        <v>20000000</v>
      </c>
      <c r="H21" s="123">
        <v>1</v>
      </c>
      <c r="I21" s="99">
        <f>(Tabla3[[#This Row],[CANT3]]*7500000)</f>
        <v>7500000</v>
      </c>
      <c r="J21" s="124"/>
      <c r="K21" s="99"/>
      <c r="L21" s="110"/>
      <c r="M21" s="48"/>
      <c r="N21" s="47"/>
      <c r="O21" s="48"/>
      <c r="P21" s="47"/>
      <c r="Q21" s="48"/>
      <c r="R21" s="103">
        <f t="shared" si="0"/>
        <v>52500000</v>
      </c>
      <c r="S21" s="104">
        <f t="shared" si="1"/>
        <v>47250000</v>
      </c>
      <c r="T21" s="106">
        <f t="shared" si="2"/>
        <v>472500</v>
      </c>
      <c r="U21" s="100"/>
      <c r="V21" s="100"/>
    </row>
    <row r="22" spans="1:106" ht="31.5" x14ac:dyDescent="0.5">
      <c r="A22" s="49">
        <f t="shared" si="3"/>
        <v>3</v>
      </c>
      <c r="B22" s="73">
        <v>41659982</v>
      </c>
      <c r="C22" s="121" t="s">
        <v>78</v>
      </c>
      <c r="D22" s="123">
        <v>2</v>
      </c>
      <c r="E22" s="99">
        <f>(Tabla3[[#This Row],[CANT]]*5000000)</f>
        <v>10000000</v>
      </c>
      <c r="F22" s="123">
        <v>3</v>
      </c>
      <c r="G22" s="99">
        <f>(Tabla3[[#This Row],[CANT2]]*10000000)</f>
        <v>30000000</v>
      </c>
      <c r="H22" s="123">
        <v>2</v>
      </c>
      <c r="I22" s="99">
        <f>(Tabla3[[#This Row],[CANT3]]*7500000)</f>
        <v>15000000</v>
      </c>
      <c r="J22" s="124"/>
      <c r="K22" s="99"/>
      <c r="L22" s="110"/>
      <c r="M22" s="48"/>
      <c r="N22" s="47"/>
      <c r="O22" s="48"/>
      <c r="P22" s="47"/>
      <c r="Q22" s="48"/>
      <c r="R22" s="103">
        <f t="shared" si="0"/>
        <v>55000000</v>
      </c>
      <c r="S22" s="104">
        <f t="shared" si="1"/>
        <v>49500000</v>
      </c>
      <c r="T22" s="106">
        <f t="shared" si="2"/>
        <v>495000</v>
      </c>
      <c r="U22" s="100"/>
      <c r="V22" s="100"/>
    </row>
    <row r="23" spans="1:106" ht="31.5" x14ac:dyDescent="0.5">
      <c r="A23" s="46">
        <f t="shared" si="3"/>
        <v>4</v>
      </c>
      <c r="B23" s="73">
        <v>3876694</v>
      </c>
      <c r="C23" s="121" t="s">
        <v>79</v>
      </c>
      <c r="D23" s="123">
        <v>8</v>
      </c>
      <c r="E23" s="99">
        <f>(Tabla3[[#This Row],[CANT]]*5000000)</f>
        <v>40000000</v>
      </c>
      <c r="F23" s="123"/>
      <c r="G23" s="99"/>
      <c r="H23" s="123"/>
      <c r="I23" s="99"/>
      <c r="J23" s="124"/>
      <c r="K23" s="99"/>
      <c r="L23" s="110"/>
      <c r="M23" s="48"/>
      <c r="N23" s="47"/>
      <c r="O23" s="48"/>
      <c r="P23" s="47"/>
      <c r="Q23" s="48"/>
      <c r="R23" s="103">
        <f t="shared" si="0"/>
        <v>40000000</v>
      </c>
      <c r="S23" s="104">
        <f t="shared" si="1"/>
        <v>36000000</v>
      </c>
      <c r="T23" s="106">
        <f t="shared" si="2"/>
        <v>360000</v>
      </c>
      <c r="U23" s="100"/>
      <c r="V23" s="100"/>
    </row>
    <row r="24" spans="1:106" ht="31.5" x14ac:dyDescent="0.5">
      <c r="A24" s="49">
        <f t="shared" si="3"/>
        <v>5</v>
      </c>
      <c r="B24" s="73">
        <v>72242857</v>
      </c>
      <c r="C24" s="121" t="s">
        <v>80</v>
      </c>
      <c r="D24" s="123">
        <v>2</v>
      </c>
      <c r="E24" s="99">
        <f>(Tabla3[[#This Row],[CANT]]*5000000)</f>
        <v>10000000</v>
      </c>
      <c r="F24" s="123">
        <v>3</v>
      </c>
      <c r="G24" s="99">
        <f>(Tabla3[[#This Row],[CANT2]]*10000000)</f>
        <v>30000000</v>
      </c>
      <c r="H24" s="123">
        <v>2</v>
      </c>
      <c r="I24" s="99">
        <f>(Tabla3[[#This Row],[CANT3]]*7500000)</f>
        <v>15000000</v>
      </c>
      <c r="J24" s="124"/>
      <c r="K24" s="99"/>
      <c r="L24" s="110"/>
      <c r="M24" s="48"/>
      <c r="N24" s="47"/>
      <c r="O24" s="48"/>
      <c r="P24" s="47"/>
      <c r="Q24" s="48"/>
      <c r="R24" s="103">
        <f t="shared" si="0"/>
        <v>55000000</v>
      </c>
      <c r="S24" s="104">
        <f t="shared" si="1"/>
        <v>49500000</v>
      </c>
      <c r="T24" s="106">
        <f t="shared" si="2"/>
        <v>495000</v>
      </c>
      <c r="U24" s="100"/>
      <c r="V24" s="100"/>
    </row>
    <row r="25" spans="1:106" ht="31.5" x14ac:dyDescent="0.5">
      <c r="A25" s="46">
        <f t="shared" si="3"/>
        <v>6</v>
      </c>
      <c r="B25" s="73">
        <v>7228626</v>
      </c>
      <c r="C25" s="121" t="s">
        <v>81</v>
      </c>
      <c r="D25" s="123">
        <v>5</v>
      </c>
      <c r="E25" s="99">
        <f>(Tabla3[[#This Row],[CANT]]*5000000)</f>
        <v>25000000</v>
      </c>
      <c r="F25" s="123">
        <v>6</v>
      </c>
      <c r="G25" s="99">
        <f>(Tabla3[[#This Row],[CANT2]]*10000000)</f>
        <v>60000000</v>
      </c>
      <c r="H25" s="123">
        <v>2</v>
      </c>
      <c r="I25" s="99">
        <f>(Tabla3[[#This Row],[CANT3]]*7500000)</f>
        <v>15000000</v>
      </c>
      <c r="J25" s="124"/>
      <c r="K25" s="99"/>
      <c r="L25" s="110"/>
      <c r="M25" s="48"/>
      <c r="N25" s="47"/>
      <c r="O25" s="48"/>
      <c r="P25" s="47"/>
      <c r="Q25" s="48"/>
      <c r="R25" s="103">
        <f t="shared" si="0"/>
        <v>100000000</v>
      </c>
      <c r="S25" s="104">
        <f t="shared" si="1"/>
        <v>90000000</v>
      </c>
      <c r="T25" s="106">
        <f t="shared" si="2"/>
        <v>900000</v>
      </c>
      <c r="U25" s="100"/>
      <c r="V25" s="100"/>
    </row>
    <row r="26" spans="1:106" ht="31.5" x14ac:dyDescent="0.5">
      <c r="A26" s="49">
        <f t="shared" si="3"/>
        <v>7</v>
      </c>
      <c r="B26" s="73">
        <v>1129536308</v>
      </c>
      <c r="C26" s="121" t="s">
        <v>82</v>
      </c>
      <c r="D26" s="123">
        <v>1</v>
      </c>
      <c r="E26" s="99">
        <f>(Tabla3[[#This Row],[CANT]]*5000000)</f>
        <v>5000000</v>
      </c>
      <c r="F26" s="123">
        <v>1</v>
      </c>
      <c r="G26" s="99">
        <f>(Tabla3[[#This Row],[CANT2]]*10000000)</f>
        <v>10000000</v>
      </c>
      <c r="H26" s="123">
        <v>2</v>
      </c>
      <c r="I26" s="99">
        <f>(Tabla3[[#This Row],[CANT3]]*7500000)</f>
        <v>15000000</v>
      </c>
      <c r="J26" s="124"/>
      <c r="K26" s="99"/>
      <c r="L26" s="110"/>
      <c r="M26" s="48"/>
      <c r="N26" s="47"/>
      <c r="O26" s="48"/>
      <c r="P26" s="47"/>
      <c r="Q26" s="48"/>
      <c r="R26" s="103">
        <f t="shared" si="0"/>
        <v>30000000</v>
      </c>
      <c r="S26" s="104">
        <f t="shared" si="1"/>
        <v>27000000</v>
      </c>
      <c r="T26" s="106">
        <f t="shared" si="2"/>
        <v>270000</v>
      </c>
      <c r="U26" s="100"/>
      <c r="V26" s="100"/>
    </row>
    <row r="27" spans="1:106" ht="31.5" x14ac:dyDescent="0.5">
      <c r="A27" s="46">
        <f t="shared" si="3"/>
        <v>8</v>
      </c>
      <c r="B27" s="73">
        <v>19123670</v>
      </c>
      <c r="C27" s="121" t="s">
        <v>83</v>
      </c>
      <c r="D27" s="123">
        <v>12</v>
      </c>
      <c r="E27" s="99">
        <f>(Tabla3[[#This Row],[CANT]]*5000000)</f>
        <v>60000000</v>
      </c>
      <c r="F27" s="123">
        <v>3</v>
      </c>
      <c r="G27" s="99">
        <f>(Tabla3[[#This Row],[CANT2]]*10000000)</f>
        <v>30000000</v>
      </c>
      <c r="H27" s="123">
        <v>2</v>
      </c>
      <c r="I27" s="99">
        <f>(Tabla3[[#This Row],[CANT3]]*7500000)</f>
        <v>15000000</v>
      </c>
      <c r="J27" s="124"/>
      <c r="K27" s="99"/>
      <c r="L27" s="110"/>
      <c r="M27" s="48"/>
      <c r="N27" s="47"/>
      <c r="O27" s="48"/>
      <c r="P27" s="47"/>
      <c r="Q27" s="48"/>
      <c r="R27" s="103">
        <f t="shared" si="0"/>
        <v>105000000</v>
      </c>
      <c r="S27" s="104">
        <f t="shared" si="1"/>
        <v>94500000</v>
      </c>
      <c r="T27" s="106">
        <f t="shared" si="2"/>
        <v>945000</v>
      </c>
      <c r="U27" s="100"/>
      <c r="V27" s="100"/>
    </row>
    <row r="28" spans="1:106" ht="31.5" x14ac:dyDescent="0.5">
      <c r="A28" s="49">
        <f t="shared" si="3"/>
        <v>9</v>
      </c>
      <c r="B28" s="73">
        <v>41549222</v>
      </c>
      <c r="C28" s="121" t="s">
        <v>84</v>
      </c>
      <c r="D28" s="123">
        <v>7</v>
      </c>
      <c r="E28" s="99">
        <f>(Tabla3[[#This Row],[CANT]]*5000000)</f>
        <v>35000000</v>
      </c>
      <c r="F28" s="123">
        <v>7</v>
      </c>
      <c r="G28" s="99">
        <f>(Tabla3[[#This Row],[CANT2]]*10000000)</f>
        <v>70000000</v>
      </c>
      <c r="H28" s="123">
        <v>6</v>
      </c>
      <c r="I28" s="99">
        <f>(Tabla3[[#This Row],[CANT3]]*7500000)</f>
        <v>45000000</v>
      </c>
      <c r="J28" s="124"/>
      <c r="K28" s="99"/>
      <c r="L28" s="110"/>
      <c r="M28" s="48"/>
      <c r="N28" s="47"/>
      <c r="O28" s="48"/>
      <c r="P28" s="47"/>
      <c r="Q28" s="48"/>
      <c r="R28" s="103">
        <f t="shared" si="0"/>
        <v>150000000</v>
      </c>
      <c r="S28" s="104">
        <f t="shared" si="1"/>
        <v>135000000</v>
      </c>
      <c r="T28" s="106">
        <f t="shared" si="2"/>
        <v>1350000</v>
      </c>
      <c r="U28" s="100"/>
      <c r="V28" s="100"/>
    </row>
    <row r="29" spans="1:106" ht="31.5" x14ac:dyDescent="0.5">
      <c r="A29" s="46">
        <f t="shared" si="3"/>
        <v>10</v>
      </c>
      <c r="B29" s="73">
        <v>84032166</v>
      </c>
      <c r="C29" s="121" t="s">
        <v>354</v>
      </c>
      <c r="D29" s="123">
        <v>8</v>
      </c>
      <c r="E29" s="99">
        <f>(Tabla3[[#This Row],[CANT]]*5000000)</f>
        <v>40000000</v>
      </c>
      <c r="F29" s="123">
        <v>9</v>
      </c>
      <c r="G29" s="99">
        <f>(Tabla3[[#This Row],[CANT2]]*10000000)</f>
        <v>90000000</v>
      </c>
      <c r="H29" s="123">
        <v>2</v>
      </c>
      <c r="I29" s="99">
        <f>(Tabla3[[#This Row],[CANT3]]*7500000)</f>
        <v>15000000</v>
      </c>
      <c r="J29" s="124"/>
      <c r="K29" s="99"/>
      <c r="L29" s="110"/>
      <c r="M29" s="48"/>
      <c r="N29" s="47"/>
      <c r="O29" s="48"/>
      <c r="P29" s="47"/>
      <c r="Q29" s="48"/>
      <c r="R29" s="103">
        <f t="shared" si="0"/>
        <v>145000000</v>
      </c>
      <c r="S29" s="104">
        <f t="shared" si="1"/>
        <v>130500000</v>
      </c>
      <c r="T29" s="106">
        <f t="shared" si="2"/>
        <v>1305000</v>
      </c>
      <c r="U29" s="100"/>
      <c r="V29" s="100"/>
    </row>
    <row r="30" spans="1:106" ht="31.5" x14ac:dyDescent="0.5">
      <c r="A30" s="49">
        <f t="shared" si="3"/>
        <v>11</v>
      </c>
      <c r="B30" s="73">
        <v>900760096</v>
      </c>
      <c r="C30" s="121" t="s">
        <v>85</v>
      </c>
      <c r="D30" s="123">
        <v>2</v>
      </c>
      <c r="E30" s="99">
        <f>(Tabla3[[#This Row],[CANT]]*5000000)</f>
        <v>10000000</v>
      </c>
      <c r="F30" s="123"/>
      <c r="G30" s="99"/>
      <c r="H30" s="99"/>
      <c r="I30" s="99"/>
      <c r="J30" s="99"/>
      <c r="K30" s="99"/>
      <c r="L30" s="110"/>
      <c r="M30" s="48"/>
      <c r="N30" s="47"/>
      <c r="O30" s="48"/>
      <c r="P30" s="47"/>
      <c r="Q30" s="48"/>
      <c r="R30" s="103">
        <f t="shared" si="0"/>
        <v>10000000</v>
      </c>
      <c r="S30" s="104">
        <f t="shared" si="1"/>
        <v>9000000</v>
      </c>
      <c r="T30" s="106">
        <f t="shared" si="2"/>
        <v>90000</v>
      </c>
      <c r="U30" s="100"/>
      <c r="V30" s="100"/>
    </row>
    <row r="31" spans="1:106" ht="31.5" x14ac:dyDescent="0.5">
      <c r="A31" s="46">
        <f t="shared" si="3"/>
        <v>12</v>
      </c>
      <c r="B31" s="73">
        <v>20315971</v>
      </c>
      <c r="C31" s="121" t="s">
        <v>86</v>
      </c>
      <c r="D31" s="123">
        <v>8</v>
      </c>
      <c r="E31" s="99">
        <f>(Tabla3[[#This Row],[CANT]]*5000000)</f>
        <v>40000000</v>
      </c>
      <c r="F31" s="123">
        <v>5</v>
      </c>
      <c r="G31" s="99">
        <f>(Tabla3[[#This Row],[CANT2]]*10000000)</f>
        <v>50000000</v>
      </c>
      <c r="H31" s="123"/>
      <c r="I31" s="99"/>
      <c r="J31" s="124"/>
      <c r="K31" s="99"/>
      <c r="L31" s="110"/>
      <c r="M31" s="48"/>
      <c r="N31" s="47"/>
      <c r="O31" s="48"/>
      <c r="P31" s="47"/>
      <c r="Q31" s="48"/>
      <c r="R31" s="103">
        <f t="shared" si="0"/>
        <v>90000000</v>
      </c>
      <c r="S31" s="104">
        <f t="shared" si="1"/>
        <v>81000000</v>
      </c>
      <c r="T31" s="106">
        <f t="shared" si="2"/>
        <v>810000</v>
      </c>
      <c r="U31" s="100"/>
      <c r="V31" s="100"/>
    </row>
    <row r="32" spans="1:106" ht="31.5" x14ac:dyDescent="0.5">
      <c r="A32" s="49">
        <f t="shared" si="3"/>
        <v>13</v>
      </c>
      <c r="B32" s="73">
        <v>43808810</v>
      </c>
      <c r="C32" s="121" t="s">
        <v>87</v>
      </c>
      <c r="D32" s="123">
        <v>6</v>
      </c>
      <c r="E32" s="99">
        <f>(Tabla3[[#This Row],[CANT]]*5000000)</f>
        <v>30000000</v>
      </c>
      <c r="F32" s="123">
        <v>1</v>
      </c>
      <c r="G32" s="99">
        <f>(Tabla3[[#This Row],[CANT2]]*10000000)</f>
        <v>10000000</v>
      </c>
      <c r="H32" s="123"/>
      <c r="I32" s="99"/>
      <c r="J32" s="124">
        <v>1</v>
      </c>
      <c r="K32" s="99">
        <f>(Tabla3[[#This Row],[CANT4]]*500000)</f>
        <v>500000</v>
      </c>
      <c r="L32" s="110"/>
      <c r="M32" s="48"/>
      <c r="N32" s="47"/>
      <c r="O32" s="48">
        <f>(Tabla3[[#This Row],[CANT6]]*50000000)</f>
        <v>0</v>
      </c>
      <c r="P32" s="47"/>
      <c r="Q32" s="48"/>
      <c r="R32" s="103">
        <f t="shared" si="0"/>
        <v>40500000</v>
      </c>
      <c r="S32" s="104">
        <f t="shared" si="1"/>
        <v>36450000</v>
      </c>
      <c r="T32" s="106">
        <f t="shared" si="2"/>
        <v>364500</v>
      </c>
      <c r="U32" s="100"/>
      <c r="V32" s="100"/>
    </row>
    <row r="33" spans="1:23" ht="31.5" x14ac:dyDescent="0.5">
      <c r="A33" s="46">
        <f t="shared" si="3"/>
        <v>14</v>
      </c>
      <c r="B33" s="73">
        <v>7223846</v>
      </c>
      <c r="C33" s="121" t="s">
        <v>321</v>
      </c>
      <c r="D33" s="123">
        <v>8</v>
      </c>
      <c r="E33" s="99">
        <f>(Tabla3[[#This Row],[CANT]]*5000000)</f>
        <v>40000000</v>
      </c>
      <c r="F33" s="123">
        <v>6</v>
      </c>
      <c r="G33" s="99">
        <f>(Tabla3[[#This Row],[CANT2]]*10000000)</f>
        <v>60000000</v>
      </c>
      <c r="H33" s="123"/>
      <c r="I33" s="99"/>
      <c r="J33" s="124"/>
      <c r="K33" s="99"/>
      <c r="L33" s="110"/>
      <c r="M33" s="48"/>
      <c r="N33" s="47"/>
      <c r="O33" s="48">
        <f>(Tabla3[[#This Row],[CANT6]]*50000000)</f>
        <v>0</v>
      </c>
      <c r="P33" s="47"/>
      <c r="Q33" s="48"/>
      <c r="R33" s="103">
        <f t="shared" si="0"/>
        <v>100000000</v>
      </c>
      <c r="S33" s="104">
        <f t="shared" si="1"/>
        <v>90000000</v>
      </c>
      <c r="T33" s="106">
        <f t="shared" si="2"/>
        <v>900000</v>
      </c>
      <c r="U33" s="100"/>
      <c r="V33" s="100"/>
    </row>
    <row r="34" spans="1:23" ht="31.5" x14ac:dyDescent="0.5">
      <c r="A34" s="49">
        <f t="shared" si="3"/>
        <v>15</v>
      </c>
      <c r="B34" s="73">
        <v>1014277008</v>
      </c>
      <c r="C34" s="121" t="s">
        <v>211</v>
      </c>
      <c r="D34" s="123">
        <v>9</v>
      </c>
      <c r="E34" s="99">
        <f>(Tabla3[[#This Row],[CANT]]*5000000)</f>
        <v>45000000</v>
      </c>
      <c r="F34" s="123">
        <v>7</v>
      </c>
      <c r="G34" s="99">
        <f>(Tabla3[[#This Row],[CANT2]]*10000000)</f>
        <v>70000000</v>
      </c>
      <c r="H34" s="123">
        <v>6</v>
      </c>
      <c r="I34" s="99">
        <f>(Tabla3[[#This Row],[CANT3]]*7500000)</f>
        <v>45000000</v>
      </c>
      <c r="J34" s="124"/>
      <c r="K34" s="99"/>
      <c r="L34" s="110"/>
      <c r="M34" s="48"/>
      <c r="N34" s="47"/>
      <c r="O34" s="48"/>
      <c r="P34" s="47"/>
      <c r="Q34" s="48"/>
      <c r="R34" s="103">
        <f t="shared" si="0"/>
        <v>160000000</v>
      </c>
      <c r="S34" s="104">
        <f t="shared" si="1"/>
        <v>144000000</v>
      </c>
      <c r="T34" s="106">
        <f t="shared" si="2"/>
        <v>1440000</v>
      </c>
      <c r="U34" s="100"/>
      <c r="V34" s="100"/>
    </row>
    <row r="35" spans="1:23" ht="31.5" x14ac:dyDescent="0.5">
      <c r="A35" s="46">
        <f t="shared" si="3"/>
        <v>16</v>
      </c>
      <c r="B35" s="73">
        <v>79757195</v>
      </c>
      <c r="C35" s="121" t="s">
        <v>327</v>
      </c>
      <c r="D35" s="123">
        <v>7</v>
      </c>
      <c r="E35" s="99">
        <f>(Tabla3[[#This Row],[CANT]]*5000000)</f>
        <v>35000000</v>
      </c>
      <c r="F35" s="123">
        <v>2</v>
      </c>
      <c r="G35" s="99">
        <f>(Tabla3[[#This Row],[CANT2]]*10000000)</f>
        <v>20000000</v>
      </c>
      <c r="H35" s="123"/>
      <c r="I35" s="99"/>
      <c r="J35" s="124"/>
      <c r="K35" s="99"/>
      <c r="L35" s="110"/>
      <c r="M35" s="48"/>
      <c r="N35" s="47"/>
      <c r="O35" s="48"/>
      <c r="P35" s="47"/>
      <c r="Q35" s="48"/>
      <c r="R35" s="103">
        <f t="shared" si="0"/>
        <v>55000000</v>
      </c>
      <c r="S35" s="104">
        <f t="shared" si="1"/>
        <v>49500000</v>
      </c>
      <c r="T35" s="106">
        <f t="shared" si="2"/>
        <v>495000</v>
      </c>
      <c r="U35" s="100"/>
      <c r="V35" s="100"/>
    </row>
    <row r="36" spans="1:23" ht="31.5" x14ac:dyDescent="0.5">
      <c r="A36" s="49">
        <f t="shared" si="3"/>
        <v>17</v>
      </c>
      <c r="B36" s="73">
        <v>13715491</v>
      </c>
      <c r="C36" s="121" t="s">
        <v>194</v>
      </c>
      <c r="D36" s="123">
        <v>51</v>
      </c>
      <c r="E36" s="99">
        <f>(Tabla3[[#This Row],[CANT]]*5000000)</f>
        <v>255000000</v>
      </c>
      <c r="F36" s="123">
        <v>25</v>
      </c>
      <c r="G36" s="99">
        <f>(Tabla3[[#This Row],[CANT2]]*10000000)</f>
        <v>250000000</v>
      </c>
      <c r="H36" s="123">
        <v>3</v>
      </c>
      <c r="I36" s="99">
        <f>(Tabla3[[#This Row],[CANT3]]*7500000)</f>
        <v>22500000</v>
      </c>
      <c r="J36" s="124">
        <v>4</v>
      </c>
      <c r="K36" s="99">
        <f>(Tabla3[[#This Row],[CANT4]]*500000)</f>
        <v>2000000</v>
      </c>
      <c r="L36" s="110"/>
      <c r="M36" s="48"/>
      <c r="N36" s="47"/>
      <c r="O36" s="48"/>
      <c r="P36" s="47"/>
      <c r="Q36" s="48"/>
      <c r="R36" s="103">
        <f t="shared" si="0"/>
        <v>529500000</v>
      </c>
      <c r="S36" s="104">
        <f t="shared" si="1"/>
        <v>476550000</v>
      </c>
      <c r="T36" s="106">
        <f t="shared" si="2"/>
        <v>4765500</v>
      </c>
      <c r="U36" s="100"/>
      <c r="V36" s="100"/>
    </row>
    <row r="37" spans="1:23" ht="31.5" x14ac:dyDescent="0.5">
      <c r="A37" s="46">
        <f t="shared" si="3"/>
        <v>18</v>
      </c>
      <c r="B37" s="73">
        <v>79394729</v>
      </c>
      <c r="C37" s="121" t="s">
        <v>88</v>
      </c>
      <c r="D37" s="123">
        <v>100</v>
      </c>
      <c r="E37" s="99">
        <f>(Tabla3[[#This Row],[CANT]]*5000000)</f>
        <v>500000000</v>
      </c>
      <c r="F37" s="123">
        <v>9</v>
      </c>
      <c r="G37" s="99">
        <f>(Tabla3[[#This Row],[CANT2]]*10000000)</f>
        <v>90000000</v>
      </c>
      <c r="H37" s="123">
        <v>16</v>
      </c>
      <c r="I37" s="99">
        <f>(Tabla3[[#This Row],[CANT3]]*7500000)</f>
        <v>120000000</v>
      </c>
      <c r="J37" s="124">
        <v>22</v>
      </c>
      <c r="K37" s="99">
        <f>(Tabla3[[#This Row],[CANT4]]*500000)</f>
        <v>11000000</v>
      </c>
      <c r="L37" s="110"/>
      <c r="M37" s="48"/>
      <c r="N37" s="47"/>
      <c r="O37" s="48"/>
      <c r="P37" s="47"/>
      <c r="Q37" s="48"/>
      <c r="R37" s="103">
        <f t="shared" si="0"/>
        <v>721000000</v>
      </c>
      <c r="S37" s="104">
        <f t="shared" si="1"/>
        <v>648900000</v>
      </c>
      <c r="T37" s="106">
        <f t="shared" si="2"/>
        <v>6489000</v>
      </c>
      <c r="U37" s="100"/>
      <c r="V37" s="100"/>
    </row>
    <row r="38" spans="1:23" ht="31.5" x14ac:dyDescent="0.5">
      <c r="A38" s="49">
        <f t="shared" si="3"/>
        <v>19</v>
      </c>
      <c r="B38" s="73">
        <v>1013608610</v>
      </c>
      <c r="C38" s="121" t="s">
        <v>89</v>
      </c>
      <c r="D38" s="123">
        <v>6</v>
      </c>
      <c r="E38" s="99">
        <f>(Tabla3[[#This Row],[CANT]]*5000000)</f>
        <v>30000000</v>
      </c>
      <c r="F38" s="123"/>
      <c r="G38" s="99"/>
      <c r="H38" s="99"/>
      <c r="I38" s="99"/>
      <c r="J38" s="99"/>
      <c r="K38" s="99"/>
      <c r="L38" s="110"/>
      <c r="M38" s="48"/>
      <c r="N38" s="47"/>
      <c r="O38" s="48"/>
      <c r="P38" s="47"/>
      <c r="Q38" s="48"/>
      <c r="R38" s="103">
        <f t="shared" si="0"/>
        <v>30000000</v>
      </c>
      <c r="S38" s="104">
        <f t="shared" si="1"/>
        <v>27000000</v>
      </c>
      <c r="T38" s="106">
        <f t="shared" si="2"/>
        <v>270000</v>
      </c>
      <c r="U38" s="100"/>
      <c r="V38" s="100"/>
    </row>
    <row r="39" spans="1:23" ht="31.5" x14ac:dyDescent="0.5">
      <c r="A39" s="46">
        <f t="shared" si="3"/>
        <v>20</v>
      </c>
      <c r="B39" s="73">
        <v>1013614249</v>
      </c>
      <c r="C39" s="121" t="s">
        <v>90</v>
      </c>
      <c r="D39" s="123">
        <v>8</v>
      </c>
      <c r="E39" s="99">
        <f>(Tabla3[[#This Row],[CANT]]*5000000)</f>
        <v>40000000</v>
      </c>
      <c r="F39" s="123"/>
      <c r="G39" s="99"/>
      <c r="H39" s="99"/>
      <c r="I39" s="99"/>
      <c r="J39" s="99"/>
      <c r="K39" s="99"/>
      <c r="L39" s="110"/>
      <c r="M39" s="48"/>
      <c r="N39" s="47"/>
      <c r="O39" s="48"/>
      <c r="P39" s="47"/>
      <c r="Q39" s="48"/>
      <c r="R39" s="103">
        <f t="shared" si="0"/>
        <v>40000000</v>
      </c>
      <c r="S39" s="104">
        <f t="shared" si="1"/>
        <v>36000000</v>
      </c>
      <c r="T39" s="106">
        <f t="shared" si="2"/>
        <v>360000</v>
      </c>
      <c r="U39" s="100"/>
      <c r="V39" s="100"/>
    </row>
    <row r="40" spans="1:23" ht="31.5" x14ac:dyDescent="0.5">
      <c r="A40" s="49">
        <f t="shared" si="3"/>
        <v>21</v>
      </c>
      <c r="B40" s="73">
        <v>85460153</v>
      </c>
      <c r="C40" s="121" t="s">
        <v>91</v>
      </c>
      <c r="D40" s="123">
        <v>13</v>
      </c>
      <c r="E40" s="99">
        <f>(Tabla3[[#This Row],[CANT]]*5000000)</f>
        <v>65000000</v>
      </c>
      <c r="F40" s="123">
        <v>6</v>
      </c>
      <c r="G40" s="99">
        <f>(Tabla3[[#This Row],[CANT2]]*10000000)</f>
        <v>60000000</v>
      </c>
      <c r="H40" s="123">
        <v>2</v>
      </c>
      <c r="I40" s="99">
        <f>(Tabla3[[#This Row],[CANT3]]*7500000)</f>
        <v>15000000</v>
      </c>
      <c r="J40" s="124">
        <v>1</v>
      </c>
      <c r="K40" s="99">
        <f>(Tabla3[[#This Row],[CANT4]]*500000)</f>
        <v>500000</v>
      </c>
      <c r="L40" s="110"/>
      <c r="M40" s="48"/>
      <c r="N40" s="47"/>
      <c r="O40" s="48"/>
      <c r="P40" s="47"/>
      <c r="Q40" s="48"/>
      <c r="R40" s="103">
        <f t="shared" si="0"/>
        <v>140500000</v>
      </c>
      <c r="S40" s="104">
        <f t="shared" si="1"/>
        <v>126450000</v>
      </c>
      <c r="T40" s="106">
        <f t="shared" si="2"/>
        <v>1264500</v>
      </c>
      <c r="U40" s="100"/>
      <c r="V40" s="100"/>
    </row>
    <row r="41" spans="1:23" ht="31.5" x14ac:dyDescent="0.5">
      <c r="A41" s="46">
        <f t="shared" si="3"/>
        <v>22</v>
      </c>
      <c r="B41" s="73">
        <v>19153962</v>
      </c>
      <c r="C41" s="121" t="s">
        <v>92</v>
      </c>
      <c r="D41" s="123">
        <v>10</v>
      </c>
      <c r="E41" s="99">
        <f>(Tabla3[[#This Row],[CANT]]*5000000)</f>
        <v>50000000</v>
      </c>
      <c r="F41" s="123">
        <v>8</v>
      </c>
      <c r="G41" s="99">
        <f>(Tabla3[[#This Row],[CANT2]]*10000000)</f>
        <v>80000000</v>
      </c>
      <c r="H41" s="123">
        <v>4</v>
      </c>
      <c r="I41" s="99">
        <f>(Tabla3[[#This Row],[CANT3]]*7500000)</f>
        <v>30000000</v>
      </c>
      <c r="J41" s="124"/>
      <c r="K41" s="99"/>
      <c r="L41" s="110"/>
      <c r="M41" s="48"/>
      <c r="N41" s="47"/>
      <c r="O41" s="48"/>
      <c r="P41" s="47"/>
      <c r="Q41" s="48"/>
      <c r="R41" s="103">
        <f t="shared" si="0"/>
        <v>160000000</v>
      </c>
      <c r="S41" s="104">
        <f t="shared" si="1"/>
        <v>144000000</v>
      </c>
      <c r="T41" s="106">
        <f t="shared" si="2"/>
        <v>1440000</v>
      </c>
      <c r="U41" s="100"/>
      <c r="V41" s="100"/>
    </row>
    <row r="42" spans="1:23" ht="31.5" x14ac:dyDescent="0.5">
      <c r="A42" s="49">
        <f t="shared" si="3"/>
        <v>23</v>
      </c>
      <c r="B42" s="73">
        <v>79795022</v>
      </c>
      <c r="C42" s="121" t="s">
        <v>93</v>
      </c>
      <c r="D42" s="123">
        <v>41</v>
      </c>
      <c r="E42" s="99">
        <f>(Tabla3[[#This Row],[CANT]]*5000000)</f>
        <v>205000000</v>
      </c>
      <c r="F42" s="123">
        <v>32</v>
      </c>
      <c r="G42" s="99">
        <f>(Tabla3[[#This Row],[CANT2]]*10000000)</f>
        <v>320000000</v>
      </c>
      <c r="H42" s="123">
        <v>11</v>
      </c>
      <c r="I42" s="99">
        <f>(Tabla3[[#This Row],[CANT3]]*7500000)</f>
        <v>82500000</v>
      </c>
      <c r="J42" s="124">
        <v>1</v>
      </c>
      <c r="K42" s="99">
        <f>(Tabla3[[#This Row],[CANT4]]*500000)</f>
        <v>500000</v>
      </c>
      <c r="L42" s="110"/>
      <c r="M42" s="48"/>
      <c r="N42" s="47"/>
      <c r="O42" s="48"/>
      <c r="P42" s="47"/>
      <c r="Q42" s="48"/>
      <c r="R42" s="103">
        <f t="shared" si="0"/>
        <v>608000000</v>
      </c>
      <c r="S42" s="104">
        <f t="shared" si="1"/>
        <v>547200000</v>
      </c>
      <c r="T42" s="106">
        <f t="shared" si="2"/>
        <v>5472000</v>
      </c>
      <c r="U42" s="100"/>
      <c r="V42" s="100"/>
    </row>
    <row r="43" spans="1:23" ht="31.5" x14ac:dyDescent="0.5">
      <c r="A43" s="46">
        <f t="shared" si="3"/>
        <v>24</v>
      </c>
      <c r="B43" s="73">
        <v>15450253</v>
      </c>
      <c r="C43" s="121" t="s">
        <v>94</v>
      </c>
      <c r="D43" s="123">
        <v>12</v>
      </c>
      <c r="E43" s="99">
        <f>(Tabla3[[#This Row],[CANT]]*5000000)</f>
        <v>60000000</v>
      </c>
      <c r="F43" s="123">
        <v>3</v>
      </c>
      <c r="G43" s="99">
        <f>(Tabla3[[#This Row],[CANT2]]*10000000)</f>
        <v>30000000</v>
      </c>
      <c r="H43" s="123">
        <v>1</v>
      </c>
      <c r="I43" s="99">
        <f>(Tabla3[[#This Row],[CANT3]]*7500000)</f>
        <v>7500000</v>
      </c>
      <c r="J43" s="124"/>
      <c r="K43" s="99"/>
      <c r="L43" s="110"/>
      <c r="M43" s="48"/>
      <c r="N43" s="47"/>
      <c r="O43" s="48"/>
      <c r="P43" s="47"/>
      <c r="Q43" s="48"/>
      <c r="R43" s="103">
        <f t="shared" si="0"/>
        <v>97500000</v>
      </c>
      <c r="S43" s="104">
        <f t="shared" si="1"/>
        <v>87750000</v>
      </c>
      <c r="T43" s="106">
        <f t="shared" si="2"/>
        <v>877500</v>
      </c>
      <c r="U43" s="100"/>
      <c r="V43" s="100"/>
    </row>
    <row r="44" spans="1:23" ht="31.5" x14ac:dyDescent="0.5">
      <c r="A44" s="49">
        <f t="shared" si="3"/>
        <v>25</v>
      </c>
      <c r="B44" s="73">
        <v>23555750</v>
      </c>
      <c r="C44" s="121" t="s">
        <v>95</v>
      </c>
      <c r="D44" s="123">
        <v>43</v>
      </c>
      <c r="E44" s="99">
        <f>(Tabla3[[#This Row],[CANT]]*5000000)</f>
        <v>215000000</v>
      </c>
      <c r="F44" s="123">
        <v>22</v>
      </c>
      <c r="G44" s="99">
        <f>(Tabla3[[#This Row],[CANT2]]*10000000)</f>
        <v>220000000</v>
      </c>
      <c r="H44" s="123">
        <v>9</v>
      </c>
      <c r="I44" s="99">
        <f>(Tabla3[[#This Row],[CANT3]]*7500000)</f>
        <v>67500000</v>
      </c>
      <c r="J44" s="124"/>
      <c r="K44" s="99"/>
      <c r="L44" s="110"/>
      <c r="M44" s="48"/>
      <c r="N44" s="47"/>
      <c r="O44" s="48"/>
      <c r="P44" s="47"/>
      <c r="Q44" s="48"/>
      <c r="R44" s="103">
        <f t="shared" si="0"/>
        <v>502500000</v>
      </c>
      <c r="S44" s="104">
        <f t="shared" si="1"/>
        <v>452250000</v>
      </c>
      <c r="T44" s="106">
        <f t="shared" si="2"/>
        <v>4522500</v>
      </c>
      <c r="U44" s="100"/>
      <c r="V44" s="100"/>
    </row>
    <row r="45" spans="1:23" ht="31.5" x14ac:dyDescent="0.5">
      <c r="A45" s="46">
        <f t="shared" si="3"/>
        <v>26</v>
      </c>
      <c r="B45" s="73">
        <v>1016000832</v>
      </c>
      <c r="C45" s="121" t="s">
        <v>336</v>
      </c>
      <c r="D45" s="123">
        <v>5</v>
      </c>
      <c r="E45" s="99">
        <f>(Tabla3[[#This Row],[CANT]]*5000000)</f>
        <v>25000000</v>
      </c>
      <c r="F45" s="123">
        <v>3</v>
      </c>
      <c r="G45" s="99">
        <f>(Tabla3[[#This Row],[CANT2]]*10000000)</f>
        <v>30000000</v>
      </c>
      <c r="H45" s="123"/>
      <c r="I45" s="99"/>
      <c r="J45" s="124"/>
      <c r="K45" s="99"/>
      <c r="L45" s="110"/>
      <c r="M45" s="48"/>
      <c r="N45" s="47"/>
      <c r="O45" s="48"/>
      <c r="P45" s="47"/>
      <c r="Q45" s="48"/>
      <c r="R45" s="103">
        <f t="shared" si="0"/>
        <v>55000000</v>
      </c>
      <c r="S45" s="104">
        <f t="shared" si="1"/>
        <v>49500000</v>
      </c>
      <c r="T45" s="106">
        <f t="shared" si="2"/>
        <v>495000</v>
      </c>
      <c r="U45" s="100"/>
      <c r="V45" s="100"/>
    </row>
    <row r="46" spans="1:23" ht="31.5" x14ac:dyDescent="0.5">
      <c r="A46" s="49">
        <f t="shared" si="3"/>
        <v>27</v>
      </c>
      <c r="B46" s="73">
        <v>80108492</v>
      </c>
      <c r="C46" s="121" t="s">
        <v>340</v>
      </c>
      <c r="D46" s="123">
        <v>107</v>
      </c>
      <c r="E46" s="99">
        <f>(Tabla3[[#This Row],[CANT]]*5000000)</f>
        <v>535000000</v>
      </c>
      <c r="F46" s="123">
        <v>2</v>
      </c>
      <c r="G46" s="99">
        <f>(Tabla3[[#This Row],[CANT2]]*10000000)</f>
        <v>20000000</v>
      </c>
      <c r="H46" s="123"/>
      <c r="I46" s="99"/>
      <c r="J46" s="124"/>
      <c r="K46" s="99"/>
      <c r="L46" s="110"/>
      <c r="M46" s="48"/>
      <c r="N46" s="47"/>
      <c r="O46" s="48"/>
      <c r="P46" s="47"/>
      <c r="Q46" s="48"/>
      <c r="R46" s="103">
        <f t="shared" si="0"/>
        <v>555000000</v>
      </c>
      <c r="S46" s="104">
        <f t="shared" si="1"/>
        <v>499500000</v>
      </c>
      <c r="T46" s="106">
        <f t="shared" si="2"/>
        <v>4995000</v>
      </c>
      <c r="U46" s="100"/>
      <c r="V46" s="100"/>
    </row>
    <row r="47" spans="1:23" ht="31.5" x14ac:dyDescent="0.5">
      <c r="A47" s="49">
        <f t="shared" si="3"/>
        <v>28</v>
      </c>
      <c r="B47" s="73">
        <v>79698816</v>
      </c>
      <c r="C47" s="121" t="s">
        <v>96</v>
      </c>
      <c r="D47" s="123">
        <v>10</v>
      </c>
      <c r="E47" s="99">
        <f>(Tabla3[[#This Row],[CANT]]*5000000)</f>
        <v>50000000</v>
      </c>
      <c r="F47" s="123">
        <v>7</v>
      </c>
      <c r="G47" s="99">
        <f>(Tabla3[[#This Row],[CANT2]]*10000000)</f>
        <v>70000000</v>
      </c>
      <c r="H47" s="123">
        <v>5</v>
      </c>
      <c r="I47" s="99">
        <f>(Tabla3[[#This Row],[CANT3]]*7500000)</f>
        <v>37500000</v>
      </c>
      <c r="J47" s="124"/>
      <c r="K47" s="99"/>
      <c r="L47" s="110"/>
      <c r="M47" s="48"/>
      <c r="N47" s="47"/>
      <c r="O47" s="48">
        <f>(Tabla3[[#This Row],[CANT6]]*50000000)</f>
        <v>0</v>
      </c>
      <c r="P47" s="47"/>
      <c r="Q47" s="48"/>
      <c r="R47" s="103">
        <f t="shared" si="0"/>
        <v>157500000</v>
      </c>
      <c r="S47" s="104">
        <f t="shared" si="1"/>
        <v>141750000</v>
      </c>
      <c r="T47" s="106">
        <f t="shared" si="2"/>
        <v>1417500</v>
      </c>
      <c r="U47" s="100"/>
      <c r="V47" s="100"/>
    </row>
    <row r="48" spans="1:23" ht="31.5" x14ac:dyDescent="0.5">
      <c r="A48" s="49">
        <f t="shared" si="3"/>
        <v>29</v>
      </c>
      <c r="B48" s="73">
        <v>7229429</v>
      </c>
      <c r="C48" s="121" t="s">
        <v>97</v>
      </c>
      <c r="D48" s="123">
        <v>12</v>
      </c>
      <c r="E48" s="99">
        <f>(Tabla3[[#This Row],[CANT]]*5000000)</f>
        <v>60000000</v>
      </c>
      <c r="F48" s="123">
        <v>1</v>
      </c>
      <c r="G48" s="99">
        <f>(Tabla3[[#This Row],[CANT2]]*10000000)</f>
        <v>10000000</v>
      </c>
      <c r="H48" s="123"/>
      <c r="I48" s="99"/>
      <c r="J48" s="124"/>
      <c r="K48" s="99"/>
      <c r="L48" s="110"/>
      <c r="M48" s="109"/>
      <c r="N48" s="110"/>
      <c r="O48" s="109">
        <f>(Tabla3[[#This Row],[CANT6]]*50000000)</f>
        <v>0</v>
      </c>
      <c r="P48" s="110"/>
      <c r="Q48" s="111"/>
      <c r="R48" s="112">
        <f t="shared" si="0"/>
        <v>70000000</v>
      </c>
      <c r="S48" s="112">
        <f t="shared" si="1"/>
        <v>63000000</v>
      </c>
      <c r="T48" s="106">
        <f t="shared" si="2"/>
        <v>630000</v>
      </c>
      <c r="U48" s="100"/>
      <c r="V48" s="100"/>
      <c r="W48" s="26"/>
    </row>
    <row r="49" spans="1:23" ht="31.5" x14ac:dyDescent="0.5">
      <c r="A49" s="46">
        <f t="shared" si="3"/>
        <v>30</v>
      </c>
      <c r="B49" s="73">
        <v>1017149657</v>
      </c>
      <c r="C49" s="121" t="s">
        <v>378</v>
      </c>
      <c r="D49" s="123">
        <v>1</v>
      </c>
      <c r="E49" s="99">
        <f>(Tabla3[[#This Row],[CANT]]*5000000)</f>
        <v>5000000</v>
      </c>
      <c r="F49" s="123">
        <v>4</v>
      </c>
      <c r="G49" s="99">
        <f>(Tabla3[[#This Row],[CANT2]]*10000000)</f>
        <v>40000000</v>
      </c>
      <c r="H49" s="123">
        <v>3</v>
      </c>
      <c r="I49" s="99">
        <f>(Tabla3[[#This Row],[CANT3]]*7500000)</f>
        <v>22500000</v>
      </c>
      <c r="J49" s="124"/>
      <c r="K49" s="99"/>
      <c r="L49" s="110"/>
      <c r="M49" s="109"/>
      <c r="N49" s="110"/>
      <c r="O49" s="109"/>
      <c r="P49" s="110"/>
      <c r="Q49" s="111"/>
      <c r="R49" s="112">
        <f t="shared" si="0"/>
        <v>67500000</v>
      </c>
      <c r="S49" s="112">
        <f t="shared" si="1"/>
        <v>60750000</v>
      </c>
      <c r="T49" s="106">
        <f t="shared" si="2"/>
        <v>607500</v>
      </c>
      <c r="U49" s="100"/>
      <c r="V49" s="100"/>
      <c r="W49" s="26"/>
    </row>
    <row r="50" spans="1:23" ht="31.5" x14ac:dyDescent="0.5">
      <c r="A50" s="49">
        <f t="shared" si="3"/>
        <v>31</v>
      </c>
      <c r="B50" s="73">
        <v>85470011</v>
      </c>
      <c r="C50" s="121" t="s">
        <v>98</v>
      </c>
      <c r="D50" s="123">
        <v>14</v>
      </c>
      <c r="E50" s="99">
        <f>(Tabla3[[#This Row],[CANT]]*5000000)</f>
        <v>70000000</v>
      </c>
      <c r="F50" s="123">
        <v>10</v>
      </c>
      <c r="G50" s="99">
        <f>(Tabla3[[#This Row],[CANT2]]*10000000)</f>
        <v>100000000</v>
      </c>
      <c r="H50" s="123">
        <v>4</v>
      </c>
      <c r="I50" s="99">
        <f>(Tabla3[[#This Row],[CANT3]]*7500000)</f>
        <v>30000000</v>
      </c>
      <c r="J50" s="124"/>
      <c r="K50" s="99"/>
      <c r="L50" s="110"/>
      <c r="M50" s="109"/>
      <c r="N50" s="110"/>
      <c r="O50" s="109"/>
      <c r="P50" s="110"/>
      <c r="Q50" s="111"/>
      <c r="R50" s="112">
        <f t="shared" si="0"/>
        <v>200000000</v>
      </c>
      <c r="S50" s="112">
        <f t="shared" si="1"/>
        <v>180000000</v>
      </c>
      <c r="T50" s="106">
        <f t="shared" si="2"/>
        <v>1800000</v>
      </c>
      <c r="U50" s="100"/>
      <c r="V50" s="100"/>
      <c r="W50" s="26"/>
    </row>
    <row r="51" spans="1:23" ht="31.5" x14ac:dyDescent="0.5">
      <c r="A51" s="49">
        <f t="shared" ref="A51:A56" si="4">(A50+1)</f>
        <v>32</v>
      </c>
      <c r="B51" s="73">
        <v>1016098392</v>
      </c>
      <c r="C51" s="121" t="s">
        <v>99</v>
      </c>
      <c r="D51" s="123">
        <v>2</v>
      </c>
      <c r="E51" s="99">
        <f>(Tabla3[[#This Row],[CANT]]*5000000)</f>
        <v>10000000</v>
      </c>
      <c r="F51" s="123">
        <v>3</v>
      </c>
      <c r="G51" s="99">
        <f>(Tabla3[[#This Row],[CANT2]]*10000000)</f>
        <v>30000000</v>
      </c>
      <c r="H51" s="123">
        <v>2</v>
      </c>
      <c r="I51" s="99">
        <f>(Tabla3[[#This Row],[CANT3]]*7500000)</f>
        <v>15000000</v>
      </c>
      <c r="J51" s="124"/>
      <c r="K51" s="99"/>
      <c r="L51" s="110"/>
      <c r="M51" s="109"/>
      <c r="N51" s="110"/>
      <c r="O51" s="109">
        <f>(Tabla3[[#This Row],[CANT6]]*50000000)</f>
        <v>0</v>
      </c>
      <c r="P51" s="110"/>
      <c r="Q51" s="111"/>
      <c r="R51" s="112">
        <f t="shared" ref="R51:R56" si="5">(E51+G51+I51+K51+M51+O51+Q51)</f>
        <v>55000000</v>
      </c>
      <c r="S51" s="112">
        <f t="shared" ref="S51:S56" si="6">R51-(R51*10%)</f>
        <v>49500000</v>
      </c>
      <c r="T51" s="106">
        <f t="shared" ref="T51:T56" si="7">(S51*1%)</f>
        <v>495000</v>
      </c>
      <c r="U51" s="100"/>
      <c r="V51" s="100"/>
      <c r="W51" s="26"/>
    </row>
    <row r="52" spans="1:23" ht="31.5" x14ac:dyDescent="0.5">
      <c r="A52" s="49">
        <f t="shared" si="4"/>
        <v>33</v>
      </c>
      <c r="B52" s="73">
        <v>4153330</v>
      </c>
      <c r="C52" s="121" t="s">
        <v>100</v>
      </c>
      <c r="D52" s="123">
        <v>2</v>
      </c>
      <c r="E52" s="99">
        <f>(Tabla3[[#This Row],[CANT]]*5000000)</f>
        <v>10000000</v>
      </c>
      <c r="F52" s="123"/>
      <c r="G52" s="99"/>
      <c r="H52" s="99"/>
      <c r="I52" s="99"/>
      <c r="J52" s="99"/>
      <c r="K52" s="99"/>
      <c r="L52" s="110"/>
      <c r="M52" s="109"/>
      <c r="N52" s="110"/>
      <c r="O52" s="109">
        <f>(Tabla3[[#This Row],[CANT6]]*50000000)</f>
        <v>0</v>
      </c>
      <c r="P52" s="110"/>
      <c r="Q52" s="111"/>
      <c r="R52" s="112">
        <f t="shared" si="5"/>
        <v>10000000</v>
      </c>
      <c r="S52" s="112">
        <f t="shared" si="6"/>
        <v>9000000</v>
      </c>
      <c r="T52" s="106">
        <f t="shared" si="7"/>
        <v>90000</v>
      </c>
      <c r="U52" s="100"/>
      <c r="V52" s="100"/>
      <c r="W52" s="26"/>
    </row>
    <row r="53" spans="1:23" ht="31.5" x14ac:dyDescent="0.5">
      <c r="A53" s="49">
        <f t="shared" si="4"/>
        <v>34</v>
      </c>
      <c r="B53" s="73">
        <v>79761575</v>
      </c>
      <c r="C53" s="121" t="s">
        <v>208</v>
      </c>
      <c r="D53" s="123">
        <v>2</v>
      </c>
      <c r="E53" s="99">
        <f>(Tabla3[[#This Row],[CANT]]*5000000)</f>
        <v>10000000</v>
      </c>
      <c r="F53" s="123">
        <v>1</v>
      </c>
      <c r="G53" s="99">
        <f>(Tabla3[[#This Row],[CANT2]]*10000000)</f>
        <v>10000000</v>
      </c>
      <c r="H53" s="123"/>
      <c r="I53" s="99"/>
      <c r="J53" s="124"/>
      <c r="K53" s="99"/>
      <c r="L53" s="110"/>
      <c r="M53" s="109"/>
      <c r="N53" s="110"/>
      <c r="O53" s="109">
        <f>(Tabla3[[#This Row],[CANT6]]*50000000)</f>
        <v>0</v>
      </c>
      <c r="P53" s="110"/>
      <c r="Q53" s="111"/>
      <c r="R53" s="112">
        <f t="shared" si="5"/>
        <v>20000000</v>
      </c>
      <c r="S53" s="112">
        <f t="shared" si="6"/>
        <v>18000000</v>
      </c>
      <c r="T53" s="106">
        <f t="shared" si="7"/>
        <v>180000</v>
      </c>
      <c r="U53" s="100"/>
      <c r="V53" s="100"/>
      <c r="W53" s="26"/>
    </row>
    <row r="54" spans="1:23" ht="31.5" x14ac:dyDescent="0.5">
      <c r="A54" s="49">
        <f t="shared" si="4"/>
        <v>35</v>
      </c>
      <c r="B54" s="73">
        <v>46674485</v>
      </c>
      <c r="C54" s="121" t="s">
        <v>212</v>
      </c>
      <c r="D54" s="123">
        <v>2</v>
      </c>
      <c r="E54" s="99">
        <f>(Tabla3[[#This Row],[CANT]]*5000000)</f>
        <v>10000000</v>
      </c>
      <c r="F54" s="123"/>
      <c r="G54" s="99"/>
      <c r="H54" s="99"/>
      <c r="I54" s="99"/>
      <c r="J54" s="99"/>
      <c r="K54" s="99"/>
      <c r="L54" s="110"/>
      <c r="M54" s="109"/>
      <c r="N54" s="110"/>
      <c r="O54" s="109">
        <f>(Tabla3[[#This Row],[CANT6]]*50000000)</f>
        <v>0</v>
      </c>
      <c r="P54" s="110"/>
      <c r="Q54" s="111"/>
      <c r="R54" s="112">
        <f t="shared" si="5"/>
        <v>10000000</v>
      </c>
      <c r="S54" s="112">
        <f t="shared" si="6"/>
        <v>9000000</v>
      </c>
      <c r="T54" s="106">
        <f t="shared" si="7"/>
        <v>90000</v>
      </c>
      <c r="U54" s="100"/>
      <c r="V54" s="100"/>
      <c r="W54" s="26"/>
    </row>
    <row r="55" spans="1:23" ht="31.5" x14ac:dyDescent="0.5">
      <c r="A55" s="49">
        <f t="shared" si="4"/>
        <v>36</v>
      </c>
      <c r="B55" s="73">
        <v>52551592</v>
      </c>
      <c r="C55" s="121" t="s">
        <v>101</v>
      </c>
      <c r="D55" s="123">
        <v>2</v>
      </c>
      <c r="E55" s="99">
        <f>(Tabla3[[#This Row],[CANT]]*5000000)</f>
        <v>10000000</v>
      </c>
      <c r="F55" s="123">
        <v>3</v>
      </c>
      <c r="G55" s="99">
        <f>(Tabla3[[#This Row],[CANT2]]*10000000)</f>
        <v>30000000</v>
      </c>
      <c r="H55" s="123">
        <v>2</v>
      </c>
      <c r="I55" s="99">
        <f>(Tabla3[[#This Row],[CANT3]]*7500000)</f>
        <v>15000000</v>
      </c>
      <c r="J55" s="124"/>
      <c r="K55" s="99"/>
      <c r="L55" s="110"/>
      <c r="M55" s="109"/>
      <c r="N55" s="110"/>
      <c r="O55" s="109">
        <f>(Tabla3[[#This Row],[CANT6]]*50000000)</f>
        <v>0</v>
      </c>
      <c r="P55" s="110"/>
      <c r="Q55" s="111"/>
      <c r="R55" s="112">
        <f t="shared" si="5"/>
        <v>55000000</v>
      </c>
      <c r="S55" s="112">
        <f t="shared" si="6"/>
        <v>49500000</v>
      </c>
      <c r="T55" s="106">
        <f t="shared" si="7"/>
        <v>495000</v>
      </c>
      <c r="U55" s="100"/>
      <c r="V55" s="100"/>
      <c r="W55" s="26"/>
    </row>
    <row r="56" spans="1:23" ht="31.5" x14ac:dyDescent="0.5">
      <c r="A56" s="49">
        <f t="shared" si="4"/>
        <v>37</v>
      </c>
      <c r="B56" s="73">
        <v>52271874</v>
      </c>
      <c r="C56" s="130" t="s">
        <v>102</v>
      </c>
      <c r="D56" s="123">
        <v>6</v>
      </c>
      <c r="E56" s="99">
        <f>(Tabla3[[#This Row],[CANT]]*5000000)</f>
        <v>30000000</v>
      </c>
      <c r="F56" s="123"/>
      <c r="G56" s="99"/>
      <c r="H56" s="99"/>
      <c r="I56" s="99"/>
      <c r="J56" s="99"/>
      <c r="K56" s="99"/>
      <c r="L56" s="110"/>
      <c r="M56" s="109"/>
      <c r="N56" s="110"/>
      <c r="O56" s="109">
        <f>(Tabla3[[#This Row],[CANT6]]*50000000)</f>
        <v>0</v>
      </c>
      <c r="P56" s="110"/>
      <c r="Q56" s="111"/>
      <c r="R56" s="112">
        <f t="shared" si="5"/>
        <v>30000000</v>
      </c>
      <c r="S56" s="112">
        <f t="shared" si="6"/>
        <v>27000000</v>
      </c>
      <c r="T56" s="106">
        <f t="shared" si="7"/>
        <v>270000</v>
      </c>
      <c r="U56" s="100"/>
      <c r="V56" s="100"/>
      <c r="W56" s="26"/>
    </row>
    <row r="57" spans="1:23" ht="31.5" x14ac:dyDescent="0.5">
      <c r="A57" s="49">
        <f t="shared" ref="A57:A58" si="8">(A56+1)</f>
        <v>38</v>
      </c>
      <c r="B57" s="73">
        <v>5285730</v>
      </c>
      <c r="C57" s="130" t="s">
        <v>345</v>
      </c>
      <c r="D57" s="123">
        <v>8</v>
      </c>
      <c r="E57" s="99">
        <f>(Tabla3[[#This Row],[CANT]]*5000000)</f>
        <v>40000000</v>
      </c>
      <c r="F57" s="123">
        <v>6</v>
      </c>
      <c r="G57" s="99">
        <f>(Tabla3[[#This Row],[CANT2]]*10000000)</f>
        <v>60000000</v>
      </c>
      <c r="H57" s="123"/>
      <c r="I57" s="99"/>
      <c r="J57" s="124"/>
      <c r="K57" s="99"/>
      <c r="L57" s="110"/>
      <c r="M57" s="109"/>
      <c r="N57" s="110"/>
      <c r="O57" s="109">
        <f>(Tabla3[[#This Row],[CANT6]]*50000000)</f>
        <v>0</v>
      </c>
      <c r="P57" s="110"/>
      <c r="Q57" s="111"/>
      <c r="R57" s="103">
        <f t="shared" ref="R57:R58" si="9">(E57+G57+I57+K57+M57+O57+Q57)</f>
        <v>100000000</v>
      </c>
      <c r="S57" s="112">
        <f t="shared" ref="S57:S58" si="10">R57-(R57*10%)</f>
        <v>90000000</v>
      </c>
      <c r="T57" s="106">
        <f t="shared" ref="T57:T58" si="11">(S57*1%)</f>
        <v>900000</v>
      </c>
      <c r="U57" s="100"/>
      <c r="V57" s="100"/>
      <c r="W57" s="26"/>
    </row>
    <row r="58" spans="1:23" ht="31.5" x14ac:dyDescent="0.5">
      <c r="A58" s="49">
        <f t="shared" si="8"/>
        <v>39</v>
      </c>
      <c r="B58" s="73">
        <v>1129574665</v>
      </c>
      <c r="C58" s="130" t="s">
        <v>382</v>
      </c>
      <c r="D58" s="123">
        <v>1</v>
      </c>
      <c r="E58" s="99">
        <f>(Tabla3[[#This Row],[CANT]]*5000000)</f>
        <v>5000000</v>
      </c>
      <c r="F58" s="123">
        <v>4</v>
      </c>
      <c r="G58" s="99">
        <f>(Tabla3[[#This Row],[CANT2]]*10000000)</f>
        <v>40000000</v>
      </c>
      <c r="H58" s="123">
        <v>3</v>
      </c>
      <c r="I58" s="99">
        <f>(Tabla3[[#This Row],[CANT3]]*7500000)</f>
        <v>22500000</v>
      </c>
      <c r="J58" s="124"/>
      <c r="K58" s="99"/>
      <c r="L58" s="110"/>
      <c r="M58" s="109"/>
      <c r="N58" s="110"/>
      <c r="O58" s="129">
        <f>(Tabla3[[#This Row],[CANT6]]*50000000)</f>
        <v>0</v>
      </c>
      <c r="P58" s="110"/>
      <c r="Q58" s="111"/>
      <c r="R58" s="103">
        <f t="shared" si="9"/>
        <v>67500000</v>
      </c>
      <c r="S58" s="112">
        <f t="shared" si="10"/>
        <v>60750000</v>
      </c>
      <c r="T58" s="106">
        <f t="shared" si="11"/>
        <v>607500</v>
      </c>
      <c r="U58" s="100"/>
      <c r="V58" s="100"/>
      <c r="W58" s="26"/>
    </row>
    <row r="59" spans="1:23" x14ac:dyDescent="0.25">
      <c r="W59" s="26"/>
    </row>
    <row r="60" spans="1:23" x14ac:dyDescent="0.25">
      <c r="W60" s="26"/>
    </row>
    <row r="61" spans="1:23" x14ac:dyDescent="0.25">
      <c r="W61" s="26"/>
    </row>
    <row r="62" spans="1:23" x14ac:dyDescent="0.25">
      <c r="W62" s="26"/>
    </row>
    <row r="63" spans="1:23" x14ac:dyDescent="0.25">
      <c r="W63" s="26"/>
    </row>
    <row r="64" spans="1:23" x14ac:dyDescent="0.25">
      <c r="W64" s="26"/>
    </row>
    <row r="65" spans="23:23" x14ac:dyDescent="0.25">
      <c r="W65" s="26"/>
    </row>
    <row r="66" spans="23:23" x14ac:dyDescent="0.25">
      <c r="W66" s="26"/>
    </row>
    <row r="67" spans="23:23" x14ac:dyDescent="0.25">
      <c r="W67" s="26"/>
    </row>
    <row r="68" spans="23:23" x14ac:dyDescent="0.25">
      <c r="W68" s="26"/>
    </row>
    <row r="69" spans="23:23" x14ac:dyDescent="0.25">
      <c r="W69" s="26"/>
    </row>
    <row r="70" spans="23:23" x14ac:dyDescent="0.25">
      <c r="W70" s="26"/>
    </row>
    <row r="71" spans="23:23" x14ac:dyDescent="0.25">
      <c r="W71" s="26"/>
    </row>
    <row r="72" spans="23:23" x14ac:dyDescent="0.25">
      <c r="W72" s="26"/>
    </row>
    <row r="73" spans="23:23" x14ac:dyDescent="0.25">
      <c r="W73" s="26"/>
    </row>
    <row r="74" spans="23:23" x14ac:dyDescent="0.25">
      <c r="W74" s="26"/>
    </row>
    <row r="75" spans="23:23" x14ac:dyDescent="0.25">
      <c r="W75" s="26"/>
    </row>
  </sheetData>
  <mergeCells count="9">
    <mergeCell ref="D16:F16"/>
    <mergeCell ref="N18:O18"/>
    <mergeCell ref="P18:Q18"/>
    <mergeCell ref="P17:Q17"/>
    <mergeCell ref="D18:E18"/>
    <mergeCell ref="F18:G18"/>
    <mergeCell ref="H18:I18"/>
    <mergeCell ref="J18:K18"/>
    <mergeCell ref="L18:M18"/>
  </mergeCells>
  <conditionalFormatting sqref="C20">
    <cfRule type="duplicateValues" dxfId="11" priority="452"/>
  </conditionalFormatting>
  <conditionalFormatting sqref="C21:C46">
    <cfRule type="duplicateValues" dxfId="10" priority="8336"/>
  </conditionalFormatting>
  <conditionalFormatting sqref="C47">
    <cfRule type="duplicateValues" dxfId="9" priority="447"/>
  </conditionalFormatting>
  <conditionalFormatting sqref="C48">
    <cfRule type="duplicateValues" dxfId="8" priority="397"/>
  </conditionalFormatting>
  <conditionalFormatting sqref="C49">
    <cfRule type="duplicateValues" dxfId="7" priority="308"/>
  </conditionalFormatting>
  <conditionalFormatting sqref="C50">
    <cfRule type="duplicateValues" dxfId="6" priority="265"/>
  </conditionalFormatting>
  <conditionalFormatting sqref="C51">
    <cfRule type="duplicateValues" dxfId="5" priority="264"/>
  </conditionalFormatting>
  <conditionalFormatting sqref="C52">
    <cfRule type="duplicateValues" dxfId="4" priority="263"/>
  </conditionalFormatting>
  <conditionalFormatting sqref="C53">
    <cfRule type="duplicateValues" dxfId="3" priority="262"/>
  </conditionalFormatting>
  <conditionalFormatting sqref="C54">
    <cfRule type="duplicateValues" dxfId="2" priority="175"/>
  </conditionalFormatting>
  <conditionalFormatting sqref="C55">
    <cfRule type="duplicateValues" dxfId="1" priority="88"/>
  </conditionalFormatting>
  <conditionalFormatting sqref="C56">
    <cfRule type="duplicateValues" dxfId="0" priority="1"/>
  </conditionalFormatting>
  <dataValidations count="2">
    <dataValidation type="list" allowBlank="1" showInputMessage="1" showErrorMessage="1" sqref="U20:U58" xr:uid="{DBA60CB6-CAAF-4F31-8830-573205AAF55F}">
      <formula1>$U$3:$U$4</formula1>
    </dataValidation>
    <dataValidation type="list" allowBlank="1" showInputMessage="1" showErrorMessage="1" sqref="V20:V58" xr:uid="{9C4A28E9-40F3-4C58-95D9-3EEA7FBF2B91}">
      <formula1>$V$3:$V$4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5ACE-3E5A-4449-8957-9EE3A4E170B6}">
  <sheetPr codeName="Hoja3"/>
  <dimension ref="A1:O53"/>
  <sheetViews>
    <sheetView showGridLines="0" zoomScale="55" zoomScaleNormal="55" workbookViewId="0">
      <selection activeCell="I55" sqref="I55"/>
    </sheetView>
  </sheetViews>
  <sheetFormatPr baseColWidth="10" defaultRowHeight="12.75" x14ac:dyDescent="0.2"/>
  <cols>
    <col min="4" max="4" width="8.7109375" customWidth="1"/>
    <col min="5" max="5" width="29.85546875" customWidth="1"/>
    <col min="6" max="6" width="17.5703125" customWidth="1"/>
    <col min="7" max="7" width="45.7109375" customWidth="1"/>
    <col min="8" max="8" width="11.7109375" customWidth="1"/>
    <col min="9" max="9" width="36.5703125" customWidth="1"/>
    <col min="10" max="10" width="3" customWidth="1"/>
  </cols>
  <sheetData>
    <row r="1" spans="1:15" x14ac:dyDescent="0.2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5" x14ac:dyDescent="0.2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5" x14ac:dyDescent="0.2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5" ht="15" x14ac:dyDescent="0.25">
      <c r="A4" s="56"/>
      <c r="B4" s="56"/>
      <c r="C4" s="56"/>
      <c r="D4" s="21"/>
      <c r="E4" s="21"/>
      <c r="F4" s="21"/>
      <c r="G4" s="21"/>
      <c r="H4" s="21"/>
      <c r="I4" s="21"/>
      <c r="J4" s="21"/>
      <c r="K4" s="21"/>
      <c r="L4" s="21"/>
      <c r="M4" s="21"/>
      <c r="N4" s="56"/>
    </row>
    <row r="5" spans="1:15" ht="34.5" x14ac:dyDescent="0.25">
      <c r="A5" s="56"/>
      <c r="B5" s="56"/>
      <c r="C5" s="56"/>
      <c r="D5" s="21"/>
      <c r="E5" s="57" t="s">
        <v>32</v>
      </c>
      <c r="F5" s="160" t="str">
        <f>('MATRIZ LISTADO'!D16)</f>
        <v>JOSE LUIS RAMIREZ</v>
      </c>
      <c r="G5" s="160"/>
      <c r="H5" s="160"/>
      <c r="I5" s="21"/>
      <c r="J5" s="21"/>
      <c r="K5" s="21"/>
      <c r="L5" s="21"/>
      <c r="M5" s="21"/>
      <c r="N5" s="56"/>
      <c r="O5" s="56"/>
    </row>
    <row r="6" spans="1:15" ht="15" x14ac:dyDescent="0.25">
      <c r="A6" s="56"/>
      <c r="B6" s="56"/>
      <c r="C6" s="56"/>
      <c r="D6" s="21"/>
      <c r="E6" s="21"/>
      <c r="F6" s="21"/>
      <c r="G6" s="21"/>
      <c r="H6" s="21"/>
      <c r="I6" s="21"/>
      <c r="J6" s="21"/>
      <c r="K6" s="21"/>
      <c r="L6" s="21"/>
      <c r="M6" s="21"/>
      <c r="N6" s="56"/>
      <c r="O6" s="56"/>
    </row>
    <row r="7" spans="1:15" ht="36.75" thickBot="1" x14ac:dyDescent="0.6">
      <c r="A7" s="56"/>
      <c r="B7" s="56"/>
      <c r="C7" s="56"/>
      <c r="D7" s="21"/>
      <c r="E7" s="51" t="s">
        <v>45</v>
      </c>
      <c r="F7" s="162" t="str">
        <f>IFERROR(VLOOKUP(F8,'MATRIZ LISTADO'!B19:C58,2,0),"")</f>
        <v>JOSE LUIS RAMIREZ CORREDOR</v>
      </c>
      <c r="G7" s="163"/>
      <c r="H7" s="163"/>
      <c r="I7" s="107"/>
      <c r="J7" s="107"/>
      <c r="K7" s="21"/>
      <c r="L7" s="21"/>
      <c r="M7" s="21"/>
      <c r="N7" s="56"/>
      <c r="O7" s="56"/>
    </row>
    <row r="8" spans="1:15" ht="33.75" x14ac:dyDescent="0.5">
      <c r="A8" s="56"/>
      <c r="B8" s="56"/>
      <c r="C8" s="56"/>
      <c r="D8" s="21"/>
      <c r="E8" s="52" t="s">
        <v>46</v>
      </c>
      <c r="F8" s="161">
        <v>79394729</v>
      </c>
      <c r="G8" s="161"/>
      <c r="H8" s="21"/>
      <c r="I8" s="21"/>
      <c r="J8" s="21"/>
      <c r="K8" s="21"/>
      <c r="L8" s="21"/>
      <c r="M8" s="21"/>
      <c r="N8" s="56"/>
      <c r="O8" s="56"/>
    </row>
    <row r="9" spans="1:15" ht="33.75" x14ac:dyDescent="0.5">
      <c r="A9" s="56"/>
      <c r="B9" s="56"/>
      <c r="C9" s="56"/>
      <c r="D9" s="21"/>
      <c r="E9" s="52"/>
      <c r="F9" s="75"/>
      <c r="G9" s="75"/>
      <c r="H9" s="21"/>
      <c r="I9" s="21"/>
      <c r="J9" s="21"/>
      <c r="K9" s="21"/>
      <c r="L9" s="21"/>
      <c r="M9" s="21"/>
      <c r="N9" s="56"/>
      <c r="O9" s="56"/>
    </row>
    <row r="10" spans="1:15" ht="15" x14ac:dyDescent="0.25">
      <c r="A10" s="56"/>
      <c r="B10" s="56"/>
      <c r="C10" s="56"/>
      <c r="D10" s="21"/>
      <c r="E10" s="35"/>
      <c r="F10" s="36"/>
      <c r="G10" s="36"/>
      <c r="H10" s="36"/>
      <c r="I10" s="36"/>
      <c r="J10" s="50"/>
      <c r="K10" s="21"/>
      <c r="L10" s="21"/>
      <c r="M10" s="21"/>
      <c r="N10" s="56"/>
      <c r="O10" s="56"/>
    </row>
    <row r="11" spans="1:15" ht="28.5" x14ac:dyDescent="0.45">
      <c r="A11" s="56"/>
      <c r="B11" s="56"/>
      <c r="C11" s="56"/>
      <c r="D11" s="21"/>
      <c r="E11" s="35"/>
      <c r="F11" s="66" t="s">
        <v>47</v>
      </c>
      <c r="G11" s="66" t="s">
        <v>59</v>
      </c>
      <c r="H11" s="50"/>
      <c r="I11" s="61" t="s">
        <v>22</v>
      </c>
      <c r="J11" s="50"/>
      <c r="K11" s="21"/>
      <c r="L11" s="21"/>
      <c r="M11" s="21"/>
      <c r="N11" s="56"/>
      <c r="O11" s="56"/>
    </row>
    <row r="12" spans="1:15" ht="31.5" x14ac:dyDescent="0.5">
      <c r="A12" s="56"/>
      <c r="B12" s="56"/>
      <c r="C12" s="56"/>
      <c r="D12" s="21"/>
      <c r="E12" s="67" t="s">
        <v>23</v>
      </c>
      <c r="F12" s="61">
        <f>IFERROR(VLOOKUP($F$8,Tabla3[[#All],[CC-ID-DNI]:[CANT]],3,0),"")</f>
        <v>100</v>
      </c>
      <c r="G12" s="62">
        <f>IFERROR(VLOOKUP($F$8,Tabla3[[#All],[CC-ID-DNI]:[1% PAGO INICIAL]],4,0),"")</f>
        <v>500000000</v>
      </c>
      <c r="H12" s="50"/>
      <c r="I12" s="64" t="s">
        <v>27</v>
      </c>
      <c r="J12" s="50"/>
      <c r="K12" s="21"/>
      <c r="L12" s="21"/>
      <c r="M12" s="21"/>
      <c r="N12" s="56"/>
      <c r="O12" s="56"/>
    </row>
    <row r="13" spans="1:15" ht="9.75" customHeight="1" x14ac:dyDescent="0.45">
      <c r="A13" s="56"/>
      <c r="B13" s="56"/>
      <c r="C13" s="56"/>
      <c r="D13" s="21"/>
      <c r="E13" s="68"/>
      <c r="F13" s="60"/>
      <c r="G13" s="36"/>
      <c r="H13" s="50"/>
      <c r="I13" s="65"/>
      <c r="J13" s="50"/>
      <c r="K13" s="21"/>
      <c r="L13" s="21"/>
      <c r="M13" s="21"/>
      <c r="N13" s="56"/>
      <c r="O13" s="56"/>
    </row>
    <row r="14" spans="1:15" ht="33.75" x14ac:dyDescent="0.5">
      <c r="A14" s="56"/>
      <c r="B14" s="56"/>
      <c r="C14" s="56"/>
      <c r="D14" s="21"/>
      <c r="E14" s="67" t="s">
        <v>42</v>
      </c>
      <c r="F14" s="61">
        <f>IFERROR(VLOOKUP($F$8,Tabla3[[CC-ID-DNI]:[1% PAGO INICIAL]],5,0),"")</f>
        <v>9</v>
      </c>
      <c r="G14" s="62">
        <f>IFERROR(VLOOKUP($F$8,Tabla3[[#All],[CC-ID-DNI]:[1% PAGO INICIAL]],6,0),"")</f>
        <v>90000000</v>
      </c>
      <c r="H14" s="50"/>
      <c r="I14" s="82">
        <f>SUM(G12:G24)</f>
        <v>721000000</v>
      </c>
      <c r="J14" s="50"/>
      <c r="K14" s="21"/>
      <c r="L14" s="21"/>
      <c r="M14" s="21"/>
      <c r="N14" s="56"/>
      <c r="O14" s="56"/>
    </row>
    <row r="15" spans="1:15" ht="9.75" customHeight="1" x14ac:dyDescent="0.25">
      <c r="A15" s="56"/>
      <c r="B15" s="56"/>
      <c r="C15" s="56"/>
      <c r="D15" s="21"/>
      <c r="E15" s="68"/>
      <c r="F15" s="60"/>
      <c r="G15" s="36"/>
      <c r="H15" s="50"/>
      <c r="I15" s="36"/>
      <c r="J15" s="50"/>
      <c r="K15" s="21"/>
      <c r="L15" s="21"/>
      <c r="M15" s="21"/>
      <c r="N15" s="56"/>
      <c r="O15" s="56"/>
    </row>
    <row r="16" spans="1:15" ht="31.5" x14ac:dyDescent="0.5">
      <c r="A16" s="56"/>
      <c r="B16" s="56"/>
      <c r="C16" s="56"/>
      <c r="D16" s="21"/>
      <c r="E16" s="67" t="s">
        <v>24</v>
      </c>
      <c r="F16" s="61">
        <f>IFERROR(VLOOKUP($F$8,Tabla3[[CC-ID-DNI]:[1% PAGO INICIAL]],7,0),"")</f>
        <v>16</v>
      </c>
      <c r="G16" s="62">
        <f>IFERROR(VLOOKUP($F$8,Tabla3[[#All],[CC-ID-DNI]:[1% PAGO INICIAL]],8,0),"")</f>
        <v>120000000</v>
      </c>
      <c r="H16" s="50"/>
      <c r="I16" s="64" t="s">
        <v>36</v>
      </c>
      <c r="J16" s="50"/>
      <c r="K16" s="21"/>
      <c r="L16" s="21"/>
      <c r="M16" s="21"/>
      <c r="N16" s="56"/>
      <c r="O16" s="56"/>
    </row>
    <row r="17" spans="1:15" ht="9.75" customHeight="1" x14ac:dyDescent="0.35">
      <c r="A17" s="56"/>
      <c r="B17" s="56"/>
      <c r="C17" s="56"/>
      <c r="D17" s="21"/>
      <c r="E17" s="68"/>
      <c r="F17" s="60"/>
      <c r="G17" s="36"/>
      <c r="H17" s="50"/>
      <c r="I17" s="63"/>
      <c r="J17" s="50"/>
      <c r="K17" s="21"/>
      <c r="L17" s="21"/>
      <c r="M17" s="21"/>
      <c r="N17" s="56"/>
      <c r="O17" s="56"/>
    </row>
    <row r="18" spans="1:15" ht="31.5" x14ac:dyDescent="0.5">
      <c r="A18" s="56"/>
      <c r="B18" s="56"/>
      <c r="C18" s="56"/>
      <c r="D18" s="21"/>
      <c r="E18" s="67" t="s">
        <v>43</v>
      </c>
      <c r="F18" s="61">
        <f>IFERROR(VLOOKUP($F$8,Tabla3[[CC-ID-DNI]:[1% PAGO INICIAL]],9,0),"")</f>
        <v>22</v>
      </c>
      <c r="G18" s="62">
        <f>IFERROR(VLOOKUP($F$8,Tabla3[[#All],[CC-ID-DNI]:[1% PAGO INICIAL]],10,0),"")</f>
        <v>11000000</v>
      </c>
      <c r="H18" s="50"/>
      <c r="I18" s="62">
        <f>I14-(I14*10%)</f>
        <v>648900000</v>
      </c>
      <c r="J18" s="50"/>
      <c r="K18" s="21"/>
      <c r="L18" s="21"/>
      <c r="M18" s="21"/>
      <c r="N18" s="56"/>
      <c r="O18" s="56"/>
    </row>
    <row r="19" spans="1:15" ht="9.75" customHeight="1" thickBot="1" x14ac:dyDescent="0.5">
      <c r="A19" s="56"/>
      <c r="B19" s="56"/>
      <c r="C19" s="56"/>
      <c r="D19" s="21"/>
      <c r="E19" s="68"/>
      <c r="F19" s="60"/>
      <c r="G19" s="36"/>
      <c r="H19" s="65"/>
      <c r="I19" s="50"/>
      <c r="J19" s="50"/>
      <c r="K19" s="21"/>
      <c r="L19" s="21"/>
      <c r="M19" s="21"/>
      <c r="N19" s="56"/>
      <c r="O19" s="56"/>
    </row>
    <row r="20" spans="1:15" ht="31.5" x14ac:dyDescent="0.5">
      <c r="A20" s="56"/>
      <c r="B20" s="56"/>
      <c r="C20" s="56"/>
      <c r="D20" s="21"/>
      <c r="E20" s="67" t="s">
        <v>44</v>
      </c>
      <c r="F20" s="61">
        <f>IFERROR(VLOOKUP($F$8,Tabla3[[CC-ID-DNI]:[1% PAGO INICIAL]],11,0),"")</f>
        <v>0</v>
      </c>
      <c r="G20" s="62">
        <f>IFERROR(VLOOKUP($F$8,Tabla3[[#All],[CC-ID-DNI]:[1% PAGO INICIAL]],12,0),"")</f>
        <v>0</v>
      </c>
      <c r="H20" s="36"/>
      <c r="I20" s="69" t="s">
        <v>37</v>
      </c>
      <c r="J20" s="50"/>
      <c r="K20" s="21"/>
      <c r="L20" s="21"/>
      <c r="M20" s="21"/>
      <c r="N20" s="56"/>
      <c r="O20" s="56"/>
    </row>
    <row r="21" spans="1:15" ht="9.75" customHeight="1" x14ac:dyDescent="0.45">
      <c r="A21" s="56"/>
      <c r="B21" s="56"/>
      <c r="C21" s="56"/>
      <c r="D21" s="21"/>
      <c r="E21" s="68"/>
      <c r="F21" s="60"/>
      <c r="G21" s="36"/>
      <c r="H21" s="65"/>
      <c r="I21" s="70"/>
      <c r="J21" s="50"/>
      <c r="K21" s="21"/>
      <c r="L21" s="21"/>
      <c r="M21" s="21"/>
      <c r="N21" s="56"/>
      <c r="O21" s="56"/>
    </row>
    <row r="22" spans="1:15" ht="34.5" thickBot="1" x14ac:dyDescent="0.55000000000000004">
      <c r="A22" s="56"/>
      <c r="B22" s="56"/>
      <c r="C22" s="56"/>
      <c r="D22" s="21"/>
      <c r="E22" s="67" t="s">
        <v>25</v>
      </c>
      <c r="F22" s="61">
        <f>IFERROR(VLOOKUP($F$8,Tabla3[[CC-ID-DNI]:[1% PAGO INICIAL]],13,0),"")</f>
        <v>0</v>
      </c>
      <c r="G22" s="62">
        <f>IFERROR(VLOOKUP($F$8,Tabla3[[#All],[CC-ID-DNI]:[1% PAGO INICIAL]],14,0),"")</f>
        <v>0</v>
      </c>
      <c r="H22" s="36"/>
      <c r="I22" s="71">
        <f>(I18*1%)</f>
        <v>6489000</v>
      </c>
      <c r="J22" s="50"/>
      <c r="K22" s="21"/>
      <c r="L22" s="21"/>
      <c r="M22" s="21"/>
      <c r="N22" s="56"/>
      <c r="O22" s="56"/>
    </row>
    <row r="23" spans="1:15" ht="9.75" customHeight="1" x14ac:dyDescent="0.45">
      <c r="A23" s="56"/>
      <c r="B23" s="56"/>
      <c r="C23" s="56"/>
      <c r="D23" s="21"/>
      <c r="E23" s="68"/>
      <c r="F23" s="60"/>
      <c r="G23" s="36"/>
      <c r="H23" s="65"/>
      <c r="I23" s="50"/>
      <c r="J23" s="50"/>
      <c r="K23" s="21"/>
      <c r="L23" s="21"/>
      <c r="M23" s="21"/>
      <c r="N23" s="56"/>
      <c r="O23" s="56"/>
    </row>
    <row r="24" spans="1:15" ht="31.5" x14ac:dyDescent="0.5">
      <c r="A24" s="56"/>
      <c r="B24" s="56"/>
      <c r="C24" s="56"/>
      <c r="D24" s="21"/>
      <c r="E24" s="67" t="s">
        <v>54</v>
      </c>
      <c r="F24" s="74">
        <f>IFERROR(VLOOKUP($F$8,Tabla3[[CC-ID-DNI]:[1% PAGO INICIAL]],15,0),"")</f>
        <v>0</v>
      </c>
      <c r="G24" s="62">
        <f>IFERROR(VLOOKUP($F$8,Tabla3[[#All],[CC-ID-DNI]:[1% PAGO INICIAL]],16,0),"")</f>
        <v>0</v>
      </c>
      <c r="H24" s="36"/>
      <c r="I24" s="36"/>
      <c r="J24" s="50"/>
      <c r="K24" s="21"/>
      <c r="L24" s="21"/>
      <c r="M24" s="21"/>
      <c r="N24" s="56"/>
      <c r="O24" s="56"/>
    </row>
    <row r="25" spans="1:15" ht="20.25" x14ac:dyDescent="0.3">
      <c r="A25" s="56"/>
      <c r="B25" s="56"/>
      <c r="C25" s="56"/>
      <c r="D25" s="21"/>
      <c r="E25" s="37"/>
      <c r="F25" s="36"/>
      <c r="G25" s="36"/>
      <c r="H25" s="36"/>
      <c r="I25" s="36"/>
      <c r="J25" s="50"/>
      <c r="K25" s="21"/>
      <c r="L25" s="21"/>
      <c r="M25" s="21"/>
      <c r="N25" s="56"/>
      <c r="O25" s="56"/>
    </row>
    <row r="26" spans="1:15" ht="15" x14ac:dyDescent="0.25">
      <c r="A26" s="56"/>
      <c r="B26" s="56"/>
      <c r="C26" s="56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56"/>
      <c r="O26" s="56"/>
    </row>
    <row r="27" spans="1:15" x14ac:dyDescent="0.2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</row>
    <row r="28" spans="1:15" x14ac:dyDescent="0.2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</row>
    <row r="29" spans="1:15" x14ac:dyDescent="0.2">
      <c r="J29" s="56"/>
      <c r="K29" s="56"/>
      <c r="L29" s="56"/>
      <c r="M29" s="56"/>
      <c r="N29" s="56"/>
      <c r="O29" s="56"/>
    </row>
    <row r="31" spans="1:15" ht="26.25" customHeight="1" x14ac:dyDescent="0.2">
      <c r="E31" s="72" t="s">
        <v>60</v>
      </c>
      <c r="F31" s="159" t="s">
        <v>61</v>
      </c>
      <c r="G31" s="159"/>
      <c r="H31" s="159"/>
      <c r="I31" s="159"/>
    </row>
    <row r="32" spans="1:15" ht="12.75" customHeight="1" x14ac:dyDescent="0.2">
      <c r="F32" s="159"/>
      <c r="G32" s="159"/>
      <c r="H32" s="159"/>
      <c r="I32" s="159"/>
    </row>
    <row r="33" spans="6:9" ht="12.75" customHeight="1" x14ac:dyDescent="0.2">
      <c r="F33" s="159"/>
      <c r="G33" s="159"/>
      <c r="H33" s="159"/>
      <c r="I33" s="159"/>
    </row>
    <row r="34" spans="6:9" ht="12.75" customHeight="1" x14ac:dyDescent="0.2">
      <c r="F34" s="159"/>
      <c r="G34" s="159"/>
      <c r="H34" s="159"/>
      <c r="I34" s="159"/>
    </row>
    <row r="35" spans="6:9" ht="0.75" customHeight="1" x14ac:dyDescent="0.2">
      <c r="F35" s="159"/>
      <c r="G35" s="159"/>
      <c r="H35" s="159"/>
      <c r="I35" s="159"/>
    </row>
    <row r="36" spans="6:9" ht="12.75" hidden="1" customHeight="1" x14ac:dyDescent="0.2">
      <c r="F36" s="159"/>
      <c r="G36" s="159"/>
      <c r="H36" s="159"/>
      <c r="I36" s="159"/>
    </row>
    <row r="53" spans="9:9" x14ac:dyDescent="0.2">
      <c r="I53" s="113"/>
    </row>
  </sheetData>
  <mergeCells count="4">
    <mergeCell ref="F31:I36"/>
    <mergeCell ref="F5:H5"/>
    <mergeCell ref="F8:G8"/>
    <mergeCell ref="F7:H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A320-4DF1-4B79-B5A9-EBF56EBDB0EF}">
  <sheetPr codeName="Hoja4"/>
  <dimension ref="D2:I15"/>
  <sheetViews>
    <sheetView zoomScale="150" zoomScaleNormal="150" workbookViewId="0">
      <selection activeCell="D19" sqref="D19"/>
    </sheetView>
  </sheetViews>
  <sheetFormatPr baseColWidth="10" defaultColWidth="11.42578125" defaultRowHeight="12.75" x14ac:dyDescent="0.2"/>
  <cols>
    <col min="1" max="3" width="11.42578125" style="5"/>
    <col min="4" max="4" width="15.5703125" style="5" bestFit="1" customWidth="1"/>
    <col min="5" max="5" width="16.7109375" style="5" customWidth="1"/>
    <col min="6" max="6" width="14.7109375" style="5" hidden="1" customWidth="1"/>
    <col min="7" max="7" width="23.5703125" style="5" hidden="1" customWidth="1"/>
    <col min="8" max="8" width="32.28515625" style="5" customWidth="1"/>
    <col min="9" max="16384" width="11.42578125" style="5"/>
  </cols>
  <sheetData>
    <row r="2" spans="4:9" ht="33.75" customHeight="1" thickBot="1" x14ac:dyDescent="0.25">
      <c r="D2" s="164" t="s">
        <v>21</v>
      </c>
      <c r="E2" s="164"/>
      <c r="F2" s="164"/>
      <c r="G2" s="164"/>
    </row>
    <row r="3" spans="4:9" ht="19.5" thickBot="1" x14ac:dyDescent="0.35">
      <c r="D3" s="6"/>
      <c r="E3" s="7">
        <v>3780</v>
      </c>
      <c r="F3" s="8"/>
    </row>
    <row r="4" spans="4:9" x14ac:dyDescent="0.2">
      <c r="E4" s="165"/>
      <c r="F4" s="165"/>
      <c r="G4" s="165"/>
    </row>
    <row r="5" spans="4:9" x14ac:dyDescent="0.2">
      <c r="D5" s="166" t="str">
        <f>('RESUMEN INDIVIDUAL'!F7)</f>
        <v>JOSE LUIS RAMIREZ CORREDOR</v>
      </c>
      <c r="E5" s="166"/>
      <c r="F5" s="166"/>
      <c r="G5" s="166"/>
    </row>
    <row r="6" spans="4:9" ht="24" customHeight="1" thickBot="1" x14ac:dyDescent="0.4">
      <c r="D6" s="9"/>
      <c r="E6" s="10" t="s">
        <v>26</v>
      </c>
      <c r="F6" s="10" t="s">
        <v>27</v>
      </c>
      <c r="G6" s="11">
        <f>('RESUMEN INDIVIDUAL'!I14)</f>
        <v>721000000</v>
      </c>
      <c r="H6" s="10" t="s">
        <v>28</v>
      </c>
      <c r="I6" s="2"/>
    </row>
    <row r="7" spans="4:9" ht="24" thickBot="1" x14ac:dyDescent="0.4">
      <c r="D7" s="12" t="s">
        <v>29</v>
      </c>
      <c r="E7" s="13">
        <v>-0.1</v>
      </c>
      <c r="F7" s="14" t="s">
        <v>30</v>
      </c>
      <c r="G7" s="15">
        <f>G6-(G6*10%)</f>
        <v>648900000</v>
      </c>
      <c r="H7" s="15">
        <f>(G7*E3)</f>
        <v>2452842000000</v>
      </c>
      <c r="I7" s="2"/>
    </row>
    <row r="8" spans="4:9" ht="24" hidden="1" thickBot="1" x14ac:dyDescent="0.4">
      <c r="D8" s="12"/>
      <c r="E8" s="16"/>
      <c r="F8" s="17">
        <v>0.1</v>
      </c>
      <c r="G8" s="18">
        <f>(G7)*10%</f>
        <v>64890000</v>
      </c>
      <c r="H8" s="18">
        <f>(G8*E3)</f>
        <v>245284200000</v>
      </c>
      <c r="I8" s="2"/>
    </row>
    <row r="9" spans="4:9" ht="27" thickBot="1" x14ac:dyDescent="0.45">
      <c r="D9" s="12" t="s">
        <v>31</v>
      </c>
      <c r="E9" s="13">
        <v>0.01</v>
      </c>
      <c r="F9" s="19">
        <v>0.01</v>
      </c>
      <c r="G9" s="20">
        <f>(G7*1%)</f>
        <v>6489000</v>
      </c>
      <c r="H9" s="20">
        <f>(G9*E3)</f>
        <v>24528420000</v>
      </c>
      <c r="I9" s="3"/>
    </row>
    <row r="10" spans="4:9" x14ac:dyDescent="0.2">
      <c r="I10" s="3"/>
    </row>
    <row r="11" spans="4:9" x14ac:dyDescent="0.2">
      <c r="I11" s="2"/>
    </row>
    <row r="12" spans="4:9" x14ac:dyDescent="0.2">
      <c r="I12" s="2"/>
    </row>
    <row r="13" spans="4:9" x14ac:dyDescent="0.2">
      <c r="I13" s="2"/>
    </row>
    <row r="14" spans="4:9" x14ac:dyDescent="0.2">
      <c r="I14" s="2"/>
    </row>
    <row r="15" spans="4:9" x14ac:dyDescent="0.2">
      <c r="I15" s="2"/>
    </row>
  </sheetData>
  <mergeCells count="3">
    <mergeCell ref="D2:G2"/>
    <mergeCell ref="E4:G4"/>
    <mergeCell ref="D5:G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GENERALES</vt:lpstr>
      <vt:lpstr>MATRIZ LISTADO</vt:lpstr>
      <vt:lpstr>RESUMEN INDIVIDUAL</vt:lpstr>
      <vt:lpstr>CONVERTIDOR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Carolina Diaz Suarez</cp:lastModifiedBy>
  <dcterms:created xsi:type="dcterms:W3CDTF">2026-02-10T00:01:49Z</dcterms:created>
  <dcterms:modified xsi:type="dcterms:W3CDTF">2026-09-25T22:00:56Z</dcterms:modified>
</cp:coreProperties>
</file>