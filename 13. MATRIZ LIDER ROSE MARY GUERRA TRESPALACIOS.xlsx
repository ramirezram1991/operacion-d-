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EEE9403D-855F-4E48-8FEB-D3BDF9FE8ACE}" xr6:coauthVersionLast="47" xr6:coauthVersionMax="47" xr10:uidLastSave="{00000000-0000-0000-0000-000000000000}"/>
  <bookViews>
    <workbookView xWindow="-120" yWindow="-120" windowWidth="29040" windowHeight="15720" xr2:uid="{48824FEC-42D6-4632-9118-8ADC756F6732}"/>
  </bookViews>
  <sheets>
    <sheet name="DATOS GENERALES" sheetId="1" r:id="rId1"/>
    <sheet name="Hoja1" sheetId="5" r:id="rId2"/>
    <sheet name="MATRIZ LISTADO" sheetId="3" r:id="rId3"/>
    <sheet name="RESUMEN INDIVIDUAL" sheetId="4" r:id="rId4"/>
  </sheets>
  <definedNames>
    <definedName name="_xlnm._FilterDatabase" localSheetId="0" hidden="1">'DATOS GENERALES'!$A$1:$S$39</definedName>
    <definedName name="_xlnm._FilterDatabase" localSheetId="2" hidden="1">'MATRIZ LISTADO'!$A$19:$CU$19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3" l="1"/>
  <c r="A23" i="3"/>
  <c r="A24" i="3"/>
  <c r="A25" i="3"/>
  <c r="A26" i="3"/>
  <c r="A27" i="3"/>
  <c r="A28" i="3"/>
  <c r="A29" i="3"/>
  <c r="A30" i="3"/>
  <c r="A31" i="3"/>
  <c r="A32" i="3"/>
  <c r="A33" i="3"/>
  <c r="A34" i="3" s="1"/>
  <c r="A35" i="3" s="1"/>
  <c r="A36" i="3" s="1"/>
  <c r="A37" i="3" s="1"/>
  <c r="A38" i="3" s="1"/>
  <c r="A39" i="3" s="1"/>
  <c r="A40" i="3" s="1"/>
  <c r="I40" i="3"/>
  <c r="G40" i="3"/>
  <c r="E40" i="3"/>
  <c r="G37" i="3"/>
  <c r="E37" i="3"/>
  <c r="G32" i="3"/>
  <c r="E31" i="3"/>
  <c r="I31" i="3"/>
  <c r="E29" i="3"/>
  <c r="E25" i="3"/>
  <c r="E22" i="3"/>
  <c r="E35" i="3" l="1"/>
  <c r="J35" i="3" s="1"/>
  <c r="K35" i="3" s="1"/>
  <c r="E36" i="3"/>
  <c r="E38" i="3"/>
  <c r="E39" i="3"/>
  <c r="J40" i="3"/>
  <c r="K40" i="3" s="1"/>
  <c r="G36" i="3"/>
  <c r="G39" i="3"/>
  <c r="I38" i="3"/>
  <c r="I39" i="3"/>
  <c r="T35" i="3"/>
  <c r="U35" i="3" s="1"/>
  <c r="T36" i="3"/>
  <c r="U36" i="3" s="1"/>
  <c r="T37" i="3"/>
  <c r="U37" i="3" s="1"/>
  <c r="T38" i="3"/>
  <c r="U38" i="3" s="1"/>
  <c r="T39" i="3"/>
  <c r="U39" i="3" s="1"/>
  <c r="T40" i="3"/>
  <c r="U40" i="3" s="1"/>
  <c r="L12" i="4"/>
  <c r="L11" i="4"/>
  <c r="F7" i="4"/>
  <c r="I24" i="3"/>
  <c r="I28" i="3"/>
  <c r="I32" i="3"/>
  <c r="I33" i="3"/>
  <c r="G21" i="3"/>
  <c r="J22" i="3"/>
  <c r="G24" i="3"/>
  <c r="J25" i="3"/>
  <c r="G26" i="3"/>
  <c r="G28" i="3"/>
  <c r="G29" i="3"/>
  <c r="J29" i="3" s="1"/>
  <c r="G30" i="3"/>
  <c r="J30" i="3" s="1"/>
  <c r="G31" i="3"/>
  <c r="J31" i="3" s="1"/>
  <c r="G33" i="3"/>
  <c r="G34" i="3"/>
  <c r="E23" i="3"/>
  <c r="E24" i="3"/>
  <c r="E27" i="3"/>
  <c r="E28" i="3"/>
  <c r="E32" i="3"/>
  <c r="E33" i="3"/>
  <c r="E34" i="3"/>
  <c r="G20" i="3"/>
  <c r="O4" i="4"/>
  <c r="E21" i="3"/>
  <c r="A21" i="3"/>
  <c r="J39" i="3" l="1"/>
  <c r="K39" i="3" s="1"/>
  <c r="L39" i="3" s="1"/>
  <c r="J38" i="3"/>
  <c r="K38" i="3" s="1"/>
  <c r="M38" i="3" s="1"/>
  <c r="J37" i="3"/>
  <c r="K37" i="3" s="1"/>
  <c r="L37" i="3" s="1"/>
  <c r="J36" i="3"/>
  <c r="K36" i="3" s="1"/>
  <c r="L36" i="3" s="1"/>
  <c r="L35" i="3"/>
  <c r="N35" i="3"/>
  <c r="M35" i="3"/>
  <c r="L40" i="3"/>
  <c r="N40" i="3"/>
  <c r="M40" i="3"/>
  <c r="J27" i="3"/>
  <c r="K27" i="3" s="1"/>
  <c r="M27" i="3" s="1"/>
  <c r="J28" i="3"/>
  <c r="K28" i="3" s="1"/>
  <c r="L28" i="3" s="1"/>
  <c r="J26" i="3"/>
  <c r="K26" i="3" s="1"/>
  <c r="L26" i="3" s="1"/>
  <c r="J24" i="3"/>
  <c r="K24" i="3" s="1"/>
  <c r="L24" i="3" s="1"/>
  <c r="J34" i="3"/>
  <c r="K34" i="3" s="1"/>
  <c r="L34" i="3" s="1"/>
  <c r="J33" i="3"/>
  <c r="K33" i="3" s="1"/>
  <c r="M33" i="3" s="1"/>
  <c r="J23" i="3"/>
  <c r="K23" i="3" s="1"/>
  <c r="L23" i="3" s="1"/>
  <c r="J20" i="3"/>
  <c r="K20" i="3" s="1"/>
  <c r="N20" i="3" s="1"/>
  <c r="J21" i="3"/>
  <c r="K21" i="3" s="1"/>
  <c r="N21" i="3" s="1"/>
  <c r="J32" i="3"/>
  <c r="K32" i="3" s="1"/>
  <c r="M32" i="3" s="1"/>
  <c r="K25" i="3"/>
  <c r="M25" i="3" s="1"/>
  <c r="K22" i="3"/>
  <c r="M22" i="3" s="1"/>
  <c r="K30" i="3"/>
  <c r="L30" i="3" s="1"/>
  <c r="K31" i="3"/>
  <c r="M31" i="3" s="1"/>
  <c r="K29" i="3"/>
  <c r="N29" i="3" s="1"/>
  <c r="M39" i="3" l="1"/>
  <c r="N39" i="3"/>
  <c r="N38" i="3"/>
  <c r="L38" i="3"/>
  <c r="N37" i="3"/>
  <c r="M37" i="3"/>
  <c r="M36" i="3"/>
  <c r="N36" i="3"/>
  <c r="N24" i="3"/>
  <c r="I22" i="4" s="1"/>
  <c r="M24" i="3"/>
  <c r="M23" i="3"/>
  <c r="N23" i="3"/>
  <c r="L25" i="3"/>
  <c r="L21" i="3"/>
  <c r="N25" i="3"/>
  <c r="M20" i="3"/>
  <c r="L20" i="3"/>
  <c r="M34" i="3"/>
  <c r="N31" i="3"/>
  <c r="L31" i="3"/>
  <c r="N30" i="3"/>
  <c r="M30" i="3"/>
  <c r="N34" i="3"/>
  <c r="N28" i="3"/>
  <c r="M21" i="3"/>
  <c r="L32" i="3"/>
  <c r="L33" i="3"/>
  <c r="N33" i="3"/>
  <c r="N26" i="3"/>
  <c r="N22" i="3"/>
  <c r="M28" i="3"/>
  <c r="N32" i="3"/>
  <c r="L22" i="3"/>
  <c r="M29" i="3"/>
  <c r="L27" i="3"/>
  <c r="L29" i="3"/>
  <c r="N27" i="3"/>
  <c r="M26" i="3"/>
  <c r="I18" i="4" l="1"/>
  <c r="P11" i="4" s="1"/>
  <c r="P12" i="4"/>
  <c r="L7" i="4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T27" i="3"/>
  <c r="U27" i="3" s="1"/>
  <c r="T26" i="3"/>
  <c r="U26" i="3" s="1"/>
  <c r="T25" i="3"/>
  <c r="U25" i="3" s="1"/>
  <c r="T24" i="3"/>
  <c r="U24" i="3" s="1"/>
  <c r="T23" i="3"/>
  <c r="U23" i="3" s="1"/>
  <c r="T22" i="3"/>
  <c r="U22" i="3" s="1"/>
  <c r="T21" i="3"/>
  <c r="T20" i="3"/>
  <c r="U20" i="3" s="1"/>
  <c r="U21" i="3" l="1"/>
  <c r="F5" i="4"/>
  <c r="G16" i="4"/>
  <c r="G14" i="4"/>
  <c r="G12" i="4"/>
  <c r="F16" i="4"/>
  <c r="F14" i="4"/>
  <c r="F12" i="4"/>
  <c r="E20" i="4" l="1"/>
  <c r="G20" i="4" l="1"/>
  <c r="P9" i="4" s="1"/>
  <c r="I14" i="4" l="1"/>
  <c r="P1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26A43-A817-49FD-8E53-B3A636B494F2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<sst xmlns="http://schemas.openxmlformats.org/spreadsheetml/2006/main" count="706" uniqueCount="279">
  <si>
    <t>ENVIADO</t>
  </si>
  <si>
    <t>2Q</t>
  </si>
  <si>
    <t>NEQUI</t>
  </si>
  <si>
    <t>1Q</t>
  </si>
  <si>
    <t>SKR SI/NO</t>
  </si>
  <si>
    <t>LIDER</t>
  </si>
  <si>
    <t>MONTO</t>
  </si>
  <si>
    <t>NOMBRE COMPLETO</t>
  </si>
  <si>
    <t>FECHA</t>
  </si>
  <si>
    <t>TOTAL</t>
  </si>
  <si>
    <t>QUINTILLION</t>
  </si>
  <si>
    <t>VIGINTILLION</t>
  </si>
  <si>
    <t>USD</t>
  </si>
  <si>
    <t>PESOS COLOMBIANOS</t>
  </si>
  <si>
    <t>PAGO TOTAL</t>
  </si>
  <si>
    <t xml:space="preserve">LIDER: </t>
  </si>
  <si>
    <t>QUINTILLION 5M</t>
  </si>
  <si>
    <t>NONGENTILLION 10M</t>
  </si>
  <si>
    <t>TOTAL -10%</t>
  </si>
  <si>
    <t>1% PAGO INICIAL</t>
  </si>
  <si>
    <t>FIDUCIA/NUBE</t>
  </si>
  <si>
    <t>LISTA</t>
  </si>
  <si>
    <t>NONGENTILLION</t>
  </si>
  <si>
    <t>NOMBRE</t>
  </si>
  <si>
    <t>CC/ID/DNI</t>
  </si>
  <si>
    <t>CANT</t>
  </si>
  <si>
    <t>MONTO3</t>
  </si>
  <si>
    <t>MONTO2</t>
  </si>
  <si>
    <t>CC-ID-DNI</t>
  </si>
  <si>
    <t>CANT2</t>
  </si>
  <si>
    <t>PAGO</t>
  </si>
  <si>
    <t>SI</t>
  </si>
  <si>
    <t>NO</t>
  </si>
  <si>
    <t>FIDUCIA</t>
  </si>
  <si>
    <t>NUBE</t>
  </si>
  <si>
    <t>CANT3</t>
  </si>
  <si>
    <t>VIGINTILLION 7,5M</t>
  </si>
  <si>
    <t>ID/CC/DNI</t>
  </si>
  <si>
    <t>PASAPORTE</t>
  </si>
  <si>
    <t>PAIS</t>
  </si>
  <si>
    <t>ESTADO</t>
  </si>
  <si>
    <t>CIUDAD</t>
  </si>
  <si>
    <t>DIRECCION</t>
  </si>
  <si>
    <t>COD POSTAL</t>
  </si>
  <si>
    <t>CORREO</t>
  </si>
  <si>
    <t xml:space="preserve">TELEFONO </t>
  </si>
  <si>
    <t>REF</t>
  </si>
  <si>
    <t>CIS/ MANDATE</t>
  </si>
  <si>
    <t>COLOMBIA</t>
  </si>
  <si>
    <t>N/A</t>
  </si>
  <si>
    <t>BANK</t>
  </si>
  <si>
    <t>1N</t>
  </si>
  <si>
    <t xml:space="preserve">PORCENTAJES </t>
  </si>
  <si>
    <t>BANCO</t>
  </si>
  <si>
    <t>% FIDUCIA</t>
  </si>
  <si>
    <t>% NUBE</t>
  </si>
  <si>
    <t>100%</t>
  </si>
  <si>
    <t>ORDEN DE PAGOS</t>
  </si>
  <si>
    <t>https://www.dolar-colombia.com/</t>
  </si>
  <si>
    <t>Consulta  con el valor del dólar (TRM) Aquí</t>
  </si>
  <si>
    <t>1% PAGO BANCO</t>
  </si>
  <si>
    <t>PAGO CON DESCUENTOS</t>
  </si>
  <si>
    <t>1Q+1N+1V</t>
  </si>
  <si>
    <t xml:space="preserve">PASAPORTE + 3 MESES </t>
  </si>
  <si>
    <t>25 SEP - 4 NOV</t>
  </si>
  <si>
    <t>1Q+1N+2V</t>
  </si>
  <si>
    <t>ROSE MARY GUERRA</t>
  </si>
  <si>
    <t>PRODUCTO / MATERIAL</t>
  </si>
  <si>
    <t>ALVARO ANDRES GARCIA BARRANTES</t>
  </si>
  <si>
    <t>AS637489</t>
  </si>
  <si>
    <t>Carrera 85b #56d-37</t>
  </si>
  <si>
    <t>alvaroyjulian@yahoo.com</t>
  </si>
  <si>
    <t>2Q+1N</t>
  </si>
  <si>
    <t>M22384304</t>
  </si>
  <si>
    <t>NEQUI/COMPARTIDO</t>
  </si>
  <si>
    <t>DANUIL  GARCIA RAPALINO</t>
  </si>
  <si>
    <t>BC443323</t>
  </si>
  <si>
    <t>CARRERA 85B # 56D - 37 SUR</t>
  </si>
  <si>
    <t>(+57) 3155523911</t>
  </si>
  <si>
    <t>2Q+3N+5V</t>
  </si>
  <si>
    <t>M3088419</t>
  </si>
  <si>
    <t>2Q+3N+2V</t>
  </si>
  <si>
    <t>M44084594</t>
  </si>
  <si>
    <t>M15034313</t>
  </si>
  <si>
    <t>2N</t>
  </si>
  <si>
    <t>ELIZABETH AMPUDIA DE GUZMAN</t>
  </si>
  <si>
    <t>CESAR</t>
  </si>
  <si>
    <t>AGUSTIN CODAZZI</t>
  </si>
  <si>
    <t>CALLE 11C # 11-31 BARRIO LAS FLORES</t>
  </si>
  <si>
    <t>ampudia1946@gmail.com</t>
  </si>
  <si>
    <t>(+57) 3172467537</t>
  </si>
  <si>
    <t>M25054322</t>
  </si>
  <si>
    <t>GARY LAINEXER LOPEZ LOPEZ</t>
  </si>
  <si>
    <t>CURUMANI</t>
  </si>
  <si>
    <t>CL 10 # 2-46 BARRIO SARA LUCIA.</t>
  </si>
  <si>
    <t>abogadolopez91@gmail.com</t>
  </si>
  <si>
    <t>(+57) 3145061971</t>
  </si>
  <si>
    <t>0000094094</t>
  </si>
  <si>
    <t>BANCOLOMBIA</t>
  </si>
  <si>
    <t>JANETH DEL CARMEN CARDONA GONZALEZ</t>
  </si>
  <si>
    <t>BF987761</t>
  </si>
  <si>
    <t>CALLE 64 C 103 A 20</t>
  </si>
  <si>
    <t>janethcardonagonzalez@gmail.com</t>
  </si>
  <si>
    <t>(+57) 3115535602</t>
  </si>
  <si>
    <t>M2915327</t>
  </si>
  <si>
    <t>JUAN CARLOS MORENO MENA</t>
  </si>
  <si>
    <t>AV079717</t>
  </si>
  <si>
    <t>ANTIOQUIA</t>
  </si>
  <si>
    <t>MEDELLÍN</t>
  </si>
  <si>
    <t>CALLE 61 #75-153 BARRIO SAN GERMAN</t>
  </si>
  <si>
    <t>jmencar0048@gmail.com</t>
  </si>
  <si>
    <t>GANADOR SORTEO</t>
  </si>
  <si>
    <t>PREMIO</t>
  </si>
  <si>
    <t>JULIÁN ALBERTO TRIANA TORRES</t>
  </si>
  <si>
    <t>AT893525</t>
  </si>
  <si>
    <t>TOLIMA</t>
  </si>
  <si>
    <t>MZ C CASA 17 ALBANIA 2 IBAGUÉ</t>
  </si>
  <si>
    <t>(+57) 3145194427</t>
  </si>
  <si>
    <t>M02509188</t>
  </si>
  <si>
    <t>LINDA LISETH LÓPEZ LÓPEZ</t>
  </si>
  <si>
    <t>VALLEDUPAR</t>
  </si>
  <si>
    <t>CARRERA 5 # 1-115</t>
  </si>
  <si>
    <t>lisethlopez215@gmail.com</t>
  </si>
  <si>
    <t>(+57) 3107404635</t>
  </si>
  <si>
    <t>M17720316</t>
  </si>
  <si>
    <t>MILENA JANETH BARRANTES GONZALEZ</t>
  </si>
  <si>
    <t>BC443544</t>
  </si>
  <si>
    <t>milenaybebegarcia@yahoo.es</t>
  </si>
  <si>
    <t>(+57) 3163420286</t>
  </si>
  <si>
    <t>M3037172</t>
  </si>
  <si>
    <t>NEY TRESPALACIOS CENTENO</t>
  </si>
  <si>
    <t>BA789824</t>
  </si>
  <si>
    <t>CALLE 48 A SUR 87 D 49</t>
  </si>
  <si>
    <t>neytrescent1@gmail.com</t>
  </si>
  <si>
    <t>(+57) 3242114160</t>
  </si>
  <si>
    <t>388636266411237376</t>
  </si>
  <si>
    <t>BINANCE</t>
  </si>
  <si>
    <t>NORIS GARCIA CENTENO</t>
  </si>
  <si>
    <t>BE242467</t>
  </si>
  <si>
    <t>norisgarciac1@gmail.com</t>
  </si>
  <si>
    <t>(+57) 3009583927</t>
  </si>
  <si>
    <t>M10925224</t>
  </si>
  <si>
    <t>PEDRO MANUEL GALEZO LEON</t>
  </si>
  <si>
    <t>BA875408</t>
  </si>
  <si>
    <t>pedritogazelo@gmail.com</t>
  </si>
  <si>
    <t>(+57) 3212699441</t>
  </si>
  <si>
    <t>M24783398</t>
  </si>
  <si>
    <t>ROSE MARY GUERRA DE TRESPALACIOS</t>
  </si>
  <si>
    <t>BA789825</t>
  </si>
  <si>
    <t>KRA 100 50 B 45 SUR SENDEROS DE PORVENIR IV</t>
  </si>
  <si>
    <t>maryrossyg@gmail.com</t>
  </si>
  <si>
    <t>(+57) 3044735211</t>
  </si>
  <si>
    <t>M4818089</t>
  </si>
  <si>
    <t>8V</t>
  </si>
  <si>
    <t>TOMAS FELIPE PADILLA HERRERA</t>
  </si>
  <si>
    <t>ATLANTICO</t>
  </si>
  <si>
    <t>MALAMBO</t>
  </si>
  <si>
    <t>(+57) 3003879826</t>
  </si>
  <si>
    <t>M1470338</t>
  </si>
  <si>
    <t>TOMAS RAFAEL PADILLA PEREZ</t>
  </si>
  <si>
    <t>topa.2310@hotmail.com</t>
  </si>
  <si>
    <t>(+57) 3015483541</t>
  </si>
  <si>
    <t>M23098979</t>
  </si>
  <si>
    <t>VIGENTE</t>
  </si>
  <si>
    <t>(+57) 3233020171</t>
  </si>
  <si>
    <t>M21073904</t>
  </si>
  <si>
    <t>ELBA PONTON QUESADA</t>
  </si>
  <si>
    <t>M26475127</t>
  </si>
  <si>
    <t>CITRE ORTIZ MEJIA</t>
  </si>
  <si>
    <t>NIDIA BARRIOS AREVALO</t>
  </si>
  <si>
    <t>ALBEIRO ORTIZ MEJIA</t>
  </si>
  <si>
    <t>FAUSTINO ANTONIO URINA BARRIOS</t>
  </si>
  <si>
    <t>M07302739</t>
  </si>
  <si>
    <t>CONSUELO VILLERO DUARTE</t>
  </si>
  <si>
    <t>BOYACA</t>
  </si>
  <si>
    <t>TUNJA</t>
  </si>
  <si>
    <t>C 12 #15 A 12</t>
  </si>
  <si>
    <t>(+57) 3143402279</t>
  </si>
  <si>
    <t>OBSERVACIONES</t>
  </si>
  <si>
    <t>PENDIENTE</t>
  </si>
  <si>
    <t>ortizsitri@gmail.com</t>
  </si>
  <si>
    <t>elponque90@gmail.com</t>
  </si>
  <si>
    <t>AV093244</t>
  </si>
  <si>
    <t>CHIRIGUANA</t>
  </si>
  <si>
    <t>CL 8A No. 5-66</t>
  </si>
  <si>
    <t xml:space="preserve">SIN REGISTRO </t>
  </si>
  <si>
    <t>(+57) 3233111264</t>
  </si>
  <si>
    <t>050001</t>
  </si>
  <si>
    <t>CHIMICHAGUA</t>
  </si>
  <si>
    <t>(+57) 3182159627</t>
  </si>
  <si>
    <t xml:space="preserve">CR 9 # 5 - 46 </t>
  </si>
  <si>
    <t>nidiajudithbarros@hotmail.com</t>
  </si>
  <si>
    <t>201050</t>
  </si>
  <si>
    <t>canizaresrafael226@gmail.com</t>
  </si>
  <si>
    <t>t-padilla@hotmail.com</t>
  </si>
  <si>
    <t>LINDA LISETH LOPEZ LOPEZ</t>
  </si>
  <si>
    <t xml:space="preserve">KR 85B NO 56D SUR -37 PI 3 </t>
  </si>
  <si>
    <t>BOGOTA</t>
  </si>
  <si>
    <t>BOGOTA D.C.</t>
  </si>
  <si>
    <t>IBAGUE</t>
  </si>
  <si>
    <t>CL 83 SUR TORRE 10 91 -70 APT 503</t>
  </si>
  <si>
    <t xml:space="preserve">CL 4 A5 CR 1A - 21 </t>
  </si>
  <si>
    <t xml:space="preserve">KR 14 CL 16 - 34 </t>
  </si>
  <si>
    <t>AX298262</t>
  </si>
  <si>
    <t>CRA 19C 1 CL 6A-46</t>
  </si>
  <si>
    <t>consuelovillero3.1@gmail.com</t>
  </si>
  <si>
    <t>JIMMY JOSE ROJAS GONZALEZ</t>
  </si>
  <si>
    <t>CALLE 12 SUR#18 ESTE 95 IN 3 AP 202 BOGOTA, D.C.- SAN CRISTOBAL SUR</t>
  </si>
  <si>
    <t>(+57) 3003136798</t>
  </si>
  <si>
    <t>LUIS ENRIQUE ROJAS MIJARES</t>
  </si>
  <si>
    <t>CALLE 12 SUR # 18 ESTE 95 IN 3 AP 202 BOGOTA D.C. SAN CRISTOBAL SUR</t>
  </si>
  <si>
    <t>jr8587300@gmail.com</t>
  </si>
  <si>
    <t>(+57) 3167522068</t>
  </si>
  <si>
    <t>(+57) 3126282223</t>
  </si>
  <si>
    <t>leoyubra.2015@gmail.com</t>
  </si>
  <si>
    <t>DA567684</t>
  </si>
  <si>
    <t>SECTOR 1 MZ 49-22 URBANIZACION VILLA DARIANA</t>
  </si>
  <si>
    <t>norte0177@hotmail.com</t>
  </si>
  <si>
    <t>(+57) 3103677798</t>
  </si>
  <si>
    <t>JOSE GREGORIO BARRIOS ALVAREZ</t>
  </si>
  <si>
    <t xml:space="preserve">CESAR MIGUEL VIELMA TAPIA </t>
  </si>
  <si>
    <t>MANUEL ANTONIO TAPIA</t>
  </si>
  <si>
    <t>MARIA ELENA DAZA DE LOPEZ</t>
  </si>
  <si>
    <t>VENEZUELA</t>
  </si>
  <si>
    <t>ZULIA</t>
  </si>
  <si>
    <t>MARACAIBO</t>
  </si>
  <si>
    <t>SECTOR LA MACANDOLA AV 77 CONJUNTO RESIDENCIAL CAMPO VERDE APARTAMENTO 02</t>
  </si>
  <si>
    <t>CATAMARAVIT@GMAIL.COM</t>
  </si>
  <si>
    <t>BA197825</t>
  </si>
  <si>
    <t>ATLÁNTICO</t>
  </si>
  <si>
    <t>SABANA LARGA</t>
  </si>
  <si>
    <t>CALLE 15 KR 11 - 181 SABANA LARGA</t>
  </si>
  <si>
    <t>R95246765</t>
  </si>
  <si>
    <t>EEUU</t>
  </si>
  <si>
    <t>ARIZONA</t>
  </si>
  <si>
    <t>1770 N VALLEY Dr LOT 27 APACHE JUNCTION AZ 85120-1972</t>
  </si>
  <si>
    <t>tapiamanuel1965@gmail.com</t>
  </si>
  <si>
    <t>M14832135</t>
  </si>
  <si>
    <t>CAJA</t>
  </si>
  <si>
    <t>M10388785</t>
  </si>
  <si>
    <t>M09714505</t>
  </si>
  <si>
    <t>M12454187</t>
  </si>
  <si>
    <t>M04778616</t>
  </si>
  <si>
    <t>ALEJANDRO JAVIER SAAVEDRA TRIVIÑO</t>
  </si>
  <si>
    <t>BH376870</t>
  </si>
  <si>
    <t>META</t>
  </si>
  <si>
    <t>VILLAVICENCIO</t>
  </si>
  <si>
    <t>saavedraalejandrojavier@gmail.com</t>
  </si>
  <si>
    <t>BF134948</t>
  </si>
  <si>
    <t>CARRERA 52 CALLE 86-97 APTO 801</t>
  </si>
  <si>
    <t>mariaelenadazamae2@gmail.com</t>
  </si>
  <si>
    <t>FATIMA DEL ROSARIO BOLAÑO MENDOZA</t>
  </si>
  <si>
    <t>BD586068</t>
  </si>
  <si>
    <t>CUNDINAMARCA</t>
  </si>
  <si>
    <t>CALLE 52 79B-43</t>
  </si>
  <si>
    <t>fabome49@gmail.com</t>
  </si>
  <si>
    <t>MÓNICA MIREYA ARZUAGA MEJIA</t>
  </si>
  <si>
    <t>BF286801</t>
  </si>
  <si>
    <t>CALLE 5 KRR 19-57</t>
  </si>
  <si>
    <t>200001</t>
  </si>
  <si>
    <t>monicaarzuagamejia@gmail.com</t>
  </si>
  <si>
    <t>(+58) 4123403570</t>
  </si>
  <si>
    <t>(+57) 3223722975</t>
  </si>
  <si>
    <t>(+57) 3012467169</t>
  </si>
  <si>
    <t>(+57) 3015014046</t>
  </si>
  <si>
    <t>(+57) 3013236059</t>
  </si>
  <si>
    <t>(+1) 6232246918</t>
  </si>
  <si>
    <t>DA563011</t>
  </si>
  <si>
    <t>2V</t>
  </si>
  <si>
    <t>M15170314</t>
  </si>
  <si>
    <t>(+57) 3215176496</t>
  </si>
  <si>
    <t>CR 13 E # 36 231 CS 106 CON BOSQUES DE ABAJAM ET 3</t>
  </si>
  <si>
    <t>BD006056</t>
  </si>
  <si>
    <t>CARRERA 4 L CALLE 21 BIS -53 SANTA RITA</t>
  </si>
  <si>
    <t>faustinourina1957@gmail.com</t>
  </si>
  <si>
    <t>(+57) 3166821674</t>
  </si>
  <si>
    <t>085001</t>
  </si>
  <si>
    <t>dgogoyo2@gmail.com</t>
  </si>
  <si>
    <t>EDITAR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</si>
</sst>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\ #,##0"/>
    <numFmt numFmtId="165" formatCode="d/mm/yyyy;@"/>
    <numFmt numFmtId="166" formatCode="dd/mm/yyyy;@"/>
    <numFmt numFmtId="167" formatCode="&quot;$&quot;\ #,##0.00"/>
    <numFmt numFmtId="168" formatCode="[$-F800]dddd\,\ mmmm\ dd\,\ yyyy"/>
  </numFmts>
  <fonts count="6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rgb="FF000000"/>
      <name val="Arial"/>
      <family val="2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b/>
      <sz val="26"/>
      <color theme="5" tint="0.79998168889431442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32"/>
      <color theme="6" tint="-0.249977111117893"/>
      <name val="Britannic Bold"/>
      <family val="2"/>
    </font>
    <font>
      <u/>
      <sz val="10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scadia Code Light"/>
      <family val="3"/>
    </font>
    <font>
      <sz val="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000000"/>
      <name val="Algerian"/>
      <family val="5"/>
    </font>
    <font>
      <b/>
      <sz val="12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0" fontId="9" fillId="0" borderId="0"/>
    <xf numFmtId="0" fontId="6" fillId="0" borderId="0"/>
    <xf numFmtId="0" fontId="4" fillId="0" borderId="0"/>
    <xf numFmtId="0" fontId="3" fillId="21" borderId="0" applyNumberFormat="0" applyBorder="0" applyAlignment="0" applyProtection="0"/>
    <xf numFmtId="0" fontId="51" fillId="0" borderId="0" applyNumberFormat="0" applyFill="0" applyBorder="0" applyAlignment="0" applyProtection="0"/>
    <xf numFmtId="0" fontId="2" fillId="0" borderId="0"/>
    <xf numFmtId="0" fontId="1" fillId="0" borderId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64" fillId="0" borderId="0" applyNumberFormat="0" applyFill="0" applyBorder="0" applyAlignment="0" applyProtection="0"/>
  </cellStyleXfs>
  <cellXfs count="170">
    <xf numFmtId="0" fontId="0" fillId="0" borderId="0" xfId="0"/>
    <xf numFmtId="0" fontId="10" fillId="4" borderId="0" xfId="1" applyFont="1" applyFill="1" applyBorder="1"/>
    <xf numFmtId="0" fontId="9" fillId="4" borderId="0" xfId="3" applyFill="1"/>
    <xf numFmtId="0" fontId="13" fillId="4" borderId="0" xfId="3" applyFont="1" applyFill="1" applyAlignment="1">
      <alignment horizontal="right"/>
    </xf>
    <xf numFmtId="167" fontId="13" fillId="4" borderId="0" xfId="3" applyNumberFormat="1" applyFont="1" applyFill="1" applyAlignment="1">
      <alignment vertical="center"/>
    </xf>
    <xf numFmtId="0" fontId="6" fillId="4" borderId="0" xfId="4" applyFill="1" applyAlignment="1">
      <alignment horizontal="center"/>
    </xf>
    <xf numFmtId="0" fontId="6" fillId="4" borderId="0" xfId="4" applyFill="1"/>
    <xf numFmtId="0" fontId="6" fillId="4" borderId="0" xfId="4" applyFill="1" applyAlignment="1">
      <alignment horizontal="center" vertical="center"/>
    </xf>
    <xf numFmtId="0" fontId="6" fillId="10" borderId="0" xfId="4" applyFill="1" applyAlignment="1">
      <alignment horizontal="center" vertical="center"/>
    </xf>
    <xf numFmtId="0" fontId="6" fillId="0" borderId="0" xfId="4"/>
    <xf numFmtId="0" fontId="6" fillId="0" borderId="0" xfId="4" applyAlignment="1">
      <alignment horizontal="center"/>
    </xf>
    <xf numFmtId="1" fontId="9" fillId="4" borderId="0" xfId="3" applyNumberFormat="1" applyFill="1" applyAlignment="1">
      <alignment horizontal="left"/>
    </xf>
    <xf numFmtId="164" fontId="9" fillId="4" borderId="0" xfId="3" applyNumberFormat="1" applyFill="1" applyAlignment="1">
      <alignment horizontal="center"/>
    </xf>
    <xf numFmtId="49" fontId="9" fillId="4" borderId="0" xfId="3" applyNumberFormat="1" applyFill="1"/>
    <xf numFmtId="0" fontId="9" fillId="4" borderId="0" xfId="3" applyFill="1" applyAlignment="1">
      <alignment horizontal="left"/>
    </xf>
    <xf numFmtId="0" fontId="5" fillId="14" borderId="0" xfId="4" applyFont="1" applyFill="1" applyAlignment="1">
      <alignment horizontal="center"/>
    </xf>
    <xf numFmtId="0" fontId="6" fillId="14" borderId="0" xfId="4" applyFill="1" applyAlignment="1">
      <alignment horizontal="center"/>
    </xf>
    <xf numFmtId="0" fontId="6" fillId="4" borderId="0" xfId="4" applyFill="1" applyBorder="1" applyAlignment="1">
      <alignment horizontal="center"/>
    </xf>
    <xf numFmtId="0" fontId="20" fillId="12" borderId="7" xfId="4" applyNumberFormat="1" applyFont="1" applyFill="1" applyBorder="1" applyAlignment="1">
      <alignment horizontal="center" vertical="center" wrapText="1"/>
    </xf>
    <xf numFmtId="0" fontId="21" fillId="12" borderId="7" xfId="4" applyNumberFormat="1" applyFont="1" applyFill="1" applyBorder="1" applyAlignment="1">
      <alignment horizontal="center" vertical="center" wrapText="1"/>
    </xf>
    <xf numFmtId="0" fontId="22" fillId="12" borderId="7" xfId="4" applyNumberFormat="1" applyFont="1" applyFill="1" applyBorder="1" applyAlignment="1">
      <alignment horizontal="center" vertical="center" wrapText="1"/>
    </xf>
    <xf numFmtId="0" fontId="6" fillId="17" borderId="0" xfId="4" applyFill="1" applyBorder="1" applyAlignment="1">
      <alignment horizontal="center"/>
    </xf>
    <xf numFmtId="0" fontId="28" fillId="13" borderId="0" xfId="4" applyFont="1" applyFill="1" applyAlignment="1">
      <alignment horizontal="center"/>
    </xf>
    <xf numFmtId="0" fontId="24" fillId="4" borderId="0" xfId="4" applyFont="1" applyFill="1" applyAlignment="1">
      <alignment horizontal="center"/>
    </xf>
    <xf numFmtId="0" fontId="37" fillId="12" borderId="5" xfId="4" applyNumberFormat="1" applyFont="1" applyFill="1" applyBorder="1" applyAlignment="1">
      <alignment horizontal="center" vertical="center"/>
    </xf>
    <xf numFmtId="0" fontId="0" fillId="4" borderId="0" xfId="0" applyFill="1"/>
    <xf numFmtId="0" fontId="17" fillId="4" borderId="0" xfId="4" applyFont="1" applyFill="1" applyAlignment="1">
      <alignment horizontal="right" vertical="center"/>
    </xf>
    <xf numFmtId="0" fontId="6" fillId="17" borderId="0" xfId="4" applyFill="1" applyAlignment="1">
      <alignment horizontal="center"/>
    </xf>
    <xf numFmtId="0" fontId="40" fillId="14" borderId="0" xfId="4" applyFont="1" applyFill="1" applyAlignment="1">
      <alignment horizontal="center"/>
    </xf>
    <xf numFmtId="0" fontId="24" fillId="7" borderId="0" xfId="4" applyFont="1" applyFill="1" applyAlignment="1">
      <alignment horizontal="center"/>
    </xf>
    <xf numFmtId="164" fontId="33" fillId="4" borderId="0" xfId="4" applyNumberFormat="1" applyFont="1" applyFill="1" applyAlignment="1">
      <alignment horizontal="center"/>
    </xf>
    <xf numFmtId="0" fontId="18" fillId="17" borderId="0" xfId="4" applyFont="1" applyFill="1" applyAlignment="1">
      <alignment horizontal="center"/>
    </xf>
    <xf numFmtId="0" fontId="32" fillId="17" borderId="0" xfId="4" applyFont="1" applyFill="1" applyAlignment="1">
      <alignment horizontal="center"/>
    </xf>
    <xf numFmtId="0" fontId="41" fillId="14" borderId="0" xfId="4" applyFont="1" applyFill="1" applyAlignment="1">
      <alignment horizontal="right" vertical="center"/>
    </xf>
    <xf numFmtId="0" fontId="41" fillId="14" borderId="0" xfId="4" applyFont="1" applyFill="1" applyAlignment="1">
      <alignment horizontal="center" vertical="center"/>
    </xf>
    <xf numFmtId="0" fontId="32" fillId="17" borderId="0" xfId="4" applyFont="1" applyFill="1" applyBorder="1" applyAlignment="1">
      <alignment horizontal="center"/>
    </xf>
    <xf numFmtId="0" fontId="34" fillId="4" borderId="0" xfId="4" applyFont="1" applyFill="1" applyBorder="1" applyAlignment="1">
      <alignment horizontal="center"/>
    </xf>
    <xf numFmtId="0" fontId="20" fillId="19" borderId="7" xfId="4" applyNumberFormat="1" applyFont="1" applyFill="1" applyBorder="1" applyAlignment="1">
      <alignment horizontal="center" vertical="center" wrapText="1"/>
    </xf>
    <xf numFmtId="0" fontId="21" fillId="19" borderId="7" xfId="4" applyNumberFormat="1" applyFont="1" applyFill="1" applyBorder="1" applyAlignment="1">
      <alignment horizontal="center" vertical="center" wrapText="1"/>
    </xf>
    <xf numFmtId="0" fontId="22" fillId="19" borderId="7" xfId="4" applyNumberFormat="1" applyFont="1" applyFill="1" applyBorder="1" applyAlignment="1">
      <alignment horizontal="center" vertical="center" wrapText="1"/>
    </xf>
    <xf numFmtId="0" fontId="27" fillId="4" borderId="0" xfId="4" applyFont="1" applyFill="1" applyAlignment="1">
      <alignment horizontal="center"/>
    </xf>
    <xf numFmtId="0" fontId="30" fillId="5" borderId="5" xfId="4" applyFont="1" applyFill="1" applyBorder="1" applyAlignment="1">
      <alignment horizontal="center" vertical="center" wrapText="1"/>
    </xf>
    <xf numFmtId="0" fontId="30" fillId="5" borderId="6" xfId="4" applyFont="1" applyFill="1" applyBorder="1" applyAlignment="1">
      <alignment horizontal="center" vertical="center" wrapText="1"/>
    </xf>
    <xf numFmtId="0" fontId="30" fillId="15" borderId="5" xfId="4" applyFont="1" applyFill="1" applyBorder="1" applyAlignment="1">
      <alignment horizontal="center" vertical="center" wrapText="1"/>
    </xf>
    <xf numFmtId="0" fontId="30" fillId="15" borderId="6" xfId="4" applyFont="1" applyFill="1" applyBorder="1" applyAlignment="1">
      <alignment horizontal="center" vertical="center" wrapText="1"/>
    </xf>
    <xf numFmtId="0" fontId="30" fillId="9" borderId="5" xfId="4" applyFont="1" applyFill="1" applyBorder="1" applyAlignment="1">
      <alignment horizontal="center" vertical="center" wrapText="1"/>
    </xf>
    <xf numFmtId="0" fontId="30" fillId="9" borderId="6" xfId="4" applyFont="1" applyFill="1" applyBorder="1" applyAlignment="1">
      <alignment horizontal="center" vertical="center" wrapText="1"/>
    </xf>
    <xf numFmtId="165" fontId="9" fillId="4" borderId="0" xfId="3" applyNumberFormat="1" applyFill="1"/>
    <xf numFmtId="164" fontId="19" fillId="4" borderId="15" xfId="4" applyNumberFormat="1" applyFont="1" applyFill="1" applyBorder="1" applyAlignment="1">
      <alignment horizontal="center"/>
    </xf>
    <xf numFmtId="164" fontId="23" fillId="0" borderId="15" xfId="4" applyNumberFormat="1" applyFont="1" applyFill="1" applyBorder="1" applyAlignment="1">
      <alignment horizontal="right"/>
    </xf>
    <xf numFmtId="164" fontId="23" fillId="0" borderId="10" xfId="4" applyNumberFormat="1" applyFont="1" applyFill="1" applyBorder="1" applyAlignment="1">
      <alignment horizontal="right"/>
    </xf>
    <xf numFmtId="164" fontId="24" fillId="0" borderId="9" xfId="4" applyNumberFormat="1" applyFont="1" applyFill="1" applyBorder="1" applyAlignment="1">
      <alignment horizontal="right"/>
    </xf>
    <xf numFmtId="164" fontId="24" fillId="0" borderId="11" xfId="4" applyNumberFormat="1" applyFont="1" applyFill="1" applyBorder="1" applyAlignment="1">
      <alignment horizontal="right"/>
    </xf>
    <xf numFmtId="0" fontId="9" fillId="4" borderId="0" xfId="3" applyFill="1" applyAlignment="1">
      <alignment horizontal="center"/>
    </xf>
    <xf numFmtId="166" fontId="9" fillId="4" borderId="0" xfId="3" applyNumberFormat="1" applyFill="1"/>
    <xf numFmtId="0" fontId="43" fillId="4" borderId="0" xfId="4" applyFont="1" applyFill="1" applyBorder="1" applyAlignment="1"/>
    <xf numFmtId="0" fontId="9" fillId="6" borderId="0" xfId="3" applyFill="1"/>
    <xf numFmtId="1" fontId="9" fillId="4" borderId="0" xfId="3" applyNumberFormat="1" applyFill="1" applyAlignment="1">
      <alignment horizontal="right"/>
    </xf>
    <xf numFmtId="0" fontId="9" fillId="0" borderId="0" xfId="3"/>
    <xf numFmtId="165" fontId="9" fillId="4" borderId="0" xfId="3" applyNumberFormat="1" applyFill="1" applyAlignment="1">
      <alignment horizontal="right"/>
    </xf>
    <xf numFmtId="49" fontId="9" fillId="4" borderId="0" xfId="3" applyNumberFormat="1" applyFill="1" applyAlignment="1">
      <alignment horizontal="left"/>
    </xf>
    <xf numFmtId="164" fontId="9" fillId="4" borderId="0" xfId="3" applyNumberFormat="1" applyFill="1"/>
    <xf numFmtId="164" fontId="23" fillId="0" borderId="3" xfId="4" applyNumberFormat="1" applyFont="1" applyFill="1" applyBorder="1" applyAlignment="1">
      <alignment horizontal="right"/>
    </xf>
    <xf numFmtId="0" fontId="19" fillId="0" borderId="9" xfId="4" applyNumberFormat="1" applyFont="1" applyFill="1" applyBorder="1" applyAlignment="1">
      <alignment horizontal="center"/>
    </xf>
    <xf numFmtId="0" fontId="19" fillId="0" borderId="10" xfId="4" applyNumberFormat="1" applyFont="1" applyFill="1" applyBorder="1" applyAlignment="1">
      <alignment horizontal="center"/>
    </xf>
    <xf numFmtId="0" fontId="24" fillId="17" borderId="0" xfId="4" applyFont="1" applyFill="1" applyAlignment="1">
      <alignment horizontal="center"/>
    </xf>
    <xf numFmtId="0" fontId="46" fillId="4" borderId="0" xfId="4" applyFont="1" applyFill="1" applyAlignment="1">
      <alignment horizontal="center" wrapText="1"/>
    </xf>
    <xf numFmtId="0" fontId="47" fillId="4" borderId="0" xfId="4" applyFont="1" applyFill="1"/>
    <xf numFmtId="0" fontId="42" fillId="20" borderId="7" xfId="4" applyFont="1" applyFill="1" applyBorder="1" applyAlignment="1">
      <alignment horizontal="center" vertical="center" wrapText="1"/>
    </xf>
    <xf numFmtId="0" fontId="42" fillId="23" borderId="8" xfId="4" applyFont="1" applyFill="1" applyBorder="1" applyAlignment="1">
      <alignment horizontal="center" vertical="center" wrapText="1"/>
    </xf>
    <xf numFmtId="0" fontId="25" fillId="11" borderId="7" xfId="4" applyFont="1" applyFill="1" applyBorder="1" applyAlignment="1">
      <alignment horizontal="center" vertical="center" wrapText="1"/>
    </xf>
    <xf numFmtId="0" fontId="25" fillId="11" borderId="8" xfId="4" applyFont="1" applyFill="1" applyBorder="1" applyAlignment="1">
      <alignment horizontal="center" vertical="center" wrapText="1"/>
    </xf>
    <xf numFmtId="0" fontId="25" fillId="9" borderId="7" xfId="4" applyFont="1" applyFill="1" applyBorder="1" applyAlignment="1">
      <alignment horizontal="center" vertical="center" wrapText="1"/>
    </xf>
    <xf numFmtId="9" fontId="25" fillId="17" borderId="8" xfId="4" applyNumberFormat="1" applyFont="1" applyFill="1" applyBorder="1" applyAlignment="1">
      <alignment horizontal="center" vertical="center" wrapText="1"/>
    </xf>
    <xf numFmtId="0" fontId="47" fillId="4" borderId="0" xfId="4" applyFont="1" applyFill="1" applyAlignment="1">
      <alignment horizontal="center" vertical="center"/>
    </xf>
    <xf numFmtId="0" fontId="15" fillId="0" borderId="0" xfId="0" applyFont="1"/>
    <xf numFmtId="0" fontId="42" fillId="20" borderId="16" xfId="4" applyFont="1" applyFill="1" applyBorder="1" applyAlignment="1">
      <alignment horizontal="center" vertical="center" wrapText="1"/>
    </xf>
    <xf numFmtId="0" fontId="22" fillId="19" borderId="7" xfId="4" applyFont="1" applyFill="1" applyBorder="1" applyAlignment="1">
      <alignment horizontal="center" vertical="center" wrapText="1"/>
    </xf>
    <xf numFmtId="9" fontId="23" fillId="4" borderId="0" xfId="4" applyNumberFormat="1" applyFont="1" applyFill="1" applyBorder="1" applyAlignment="1">
      <alignment horizontal="center"/>
    </xf>
    <xf numFmtId="164" fontId="23" fillId="24" borderId="0" xfId="4" applyNumberFormat="1" applyFont="1" applyFill="1" applyBorder="1" applyAlignment="1">
      <alignment horizontal="center"/>
    </xf>
    <xf numFmtId="9" fontId="45" fillId="24" borderId="0" xfId="4" applyNumberFormat="1" applyFont="1" applyFill="1" applyBorder="1" applyAlignment="1">
      <alignment horizontal="center"/>
    </xf>
    <xf numFmtId="164" fontId="34" fillId="25" borderId="2" xfId="4" applyNumberFormat="1" applyFont="1" applyFill="1" applyBorder="1" applyAlignment="1">
      <alignment horizontal="center"/>
    </xf>
    <xf numFmtId="164" fontId="33" fillId="25" borderId="2" xfId="4" applyNumberFormat="1" applyFont="1" applyFill="1" applyBorder="1" applyAlignment="1">
      <alignment horizontal="center"/>
    </xf>
    <xf numFmtId="0" fontId="40" fillId="17" borderId="0" xfId="4" applyFont="1" applyFill="1" applyAlignment="1">
      <alignment horizontal="center"/>
    </xf>
    <xf numFmtId="164" fontId="33" fillId="0" borderId="0" xfId="4" applyNumberFormat="1" applyFont="1" applyFill="1" applyAlignment="1">
      <alignment horizontal="center"/>
    </xf>
    <xf numFmtId="0" fontId="0" fillId="0" borderId="0" xfId="0" applyFill="1"/>
    <xf numFmtId="0" fontId="6" fillId="0" borderId="0" xfId="4" applyFill="1" applyAlignment="1"/>
    <xf numFmtId="0" fontId="44" fillId="17" borderId="0" xfId="4" applyFont="1" applyFill="1" applyAlignment="1">
      <alignment horizontal="center"/>
    </xf>
    <xf numFmtId="0" fontId="49" fillId="18" borderId="0" xfId="4" applyFont="1" applyFill="1" applyBorder="1" applyAlignment="1">
      <alignment horizontal="center"/>
    </xf>
    <xf numFmtId="0" fontId="6" fillId="17" borderId="20" xfId="4" applyFill="1" applyBorder="1" applyAlignment="1">
      <alignment horizontal="center"/>
    </xf>
    <xf numFmtId="164" fontId="34" fillId="4" borderId="0" xfId="4" applyNumberFormat="1" applyFont="1" applyFill="1" applyBorder="1" applyAlignment="1">
      <alignment horizontal="center"/>
    </xf>
    <xf numFmtId="0" fontId="35" fillId="18" borderId="19" xfId="4" applyFont="1" applyFill="1" applyBorder="1" applyAlignment="1">
      <alignment horizontal="center"/>
    </xf>
    <xf numFmtId="164" fontId="34" fillId="4" borderId="21" xfId="4" applyNumberFormat="1" applyFont="1" applyFill="1" applyBorder="1" applyAlignment="1">
      <alignment horizontal="center"/>
    </xf>
    <xf numFmtId="0" fontId="19" fillId="7" borderId="13" xfId="4" applyFont="1" applyFill="1" applyBorder="1" applyAlignment="1">
      <alignment horizontal="center" vertical="center"/>
    </xf>
    <xf numFmtId="0" fontId="35" fillId="18" borderId="0" xfId="4" applyFont="1" applyFill="1" applyBorder="1" applyAlignment="1">
      <alignment horizontal="center" vertical="center"/>
    </xf>
    <xf numFmtId="0" fontId="36" fillId="18" borderId="0" xfId="4" applyFont="1" applyFill="1" applyAlignment="1">
      <alignment horizontal="center" vertical="center"/>
    </xf>
    <xf numFmtId="0" fontId="51" fillId="4" borderId="0" xfId="7" applyFill="1" applyAlignment="1">
      <alignment vertical="center"/>
    </xf>
    <xf numFmtId="9" fontId="53" fillId="23" borderId="0" xfId="3" applyNumberFormat="1" applyFont="1" applyFill="1" applyAlignment="1">
      <alignment horizontal="right"/>
    </xf>
    <xf numFmtId="0" fontId="56" fillId="23" borderId="0" xfId="3" applyFont="1" applyFill="1" applyAlignment="1">
      <alignment horizontal="right"/>
    </xf>
    <xf numFmtId="9" fontId="56" fillId="23" borderId="0" xfId="3" applyNumberFormat="1" applyFont="1" applyFill="1" applyAlignment="1">
      <alignment horizontal="right"/>
    </xf>
    <xf numFmtId="167" fontId="16" fillId="5" borderId="2" xfId="3" applyNumberFormat="1" applyFont="1" applyFill="1" applyBorder="1" applyAlignment="1">
      <alignment vertical="center"/>
    </xf>
    <xf numFmtId="1" fontId="9" fillId="0" borderId="0" xfId="3" applyNumberFormat="1" applyAlignment="1">
      <alignment horizontal="left"/>
    </xf>
    <xf numFmtId="0" fontId="33" fillId="16" borderId="0" xfId="4" applyFont="1" applyFill="1" applyAlignment="1">
      <alignment horizontal="center"/>
    </xf>
    <xf numFmtId="0" fontId="19" fillId="4" borderId="15" xfId="4" applyFont="1" applyFill="1" applyBorder="1" applyAlignment="1">
      <alignment horizontal="center"/>
    </xf>
    <xf numFmtId="0" fontId="38" fillId="12" borderId="12" xfId="4" applyFont="1" applyFill="1" applyBorder="1" applyAlignment="1">
      <alignment horizontal="center" vertical="center" wrapText="1"/>
    </xf>
    <xf numFmtId="0" fontId="28" fillId="12" borderId="12" xfId="4" applyFont="1" applyFill="1" applyBorder="1" applyAlignment="1">
      <alignment horizontal="center" vertical="center"/>
    </xf>
    <xf numFmtId="0" fontId="38" fillId="12" borderId="5" xfId="4" applyFont="1" applyFill="1" applyBorder="1" applyAlignment="1">
      <alignment horizontal="center" vertical="center" wrapText="1"/>
    </xf>
    <xf numFmtId="0" fontId="28" fillId="12" borderId="5" xfId="4" applyFont="1" applyFill="1" applyBorder="1" applyAlignment="1">
      <alignment horizontal="center" vertical="center"/>
    </xf>
    <xf numFmtId="49" fontId="9" fillId="0" borderId="0" xfId="3" applyNumberFormat="1" applyAlignment="1">
      <alignment horizontal="left"/>
    </xf>
    <xf numFmtId="0" fontId="9" fillId="0" borderId="0" xfId="3" applyAlignment="1">
      <alignment horizontal="center"/>
    </xf>
    <xf numFmtId="0" fontId="9" fillId="28" borderId="0" xfId="3" applyFill="1" applyAlignment="1">
      <alignment horizontal="left"/>
    </xf>
    <xf numFmtId="0" fontId="33" fillId="16" borderId="27" xfId="4" applyFont="1" applyFill="1" applyBorder="1" applyAlignment="1">
      <alignment horizontal="center"/>
    </xf>
    <xf numFmtId="0" fontId="19" fillId="4" borderId="3" xfId="4" applyFont="1" applyFill="1" applyBorder="1" applyAlignment="1">
      <alignment horizontal="center"/>
    </xf>
    <xf numFmtId="9" fontId="23" fillId="5" borderId="0" xfId="4" applyNumberFormat="1" applyFont="1" applyFill="1" applyBorder="1" applyAlignment="1">
      <alignment horizontal="center"/>
    </xf>
    <xf numFmtId="164" fontId="23" fillId="5" borderId="0" xfId="4" applyNumberFormat="1" applyFont="1" applyFill="1" applyBorder="1" applyAlignment="1">
      <alignment horizontal="center"/>
    </xf>
    <xf numFmtId="0" fontId="41" fillId="17" borderId="0" xfId="4" applyFont="1" applyFill="1" applyAlignment="1">
      <alignment horizontal="right" vertical="center"/>
    </xf>
    <xf numFmtId="164" fontId="33" fillId="17" borderId="0" xfId="4" applyNumberFormat="1" applyFont="1" applyFill="1" applyAlignment="1">
      <alignment horizontal="center"/>
    </xf>
    <xf numFmtId="0" fontId="41" fillId="17" borderId="0" xfId="4" applyFont="1" applyFill="1" applyAlignment="1">
      <alignment horizontal="center" vertical="center"/>
    </xf>
    <xf numFmtId="0" fontId="6" fillId="0" borderId="0" xfId="4" applyFill="1" applyAlignment="1">
      <alignment horizontal="center"/>
    </xf>
    <xf numFmtId="0" fontId="41" fillId="0" borderId="0" xfId="4" applyFont="1" applyFill="1" applyAlignment="1">
      <alignment horizontal="right" vertical="center"/>
    </xf>
    <xf numFmtId="0" fontId="24" fillId="0" borderId="0" xfId="4" applyFont="1" applyFill="1" applyAlignment="1">
      <alignment horizontal="center"/>
    </xf>
    <xf numFmtId="0" fontId="6" fillId="0" borderId="0" xfId="4" applyFill="1" applyBorder="1" applyAlignment="1">
      <alignment horizontal="center"/>
    </xf>
    <xf numFmtId="0" fontId="33" fillId="16" borderId="0" xfId="4" applyNumberFormat="1" applyFont="1" applyFill="1" applyAlignment="1">
      <alignment horizontal="center"/>
    </xf>
    <xf numFmtId="0" fontId="19" fillId="4" borderId="15" xfId="4" applyNumberFormat="1" applyFont="1" applyFill="1" applyBorder="1" applyAlignment="1">
      <alignment horizontal="center"/>
    </xf>
    <xf numFmtId="164" fontId="24" fillId="0" borderId="27" xfId="4" applyNumberFormat="1" applyFont="1" applyFill="1" applyBorder="1" applyAlignment="1">
      <alignment horizontal="right"/>
    </xf>
    <xf numFmtId="9" fontId="23" fillId="5" borderId="0" xfId="4" applyNumberFormat="1" applyFont="1" applyFill="1" applyAlignment="1">
      <alignment horizontal="center"/>
    </xf>
    <xf numFmtId="9" fontId="45" fillId="24" borderId="0" xfId="4" applyNumberFormat="1" applyFont="1" applyFill="1" applyAlignment="1">
      <alignment horizontal="center"/>
    </xf>
    <xf numFmtId="0" fontId="29" fillId="0" borderId="9" xfId="4" applyFont="1" applyBorder="1" applyAlignment="1"/>
    <xf numFmtId="0" fontId="29" fillId="0" borderId="11" xfId="4" applyFont="1" applyBorder="1" applyAlignment="1"/>
    <xf numFmtId="0" fontId="29" fillId="0" borderId="11" xfId="4" applyNumberFormat="1" applyFont="1" applyFill="1" applyBorder="1" applyAlignment="1"/>
    <xf numFmtId="0" fontId="14" fillId="8" borderId="0" xfId="3" applyFont="1" applyFill="1" applyAlignment="1">
      <alignment horizontal="left" vertical="top"/>
    </xf>
    <xf numFmtId="0" fontId="12" fillId="8" borderId="0" xfId="3" applyFont="1" applyFill="1" applyAlignment="1">
      <alignment horizontal="left" vertical="top"/>
    </xf>
    <xf numFmtId="0" fontId="12" fillId="8" borderId="0" xfId="3" applyFont="1" applyFill="1" applyAlignment="1">
      <alignment horizontal="left" vertical="top" wrapText="1"/>
    </xf>
    <xf numFmtId="0" fontId="63" fillId="2" borderId="0" xfId="1" applyFont="1" applyBorder="1" applyAlignment="1">
      <alignment horizontal="center" vertical="top" wrapText="1"/>
    </xf>
    <xf numFmtId="0" fontId="26" fillId="2" borderId="0" xfId="1" applyFont="1" applyBorder="1" applyAlignment="1">
      <alignment horizontal="center" vertical="top" wrapText="1"/>
    </xf>
    <xf numFmtId="0" fontId="57" fillId="3" borderId="0" xfId="2" applyFont="1" applyBorder="1" applyAlignment="1">
      <alignment horizontal="center" vertical="top" wrapText="1"/>
    </xf>
    <xf numFmtId="0" fontId="58" fillId="21" borderId="0" xfId="6" applyFont="1" applyBorder="1" applyAlignment="1">
      <alignment horizontal="center" vertical="top" wrapText="1"/>
    </xf>
    <xf numFmtId="0" fontId="57" fillId="27" borderId="7" xfId="8" applyFont="1" applyFill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42" fillId="22" borderId="16" xfId="4" applyFont="1" applyFill="1" applyBorder="1" applyAlignment="1">
      <alignment horizontal="center" vertical="center" wrapText="1"/>
    </xf>
    <xf numFmtId="0" fontId="42" fillId="22" borderId="18" xfId="4" applyFont="1" applyFill="1" applyBorder="1" applyAlignment="1">
      <alignment horizontal="center" vertical="center" wrapText="1"/>
    </xf>
    <xf numFmtId="0" fontId="42" fillId="22" borderId="17" xfId="4" applyFont="1" applyFill="1" applyBorder="1" applyAlignment="1">
      <alignment horizontal="center" vertical="center" wrapText="1"/>
    </xf>
    <xf numFmtId="0" fontId="39" fillId="4" borderId="0" xfId="4" applyFont="1" applyFill="1" applyBorder="1" applyAlignment="1">
      <alignment horizontal="left" vertical="center"/>
    </xf>
    <xf numFmtId="0" fontId="31" fillId="5" borderId="4" xfId="4" applyFont="1" applyFill="1" applyBorder="1" applyAlignment="1">
      <alignment horizontal="center" vertical="center"/>
    </xf>
    <xf numFmtId="0" fontId="31" fillId="15" borderId="4" xfId="4" applyFont="1" applyFill="1" applyBorder="1" applyAlignment="1">
      <alignment horizontal="center" vertical="center"/>
    </xf>
    <xf numFmtId="0" fontId="31" fillId="9" borderId="4" xfId="4" applyFont="1" applyFill="1" applyBorder="1" applyAlignment="1">
      <alignment horizontal="center" vertical="center" wrapText="1"/>
    </xf>
    <xf numFmtId="168" fontId="61" fillId="5" borderId="0" xfId="0" applyNumberFormat="1" applyFont="1" applyFill="1" applyAlignment="1">
      <alignment horizontal="center"/>
    </xf>
    <xf numFmtId="0" fontId="62" fillId="0" borderId="0" xfId="0" applyFont="1" applyAlignment="1">
      <alignment horizontal="center"/>
    </xf>
    <xf numFmtId="0" fontId="50" fillId="4" borderId="0" xfId="4" applyFont="1" applyFill="1" applyBorder="1" applyAlignment="1">
      <alignment horizontal="center" vertical="center"/>
    </xf>
    <xf numFmtId="0" fontId="60" fillId="5" borderId="14" xfId="4" applyFont="1" applyFill="1" applyBorder="1" applyAlignment="1">
      <alignment horizontal="left"/>
    </xf>
    <xf numFmtId="0" fontId="60" fillId="5" borderId="0" xfId="4" applyFont="1" applyFill="1" applyBorder="1" applyAlignment="1">
      <alignment horizontal="left"/>
    </xf>
    <xf numFmtId="0" fontId="34" fillId="16" borderId="0" xfId="4" applyFont="1" applyFill="1" applyBorder="1" applyAlignment="1">
      <alignment horizontal="center"/>
    </xf>
    <xf numFmtId="0" fontId="52" fillId="7" borderId="0" xfId="3" applyFont="1" applyFill="1" applyAlignment="1">
      <alignment horizontal="center" vertical="center" wrapText="1"/>
    </xf>
    <xf numFmtId="0" fontId="16" fillId="7" borderId="0" xfId="3" applyFont="1" applyFill="1" applyAlignment="1">
      <alignment horizontal="center"/>
    </xf>
    <xf numFmtId="0" fontId="55" fillId="12" borderId="4" xfId="3" applyFont="1" applyFill="1" applyBorder="1" applyAlignment="1">
      <alignment horizontal="center"/>
    </xf>
    <xf numFmtId="0" fontId="55" fillId="12" borderId="0" xfId="3" applyFont="1" applyFill="1" applyAlignment="1">
      <alignment horizontal="right"/>
    </xf>
    <xf numFmtId="9" fontId="54" fillId="26" borderId="0" xfId="3" applyNumberFormat="1" applyFont="1" applyFill="1" applyAlignment="1">
      <alignment horizontal="right"/>
    </xf>
    <xf numFmtId="0" fontId="54" fillId="26" borderId="0" xfId="3" applyFont="1" applyFill="1" applyAlignment="1">
      <alignment horizontal="right"/>
    </xf>
    <xf numFmtId="164" fontId="48" fillId="7" borderId="25" xfId="3" applyNumberFormat="1" applyFont="1" applyFill="1" applyBorder="1" applyAlignment="1">
      <alignment horizontal="left" vertical="center"/>
    </xf>
    <xf numFmtId="164" fontId="48" fillId="7" borderId="4" xfId="3" applyNumberFormat="1" applyFont="1" applyFill="1" applyBorder="1" applyAlignment="1">
      <alignment horizontal="left" vertical="center"/>
    </xf>
    <xf numFmtId="164" fontId="48" fillId="7" borderId="26" xfId="3" applyNumberFormat="1" applyFont="1" applyFill="1" applyBorder="1" applyAlignment="1">
      <alignment horizontal="left" vertical="center"/>
    </xf>
    <xf numFmtId="164" fontId="48" fillId="7" borderId="14" xfId="3" applyNumberFormat="1" applyFont="1" applyFill="1" applyBorder="1" applyAlignment="1">
      <alignment horizontal="left" vertical="center"/>
    </xf>
    <xf numFmtId="164" fontId="48" fillId="7" borderId="0" xfId="3" applyNumberFormat="1" applyFont="1" applyFill="1" applyBorder="1" applyAlignment="1">
      <alignment horizontal="left" vertical="center"/>
    </xf>
    <xf numFmtId="164" fontId="48" fillId="7" borderId="22" xfId="3" applyNumberFormat="1" applyFont="1" applyFill="1" applyBorder="1" applyAlignment="1">
      <alignment horizontal="left" vertical="center"/>
    </xf>
    <xf numFmtId="164" fontId="48" fillId="4" borderId="5" xfId="3" applyNumberFormat="1" applyFont="1" applyFill="1" applyBorder="1" applyAlignment="1">
      <alignment horizontal="left" vertical="center"/>
    </xf>
    <xf numFmtId="164" fontId="48" fillId="4" borderId="23" xfId="3" applyNumberFormat="1" applyFont="1" applyFill="1" applyBorder="1" applyAlignment="1">
      <alignment horizontal="left" vertical="center"/>
    </xf>
    <xf numFmtId="164" fontId="48" fillId="4" borderId="24" xfId="3" applyNumberFormat="1" applyFont="1" applyFill="1" applyBorder="1" applyAlignment="1">
      <alignment horizontal="left" vertical="center"/>
    </xf>
    <xf numFmtId="0" fontId="9" fillId="0" borderId="0" xfId="3" applyFill="1"/>
    <xf numFmtId="0" fontId="9" fillId="0" borderId="0" xfId="3" applyFill="1" applyAlignment="1">
      <alignment horizontal="left"/>
    </xf>
    <xf numFmtId="0" fontId="65" fillId="0" borderId="0" xfId="0" applyFont="1" applyAlignment="1">
      <alignment horizontal="center" vertical="center"/>
    </xf>
  </cellXfs>
  <cellStyles count="14">
    <cellStyle name="20% - Énfasis6 2" xfId="6" xr:uid="{C90DDD92-CE69-47E0-806F-7531B85B232B}"/>
    <cellStyle name="20% - Énfasis6 2 2" xfId="10" xr:uid="{D75BF29B-5E6C-4902-9DA4-2E4AA951C4EF}"/>
    <cellStyle name="Celda de comprobación" xfId="2" builtinId="23"/>
    <cellStyle name="Hipervínculo" xfId="7" builtinId="8"/>
    <cellStyle name="Hipervínculo 2" xfId="13" xr:uid="{D9FE9ED1-1CF3-4050-9D2C-A2711962123C}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  <cellStyle name="Normal 3 3" xfId="8" xr:uid="{FD43C4BA-EE9A-4E8F-9DE9-54DC57A30FC5}"/>
    <cellStyle name="Normal 3 3 2" xfId="12" xr:uid="{4F0C5E66-617D-42AA-9D45-A35B48EB6884}"/>
    <cellStyle name="Normal 3 4" xfId="11" xr:uid="{501AC187-1448-4D36-9A08-5FF279EC3589}"/>
    <cellStyle name="Normal 4" xfId="9" xr:uid="{910B86D0-2ABD-4EF6-AFF3-EE780911B7A1}"/>
  </cellStyles>
  <dxfs count="2957"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FF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1" defaultTableStyle="TableStyleMedium2" defaultPivotStyle="PivotStyleLight16">
    <tableStyle name="Estilo de tabla 1" pivot="0" count="0" xr9:uid="{BC7E869B-C3ED-4D3A-9D58-BA0817A44A7E}"/>
  </tableStyles>
  <colors>
    <mruColors>
      <color rgb="FFFFF7E1"/>
      <color rgb="FFDFDBF9"/>
      <color rgb="FF72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81643</xdr:colOff>
      <xdr:row>23</xdr:row>
      <xdr:rowOff>190500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2131252" y="262247"/>
          <a:ext cx="11013248" cy="6827074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345127</xdr:colOff>
      <xdr:row>4</xdr:row>
      <xdr:rowOff>74098</xdr:rowOff>
    </xdr:from>
    <xdr:to>
      <xdr:col>8</xdr:col>
      <xdr:colOff>2217964</xdr:colOff>
      <xdr:row>8</xdr:row>
      <xdr:rowOff>288594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965377" y="754455"/>
          <a:ext cx="1872837" cy="1888174"/>
        </a:xfrm>
        <a:prstGeom prst="rect">
          <a:avLst/>
        </a:prstGeom>
      </xdr:spPr>
    </xdr:pic>
    <xdr:clientData/>
  </xdr:twoCellAnchor>
  <xdr:twoCellAnchor>
    <xdr:from>
      <xdr:col>12</xdr:col>
      <xdr:colOff>353785</xdr:colOff>
      <xdr:row>4</xdr:row>
      <xdr:rowOff>244928</xdr:rowOff>
    </xdr:from>
    <xdr:to>
      <xdr:col>13</xdr:col>
      <xdr:colOff>783726</xdr:colOff>
      <xdr:row>6</xdr:row>
      <xdr:rowOff>122464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2634F6B-044A-48DB-B98A-4074D056E9C4}"/>
            </a:ext>
          </a:extLst>
        </xdr:cNvPr>
        <xdr:cNvSpPr/>
      </xdr:nvSpPr>
      <xdr:spPr>
        <a:xfrm>
          <a:off x="14750142" y="2027464"/>
          <a:ext cx="1368834" cy="653143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TRM</a:t>
          </a:r>
          <a:r>
            <a:rPr lang="es-CO" sz="1600" baseline="0"/>
            <a:t> </a:t>
          </a:r>
          <a:r>
            <a:rPr lang="es-CO" sz="1600" b="1" baseline="0"/>
            <a:t>AQUÍ</a:t>
          </a:r>
          <a:endParaRPr lang="es-CO" sz="16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T40" totalsRowShown="0">
  <autoFilter ref="A19:T40" xr:uid="{189B5F03-0682-406B-8ADF-38315312E67D}"/>
  <sortState xmlns:xlrd2="http://schemas.microsoft.com/office/spreadsheetml/2017/richdata2" ref="A20:L31">
    <sortCondition ref="C20:C31"/>
  </sortState>
  <tableColumns count="20">
    <tableColumn id="1" xr3:uid="{24928231-2D11-450F-A164-9DCC0B4F2FA4}" name="LISTA" dataDxfId="2956" dataCellStyle="Normal 3">
      <calculatedColumnFormula>(A19+1)</calculatedColumnFormula>
    </tableColumn>
    <tableColumn id="2" xr3:uid="{26996E8E-494E-49B5-8DA5-60DDB5FAB7C0}" name="CC-ID-DNI" dataDxfId="2955" dataCellStyle="Normal 3"/>
    <tableColumn id="21" xr3:uid="{940FA4C9-8C82-45D9-8FE5-780FB0A652A6}" name="NOMBRE" dataDxfId="2954" dataCellStyle="Normal 3"/>
    <tableColumn id="4" xr3:uid="{1FD2DB22-FDB6-41E3-BC33-776BA57625FB}" name="CANT" dataDxfId="2953" dataCellStyle="Normal 3"/>
    <tableColumn id="5" xr3:uid="{87BD2DDF-3751-41C6-BDDB-7A5ABB14FFD1}" name="MONTO" dataDxfId="2952" dataCellStyle="Normal 3">
      <calculatedColumnFormula>(Tabla3[[#This Row],[CANT]]*5000000)</calculatedColumnFormula>
    </tableColumn>
    <tableColumn id="6" xr3:uid="{164D5526-0F4D-46C0-AF53-4865FA82E041}" name="CANT2" dataDxfId="2951" dataCellStyle="Normal 3"/>
    <tableColumn id="7" xr3:uid="{27356B0F-A0CC-47B8-AC1D-43DA285AFD9C}" name="MONTO2" dataDxfId="2950" dataCellStyle="Normal 3">
      <calculatedColumnFormula>(Tabla3[[#This Row],[CANT2]]*10000000)</calculatedColumnFormula>
    </tableColumn>
    <tableColumn id="8" xr3:uid="{E7312A44-1FA2-4BA4-9AE0-D0D6ED06925F}" name="CANT3" dataDxfId="2949" dataCellStyle="Normal 3"/>
    <tableColumn id="9" xr3:uid="{C09806EE-B718-4A53-8362-DA4B910374D0}" name="MONTO3" dataDxfId="2948" dataCellStyle="Normal 3">
      <calculatedColumnFormula>(Tabla3[[#This Row],[CANT3]]*7500000)</calculatedColumnFormula>
    </tableColumn>
    <tableColumn id="18" xr3:uid="{370850A5-8634-4FA6-A75E-BD9FA7347480}" name="USD" dataDxfId="2947" dataCellStyle="Normal 3">
      <calculatedColumnFormula>(Tabla3[[#This Row],[MONTO]]+Tabla3[[#This Row],[MONTO2]]+Tabla3[[#This Row],[MONTO3]])</calculatedColumnFormula>
    </tableColumn>
    <tableColumn id="19" xr3:uid="{48A6BD56-5370-47EB-9C51-7ACFF538DD6C}" name="TOTAL -10%" dataDxfId="2946" dataCellStyle="Normal 3">
      <calculatedColumnFormula>J20-(J20*10%)</calculatedColumnFormula>
    </tableColumn>
    <tableColumn id="20" xr3:uid="{A8971EC0-711A-45DC-8FF1-2D0C44FDF9BF}" name="1% PAGO INICIAL" dataDxfId="2945" dataCellStyle="Normal 3">
      <calculatedColumnFormula>(K20*1%)</calculatedColumnFormula>
    </tableColumn>
    <tableColumn id="3" xr3:uid="{5A1D69C9-F75C-4FFA-8FDD-78291A593FD1}" name="% FIDUCIA" dataDxfId="2944" dataCellStyle="Normal 3">
      <calculatedColumnFormula>(Tabla3[[#This Row],[TOTAL -10%]]*Tabla3[[#This Row],[FIDUCIA]])</calculatedColumnFormula>
    </tableColumn>
    <tableColumn id="22" xr3:uid="{9EA602FB-B13A-4E3D-94AB-782E9F338FDC}" name="% NUBE" dataDxfId="2943" dataCellStyle="Normal 3">
      <calculatedColumnFormula>(Tabla3[[#This Row],[TOTAL -10%]]*Tabla3[[#This Row],[NUBE]])</calculatedColumnFormula>
    </tableColumn>
    <tableColumn id="23" xr3:uid="{C4526160-8BD3-4C5C-958E-0924F1AB1B46}" name="SKR SI/NO" dataDxfId="2942" dataCellStyle="Normal 3"/>
    <tableColumn id="24" xr3:uid="{F5ECBC59-958E-42E1-8CD1-36192C2F558F}" name="FIDUCIA/NUBE" dataDxfId="2941" dataCellStyle="Normal 3"/>
    <tableColumn id="25" xr3:uid="{890AB6C8-8C2C-414E-A1D6-100429F9D1A1}" name="BANCO" dataDxfId="2940" dataCellStyle="Normal 3"/>
    <tableColumn id="26" xr3:uid="{CECEE305-191C-4376-9898-1DF3638573DA}" name="FIDUCIA" dataDxfId="2939" dataCellStyle="Normal 3"/>
    <tableColumn id="27" xr3:uid="{59D8F4F2-9F5C-42D6-AE6C-2A860889AC75}" name="NUBE" dataDxfId="2938" dataCellStyle="Normal 3"/>
    <tableColumn id="28" xr3:uid="{183CCE5F-1070-4508-BA03-BA9438BF2795}" name="100%" dataDxfId="2937" dataCellStyle="Normal 3">
      <calculatedColumnFormula>SUM(Q20:S20)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anizaresrafael226@gmail.com" TargetMode="External"/><Relationship Id="rId7" Type="http://schemas.openxmlformats.org/officeDocument/2006/relationships/hyperlink" Target="mailto:norte0177@hotmail.com" TargetMode="External"/><Relationship Id="rId2" Type="http://schemas.openxmlformats.org/officeDocument/2006/relationships/hyperlink" Target="mailto:elponque90@gmail.com" TargetMode="External"/><Relationship Id="rId1" Type="http://schemas.openxmlformats.org/officeDocument/2006/relationships/hyperlink" Target="mailto:ortizsitri@gmail.com" TargetMode="External"/><Relationship Id="rId6" Type="http://schemas.openxmlformats.org/officeDocument/2006/relationships/hyperlink" Target="mailto:leoyubra.2015@gmail.com" TargetMode="External"/><Relationship Id="rId5" Type="http://schemas.openxmlformats.org/officeDocument/2006/relationships/hyperlink" Target="mailto:jr8587300@gmail.com" TargetMode="External"/><Relationship Id="rId4" Type="http://schemas.openxmlformats.org/officeDocument/2006/relationships/hyperlink" Target="mailto:t-padilla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dolar-colomb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A06-041E-4BD8-B15E-F417C7709518}">
  <sheetPr codeName="Hoja1"/>
  <dimension ref="A1:S51"/>
  <sheetViews>
    <sheetView showGridLines="0" tabSelected="1" topLeftCell="B1" zoomScale="70" zoomScaleNormal="70" workbookViewId="0">
      <pane ySplit="1" topLeftCell="A2" activePane="bottomLeft" state="frozen"/>
      <selection pane="bottomLeft" activeCell="R35" sqref="R35"/>
    </sheetView>
  </sheetViews>
  <sheetFormatPr baseColWidth="10" defaultRowHeight="12.75" x14ac:dyDescent="0.2"/>
  <cols>
    <col min="1" max="1" width="16.7109375" customWidth="1"/>
    <col min="2" max="2" width="41.42578125" customWidth="1"/>
    <col min="3" max="3" width="13.7109375" customWidth="1"/>
    <col min="4" max="4" width="18.85546875" customWidth="1"/>
    <col min="5" max="5" width="12.140625" customWidth="1"/>
    <col min="6" max="6" width="22.28515625" customWidth="1"/>
    <col min="7" max="7" width="17.85546875" customWidth="1"/>
    <col min="8" max="8" width="21.28515625" customWidth="1"/>
    <col min="9" max="9" width="9.5703125" customWidth="1"/>
    <col min="10" max="10" width="24.42578125" customWidth="1"/>
    <col min="11" max="11" width="15.7109375" customWidth="1"/>
    <col min="12" max="12" width="14.5703125" customWidth="1"/>
    <col min="13" max="13" width="15.5703125" customWidth="1"/>
    <col min="14" max="14" width="24.28515625" customWidth="1"/>
    <col min="15" max="15" width="14.28515625" customWidth="1"/>
    <col min="16" max="16" width="21.5703125" bestFit="1" customWidth="1"/>
    <col min="17" max="17" width="20.5703125" customWidth="1"/>
    <col min="18" max="18" width="22.42578125" customWidth="1"/>
    <col min="19" max="19" width="44.140625" customWidth="1"/>
  </cols>
  <sheetData>
    <row r="1" spans="1:19" s="138" customFormat="1" ht="48.75" customHeight="1" x14ac:dyDescent="0.2">
      <c r="A1" s="130" t="s">
        <v>8</v>
      </c>
      <c r="B1" s="130" t="s">
        <v>7</v>
      </c>
      <c r="C1" s="131" t="s">
        <v>37</v>
      </c>
      <c r="D1" s="131" t="s">
        <v>38</v>
      </c>
      <c r="E1" s="131" t="s">
        <v>39</v>
      </c>
      <c r="F1" s="131" t="s">
        <v>40</v>
      </c>
      <c r="G1" s="131" t="s">
        <v>41</v>
      </c>
      <c r="H1" s="131" t="s">
        <v>42</v>
      </c>
      <c r="I1" s="132" t="s">
        <v>43</v>
      </c>
      <c r="J1" s="131" t="s">
        <v>44</v>
      </c>
      <c r="K1" s="131" t="s">
        <v>45</v>
      </c>
      <c r="L1" s="133" t="s">
        <v>67</v>
      </c>
      <c r="M1" s="134" t="s">
        <v>6</v>
      </c>
      <c r="N1" s="134" t="s">
        <v>46</v>
      </c>
      <c r="O1" s="134" t="s">
        <v>50</v>
      </c>
      <c r="P1" s="134" t="s">
        <v>5</v>
      </c>
      <c r="Q1" s="135" t="s">
        <v>47</v>
      </c>
      <c r="R1" s="136" t="s">
        <v>63</v>
      </c>
      <c r="S1" s="137" t="s">
        <v>178</v>
      </c>
    </row>
    <row r="2" spans="1:19" x14ac:dyDescent="0.2">
      <c r="A2" s="59">
        <v>46254</v>
      </c>
      <c r="B2" s="56" t="s">
        <v>170</v>
      </c>
      <c r="C2" s="108">
        <v>77183485</v>
      </c>
      <c r="D2" s="109" t="s">
        <v>215</v>
      </c>
      <c r="E2" s="109" t="s">
        <v>48</v>
      </c>
      <c r="F2" s="109" t="s">
        <v>86</v>
      </c>
      <c r="G2" s="109" t="s">
        <v>120</v>
      </c>
      <c r="H2" s="58" t="s">
        <v>216</v>
      </c>
      <c r="I2" s="108">
        <v>200001</v>
      </c>
      <c r="J2" s="58" t="s">
        <v>217</v>
      </c>
      <c r="K2" s="101" t="s">
        <v>218</v>
      </c>
      <c r="L2" s="57" t="s">
        <v>84</v>
      </c>
      <c r="M2" s="12">
        <v>100000</v>
      </c>
      <c r="N2" s="13" t="s">
        <v>165</v>
      </c>
      <c r="O2" s="110" t="s">
        <v>2</v>
      </c>
      <c r="P2" s="2" t="s">
        <v>66</v>
      </c>
      <c r="Q2" s="1" t="s">
        <v>0</v>
      </c>
      <c r="R2" s="53" t="s">
        <v>163</v>
      </c>
      <c r="S2" s="58"/>
    </row>
    <row r="3" spans="1:19" x14ac:dyDescent="0.2">
      <c r="A3" s="59">
        <v>46217</v>
      </c>
      <c r="B3" s="56" t="s">
        <v>68</v>
      </c>
      <c r="C3" s="108">
        <v>1141320170</v>
      </c>
      <c r="D3" s="109" t="s">
        <v>69</v>
      </c>
      <c r="E3" s="109" t="s">
        <v>48</v>
      </c>
      <c r="F3" s="109" t="s">
        <v>198</v>
      </c>
      <c r="G3" s="109" t="s">
        <v>197</v>
      </c>
      <c r="H3" s="58" t="s">
        <v>70</v>
      </c>
      <c r="I3" s="108">
        <v>110711</v>
      </c>
      <c r="J3" s="58" t="s">
        <v>71</v>
      </c>
      <c r="K3" s="101" t="s">
        <v>78</v>
      </c>
      <c r="L3" s="57" t="s">
        <v>72</v>
      </c>
      <c r="M3" s="12">
        <v>150000</v>
      </c>
      <c r="N3" s="13" t="s">
        <v>73</v>
      </c>
      <c r="O3" s="110" t="s">
        <v>74</v>
      </c>
      <c r="P3" s="2" t="s">
        <v>66</v>
      </c>
      <c r="Q3" s="1" t="s">
        <v>0</v>
      </c>
      <c r="R3" s="53" t="s">
        <v>49</v>
      </c>
      <c r="S3" s="58"/>
    </row>
    <row r="4" spans="1:19" x14ac:dyDescent="0.2">
      <c r="A4" s="47">
        <v>46256</v>
      </c>
      <c r="B4" s="56" t="s">
        <v>168</v>
      </c>
      <c r="C4" s="14">
        <v>1065568642</v>
      </c>
      <c r="D4" s="53" t="s">
        <v>49</v>
      </c>
      <c r="E4" s="53" t="s">
        <v>48</v>
      </c>
      <c r="F4" s="53" t="s">
        <v>174</v>
      </c>
      <c r="G4" s="53" t="s">
        <v>175</v>
      </c>
      <c r="H4" s="2" t="s">
        <v>176</v>
      </c>
      <c r="I4" s="60">
        <v>150001</v>
      </c>
      <c r="J4" s="58" t="s">
        <v>180</v>
      </c>
      <c r="K4" s="11" t="s">
        <v>177</v>
      </c>
      <c r="L4" s="57" t="s">
        <v>1</v>
      </c>
      <c r="M4" s="12">
        <v>40000</v>
      </c>
      <c r="N4" s="13" t="s">
        <v>167</v>
      </c>
      <c r="O4" s="14" t="s">
        <v>2</v>
      </c>
      <c r="P4" s="2" t="s">
        <v>66</v>
      </c>
      <c r="Q4" s="1" t="s">
        <v>0</v>
      </c>
      <c r="R4" s="53" t="s">
        <v>49</v>
      </c>
      <c r="S4" s="58"/>
    </row>
    <row r="5" spans="1:19" x14ac:dyDescent="0.2">
      <c r="A5" s="47">
        <v>46254</v>
      </c>
      <c r="B5" s="56" t="s">
        <v>173</v>
      </c>
      <c r="C5" s="14">
        <v>42499864</v>
      </c>
      <c r="D5" s="53" t="s">
        <v>203</v>
      </c>
      <c r="E5" s="53" t="s">
        <v>48</v>
      </c>
      <c r="F5" s="53" t="s">
        <v>86</v>
      </c>
      <c r="G5" s="53" t="s">
        <v>120</v>
      </c>
      <c r="H5" s="2" t="s">
        <v>204</v>
      </c>
      <c r="I5" s="60">
        <v>200005</v>
      </c>
      <c r="J5" s="58" t="s">
        <v>205</v>
      </c>
      <c r="K5" s="11" t="s">
        <v>212</v>
      </c>
      <c r="L5" s="57" t="s">
        <v>1</v>
      </c>
      <c r="M5" s="12">
        <v>40000</v>
      </c>
      <c r="N5" s="13" t="s">
        <v>165</v>
      </c>
      <c r="O5" s="14" t="s">
        <v>2</v>
      </c>
      <c r="P5" s="2" t="s">
        <v>66</v>
      </c>
      <c r="Q5" s="1" t="s">
        <v>0</v>
      </c>
      <c r="R5" s="53" t="s">
        <v>163</v>
      </c>
      <c r="S5" s="58"/>
    </row>
    <row r="6" spans="1:19" ht="15" customHeight="1" x14ac:dyDescent="0.2">
      <c r="A6" s="47">
        <v>45921.434849537036</v>
      </c>
      <c r="B6" s="56" t="s">
        <v>75</v>
      </c>
      <c r="C6" s="14">
        <v>80025650</v>
      </c>
      <c r="D6" s="53" t="s">
        <v>76</v>
      </c>
      <c r="E6" s="53" t="s">
        <v>48</v>
      </c>
      <c r="F6" s="109" t="s">
        <v>198</v>
      </c>
      <c r="G6" s="109" t="s">
        <v>197</v>
      </c>
      <c r="H6" s="2" t="s">
        <v>77</v>
      </c>
      <c r="I6" s="60">
        <v>110711</v>
      </c>
      <c r="J6" s="58" t="s">
        <v>71</v>
      </c>
      <c r="K6" s="11" t="s">
        <v>78</v>
      </c>
      <c r="L6" s="57" t="s">
        <v>79</v>
      </c>
      <c r="M6" s="12">
        <v>500000</v>
      </c>
      <c r="N6" s="13" t="s">
        <v>80</v>
      </c>
      <c r="O6" s="14" t="s">
        <v>2</v>
      </c>
      <c r="P6" s="2" t="s">
        <v>66</v>
      </c>
      <c r="Q6" s="1" t="s">
        <v>0</v>
      </c>
      <c r="R6" s="53" t="s">
        <v>163</v>
      </c>
      <c r="S6" s="58"/>
    </row>
    <row r="7" spans="1:19" x14ac:dyDescent="0.2">
      <c r="A7" s="47">
        <v>45933</v>
      </c>
      <c r="B7" s="56" t="s">
        <v>75</v>
      </c>
      <c r="C7" s="14">
        <v>80025650</v>
      </c>
      <c r="D7" s="53" t="s">
        <v>76</v>
      </c>
      <c r="E7" s="53" t="s">
        <v>48</v>
      </c>
      <c r="F7" s="109" t="s">
        <v>198</v>
      </c>
      <c r="G7" s="109" t="s">
        <v>197</v>
      </c>
      <c r="H7" s="2" t="s">
        <v>77</v>
      </c>
      <c r="I7" s="60">
        <v>110711</v>
      </c>
      <c r="J7" s="58" t="s">
        <v>71</v>
      </c>
      <c r="K7" s="11" t="s">
        <v>78</v>
      </c>
      <c r="L7" s="57" t="s">
        <v>81</v>
      </c>
      <c r="M7" s="12">
        <v>500000</v>
      </c>
      <c r="N7" s="13" t="s">
        <v>82</v>
      </c>
      <c r="O7" s="14" t="s">
        <v>2</v>
      </c>
      <c r="P7" s="2" t="s">
        <v>66</v>
      </c>
      <c r="Q7" s="1" t="s">
        <v>0</v>
      </c>
      <c r="R7" s="53" t="s">
        <v>163</v>
      </c>
      <c r="S7" s="58"/>
    </row>
    <row r="8" spans="1:19" x14ac:dyDescent="0.2">
      <c r="A8" s="47">
        <v>45955</v>
      </c>
      <c r="B8" s="56" t="s">
        <v>75</v>
      </c>
      <c r="C8" s="14">
        <v>80025650</v>
      </c>
      <c r="D8" s="53" t="s">
        <v>76</v>
      </c>
      <c r="E8" s="53" t="s">
        <v>48</v>
      </c>
      <c r="F8" s="109" t="s">
        <v>198</v>
      </c>
      <c r="G8" s="109" t="s">
        <v>197</v>
      </c>
      <c r="H8" s="2" t="s">
        <v>77</v>
      </c>
      <c r="I8" s="60">
        <v>110711</v>
      </c>
      <c r="J8" s="58" t="s">
        <v>71</v>
      </c>
      <c r="K8" s="11" t="s">
        <v>78</v>
      </c>
      <c r="L8" s="57" t="s">
        <v>1</v>
      </c>
      <c r="M8" s="12">
        <v>100000</v>
      </c>
      <c r="N8" s="13" t="s">
        <v>83</v>
      </c>
      <c r="O8" s="14" t="s">
        <v>2</v>
      </c>
      <c r="P8" s="2" t="s">
        <v>66</v>
      </c>
      <c r="Q8" s="1" t="s">
        <v>0</v>
      </c>
      <c r="R8" s="53" t="s">
        <v>163</v>
      </c>
      <c r="S8" s="58"/>
    </row>
    <row r="9" spans="1:19" x14ac:dyDescent="0.2">
      <c r="A9" s="47">
        <v>45951</v>
      </c>
      <c r="B9" s="56" t="s">
        <v>75</v>
      </c>
      <c r="C9" s="14">
        <v>80025650</v>
      </c>
      <c r="D9" s="53" t="s">
        <v>76</v>
      </c>
      <c r="E9" s="53" t="s">
        <v>48</v>
      </c>
      <c r="F9" s="109" t="s">
        <v>198</v>
      </c>
      <c r="G9" s="109" t="s">
        <v>197</v>
      </c>
      <c r="H9" s="2" t="s">
        <v>77</v>
      </c>
      <c r="I9" s="60">
        <v>110711</v>
      </c>
      <c r="J9" s="58" t="s">
        <v>71</v>
      </c>
      <c r="K9" s="11" t="s">
        <v>78</v>
      </c>
      <c r="L9" s="57" t="s">
        <v>84</v>
      </c>
      <c r="M9" s="12">
        <v>150000</v>
      </c>
      <c r="N9" s="13" t="s">
        <v>73</v>
      </c>
      <c r="O9" s="110" t="s">
        <v>74</v>
      </c>
      <c r="P9" s="2" t="s">
        <v>66</v>
      </c>
      <c r="Q9" s="1" t="s">
        <v>0</v>
      </c>
      <c r="R9" s="53" t="s">
        <v>163</v>
      </c>
      <c r="S9" s="58"/>
    </row>
    <row r="10" spans="1:19" x14ac:dyDescent="0.2">
      <c r="A10" s="47">
        <v>46256</v>
      </c>
      <c r="B10" s="56" t="s">
        <v>166</v>
      </c>
      <c r="C10" s="14">
        <v>49746653</v>
      </c>
      <c r="D10" s="53" t="s">
        <v>182</v>
      </c>
      <c r="E10" s="53" t="s">
        <v>48</v>
      </c>
      <c r="F10" s="53" t="s">
        <v>86</v>
      </c>
      <c r="G10" s="53" t="s">
        <v>183</v>
      </c>
      <c r="H10" s="2" t="s">
        <v>184</v>
      </c>
      <c r="I10" s="60">
        <v>201020</v>
      </c>
      <c r="J10" s="58" t="s">
        <v>181</v>
      </c>
      <c r="K10" s="11" t="s">
        <v>186</v>
      </c>
      <c r="L10" s="57" t="s">
        <v>1</v>
      </c>
      <c r="M10" s="12">
        <v>40000</v>
      </c>
      <c r="N10" s="13" t="s">
        <v>167</v>
      </c>
      <c r="O10" s="14" t="s">
        <v>2</v>
      </c>
      <c r="P10" s="2" t="s">
        <v>66</v>
      </c>
      <c r="Q10" s="1" t="s">
        <v>0</v>
      </c>
      <c r="R10" s="53" t="s">
        <v>163</v>
      </c>
      <c r="S10" s="58"/>
    </row>
    <row r="11" spans="1:19" x14ac:dyDescent="0.2">
      <c r="A11" s="54">
        <v>45925.620057870372</v>
      </c>
      <c r="B11" s="56" t="s">
        <v>85</v>
      </c>
      <c r="C11" s="14">
        <v>22367580</v>
      </c>
      <c r="D11" s="53" t="s">
        <v>49</v>
      </c>
      <c r="E11" s="53" t="s">
        <v>48</v>
      </c>
      <c r="F11" s="53" t="s">
        <v>86</v>
      </c>
      <c r="G11" s="53" t="s">
        <v>87</v>
      </c>
      <c r="H11" s="2" t="s">
        <v>88</v>
      </c>
      <c r="I11" s="60">
        <v>202050</v>
      </c>
      <c r="J11" s="58" t="s">
        <v>89</v>
      </c>
      <c r="K11" s="11" t="s">
        <v>90</v>
      </c>
      <c r="L11" s="57" t="s">
        <v>51</v>
      </c>
      <c r="M11" s="12">
        <v>150000</v>
      </c>
      <c r="N11" s="13" t="s">
        <v>91</v>
      </c>
      <c r="O11" s="14" t="s">
        <v>2</v>
      </c>
      <c r="P11" s="2" t="s">
        <v>66</v>
      </c>
      <c r="Q11" s="1" t="s">
        <v>0</v>
      </c>
      <c r="R11" s="53" t="s">
        <v>49</v>
      </c>
      <c r="S11" s="58"/>
    </row>
    <row r="12" spans="1:19" x14ac:dyDescent="0.2">
      <c r="A12" s="47">
        <v>46258</v>
      </c>
      <c r="B12" s="56" t="s">
        <v>171</v>
      </c>
      <c r="C12" s="14">
        <v>77007208</v>
      </c>
      <c r="D12" s="53" t="s">
        <v>272</v>
      </c>
      <c r="E12" s="53" t="s">
        <v>48</v>
      </c>
      <c r="F12" s="53" t="s">
        <v>86</v>
      </c>
      <c r="G12" s="53" t="s">
        <v>120</v>
      </c>
      <c r="H12" s="2" t="s">
        <v>273</v>
      </c>
      <c r="I12" s="60" t="s">
        <v>259</v>
      </c>
      <c r="J12" s="58" t="s">
        <v>274</v>
      </c>
      <c r="K12" s="11" t="s">
        <v>275</v>
      </c>
      <c r="L12" s="57" t="s">
        <v>1</v>
      </c>
      <c r="M12" s="12">
        <v>40000</v>
      </c>
      <c r="N12" s="13" t="s">
        <v>172</v>
      </c>
      <c r="O12" s="14" t="s">
        <v>2</v>
      </c>
      <c r="P12" s="2" t="s">
        <v>66</v>
      </c>
      <c r="Q12" s="1" t="s">
        <v>0</v>
      </c>
      <c r="R12" s="53"/>
      <c r="S12" s="58"/>
    </row>
    <row r="13" spans="1:19" x14ac:dyDescent="0.2">
      <c r="A13" s="54">
        <v>45914.497673611113</v>
      </c>
      <c r="B13" s="56" t="s">
        <v>92</v>
      </c>
      <c r="C13" s="14">
        <v>1064794667</v>
      </c>
      <c r="D13" s="53" t="s">
        <v>267</v>
      </c>
      <c r="E13" s="53" t="s">
        <v>48</v>
      </c>
      <c r="F13" s="53" t="s">
        <v>86</v>
      </c>
      <c r="G13" s="53" t="s">
        <v>93</v>
      </c>
      <c r="H13" s="2" t="s">
        <v>94</v>
      </c>
      <c r="I13" s="60">
        <v>203060</v>
      </c>
      <c r="J13" s="58" t="s">
        <v>95</v>
      </c>
      <c r="K13" s="11" t="s">
        <v>96</v>
      </c>
      <c r="L13" s="57" t="s">
        <v>62</v>
      </c>
      <c r="M13" s="12">
        <v>200000</v>
      </c>
      <c r="N13" s="13" t="s">
        <v>97</v>
      </c>
      <c r="O13" s="14" t="s">
        <v>98</v>
      </c>
      <c r="P13" s="2" t="s">
        <v>66</v>
      </c>
      <c r="Q13" s="1" t="s">
        <v>179</v>
      </c>
      <c r="R13" s="53" t="s">
        <v>163</v>
      </c>
      <c r="S13" s="58" t="s">
        <v>278</v>
      </c>
    </row>
    <row r="14" spans="1:19" x14ac:dyDescent="0.2">
      <c r="A14" s="54">
        <v>45916.670289351852</v>
      </c>
      <c r="B14" s="56" t="s">
        <v>99</v>
      </c>
      <c r="C14" s="14">
        <v>36489475</v>
      </c>
      <c r="D14" s="53" t="s">
        <v>100</v>
      </c>
      <c r="E14" s="53" t="s">
        <v>48</v>
      </c>
      <c r="F14" s="109" t="s">
        <v>198</v>
      </c>
      <c r="G14" s="109" t="s">
        <v>197</v>
      </c>
      <c r="H14" s="2" t="s">
        <v>101</v>
      </c>
      <c r="I14" s="60">
        <v>1011071</v>
      </c>
      <c r="J14" s="58" t="s">
        <v>102</v>
      </c>
      <c r="K14" s="11" t="s">
        <v>103</v>
      </c>
      <c r="L14" s="57" t="s">
        <v>65</v>
      </c>
      <c r="M14" s="12">
        <v>200000</v>
      </c>
      <c r="N14" s="13" t="s">
        <v>104</v>
      </c>
      <c r="O14" s="14" t="s">
        <v>2</v>
      </c>
      <c r="P14" s="2" t="s">
        <v>66</v>
      </c>
      <c r="Q14" s="1" t="s">
        <v>0</v>
      </c>
      <c r="R14" s="53" t="s">
        <v>163</v>
      </c>
      <c r="S14" s="58"/>
    </row>
    <row r="15" spans="1:19" x14ac:dyDescent="0.2">
      <c r="A15" s="54">
        <v>46021</v>
      </c>
      <c r="B15" s="56" t="s">
        <v>105</v>
      </c>
      <c r="C15" s="14">
        <v>11806832</v>
      </c>
      <c r="D15" s="53" t="s">
        <v>106</v>
      </c>
      <c r="E15" s="53" t="s">
        <v>48</v>
      </c>
      <c r="F15" s="53" t="s">
        <v>107</v>
      </c>
      <c r="G15" s="53" t="s">
        <v>108</v>
      </c>
      <c r="H15" s="2" t="s">
        <v>109</v>
      </c>
      <c r="I15" s="60" t="s">
        <v>187</v>
      </c>
      <c r="J15" s="58" t="s">
        <v>110</v>
      </c>
      <c r="K15" s="11" t="s">
        <v>164</v>
      </c>
      <c r="L15" s="57" t="s">
        <v>51</v>
      </c>
      <c r="M15" s="12">
        <v>0</v>
      </c>
      <c r="N15" s="12" t="s">
        <v>111</v>
      </c>
      <c r="O15" s="14" t="s">
        <v>112</v>
      </c>
      <c r="P15" s="2" t="s">
        <v>66</v>
      </c>
      <c r="Q15" s="1" t="s">
        <v>0</v>
      </c>
      <c r="R15" s="53" t="s">
        <v>163</v>
      </c>
      <c r="S15" s="58"/>
    </row>
    <row r="16" spans="1:19" x14ac:dyDescent="0.2">
      <c r="A16" s="54">
        <v>45986</v>
      </c>
      <c r="B16" s="56" t="s">
        <v>113</v>
      </c>
      <c r="C16" s="14">
        <v>5822467</v>
      </c>
      <c r="D16" s="53" t="s">
        <v>114</v>
      </c>
      <c r="E16" s="53" t="s">
        <v>48</v>
      </c>
      <c r="F16" s="53" t="s">
        <v>115</v>
      </c>
      <c r="G16" s="53" t="s">
        <v>199</v>
      </c>
      <c r="H16" s="2" t="s">
        <v>116</v>
      </c>
      <c r="I16" s="60">
        <v>770001</v>
      </c>
      <c r="J16" s="58" t="s">
        <v>193</v>
      </c>
      <c r="K16" s="11" t="s">
        <v>117</v>
      </c>
      <c r="L16" s="57" t="s">
        <v>62</v>
      </c>
      <c r="M16" s="12">
        <v>200000</v>
      </c>
      <c r="N16" s="13" t="s">
        <v>118</v>
      </c>
      <c r="O16" s="14" t="s">
        <v>2</v>
      </c>
      <c r="P16" s="2" t="s">
        <v>66</v>
      </c>
      <c r="Q16" s="1" t="s">
        <v>0</v>
      </c>
      <c r="R16" s="53" t="s">
        <v>163</v>
      </c>
      <c r="S16" s="58"/>
    </row>
    <row r="17" spans="1:19" x14ac:dyDescent="0.2">
      <c r="A17" s="54">
        <v>45944.538252314815</v>
      </c>
      <c r="B17" s="56" t="s">
        <v>195</v>
      </c>
      <c r="C17" s="14">
        <v>1007218151</v>
      </c>
      <c r="D17" s="53" t="s">
        <v>49</v>
      </c>
      <c r="E17" s="53" t="s">
        <v>48</v>
      </c>
      <c r="F17" s="53" t="s">
        <v>86</v>
      </c>
      <c r="G17" s="53" t="s">
        <v>120</v>
      </c>
      <c r="H17" s="2" t="s">
        <v>121</v>
      </c>
      <c r="I17" s="60">
        <v>201050</v>
      </c>
      <c r="J17" s="58" t="s">
        <v>122</v>
      </c>
      <c r="K17" s="11" t="s">
        <v>123</v>
      </c>
      <c r="L17" s="57" t="s">
        <v>81</v>
      </c>
      <c r="M17" s="12">
        <v>300000</v>
      </c>
      <c r="N17" s="13" t="s">
        <v>124</v>
      </c>
      <c r="O17" s="14" t="s">
        <v>2</v>
      </c>
      <c r="P17" s="2" t="s">
        <v>66</v>
      </c>
      <c r="Q17" s="1" t="s">
        <v>0</v>
      </c>
      <c r="R17" s="53" t="s">
        <v>49</v>
      </c>
      <c r="S17" s="58"/>
    </row>
    <row r="18" spans="1:19" x14ac:dyDescent="0.2">
      <c r="A18" s="47">
        <v>45930.381585648145</v>
      </c>
      <c r="B18" s="56" t="s">
        <v>125</v>
      </c>
      <c r="C18" s="14">
        <v>52842631</v>
      </c>
      <c r="D18" s="53" t="s">
        <v>126</v>
      </c>
      <c r="E18" s="53" t="s">
        <v>48</v>
      </c>
      <c r="F18" s="109" t="s">
        <v>198</v>
      </c>
      <c r="G18" s="109" t="s">
        <v>197</v>
      </c>
      <c r="H18" s="2" t="s">
        <v>196</v>
      </c>
      <c r="I18" s="60">
        <v>110711</v>
      </c>
      <c r="J18" s="58" t="s">
        <v>127</v>
      </c>
      <c r="K18" s="11" t="s">
        <v>128</v>
      </c>
      <c r="L18" s="57" t="s">
        <v>65</v>
      </c>
      <c r="M18" s="12">
        <v>200000</v>
      </c>
      <c r="N18" s="13" t="s">
        <v>129</v>
      </c>
      <c r="O18" s="14" t="s">
        <v>2</v>
      </c>
      <c r="P18" s="2" t="s">
        <v>66</v>
      </c>
      <c r="Q18" s="1" t="s">
        <v>0</v>
      </c>
      <c r="R18" s="53" t="s">
        <v>163</v>
      </c>
      <c r="S18" s="58"/>
    </row>
    <row r="19" spans="1:19" x14ac:dyDescent="0.2">
      <c r="A19" s="47">
        <v>45925.720057870371</v>
      </c>
      <c r="B19" s="56" t="s">
        <v>130</v>
      </c>
      <c r="C19" s="14">
        <v>12565504</v>
      </c>
      <c r="D19" s="53" t="s">
        <v>131</v>
      </c>
      <c r="E19" s="53" t="s">
        <v>48</v>
      </c>
      <c r="F19" s="109" t="s">
        <v>198</v>
      </c>
      <c r="G19" s="109" t="s">
        <v>197</v>
      </c>
      <c r="H19" s="2" t="s">
        <v>132</v>
      </c>
      <c r="I19" s="60">
        <v>110711</v>
      </c>
      <c r="J19" s="58" t="s">
        <v>133</v>
      </c>
      <c r="K19" s="11" t="s">
        <v>134</v>
      </c>
      <c r="L19" s="57" t="s">
        <v>51</v>
      </c>
      <c r="M19" s="12">
        <v>165163</v>
      </c>
      <c r="N19" s="13" t="s">
        <v>135</v>
      </c>
      <c r="O19" s="14" t="s">
        <v>136</v>
      </c>
      <c r="P19" s="2" t="s">
        <v>66</v>
      </c>
      <c r="Q19" s="1" t="s">
        <v>0</v>
      </c>
      <c r="R19" s="53" t="s">
        <v>163</v>
      </c>
      <c r="S19" s="58"/>
    </row>
    <row r="20" spans="1:19" x14ac:dyDescent="0.2">
      <c r="A20" s="47">
        <v>46254</v>
      </c>
      <c r="B20" s="56" t="s">
        <v>130</v>
      </c>
      <c r="C20" s="14">
        <v>12565504</v>
      </c>
      <c r="D20" s="53" t="s">
        <v>131</v>
      </c>
      <c r="E20" s="53" t="s">
        <v>48</v>
      </c>
      <c r="F20" s="109" t="s">
        <v>198</v>
      </c>
      <c r="G20" s="109" t="s">
        <v>197</v>
      </c>
      <c r="H20" s="2" t="s">
        <v>132</v>
      </c>
      <c r="I20" s="60">
        <v>110711</v>
      </c>
      <c r="J20" s="58" t="s">
        <v>133</v>
      </c>
      <c r="K20" s="11" t="s">
        <v>134</v>
      </c>
      <c r="L20" s="57" t="s">
        <v>1</v>
      </c>
      <c r="M20" s="12">
        <v>40000</v>
      </c>
      <c r="N20" s="13" t="s">
        <v>165</v>
      </c>
      <c r="O20" s="14" t="s">
        <v>2</v>
      </c>
      <c r="P20" s="2" t="s">
        <v>66</v>
      </c>
      <c r="Q20" s="1" t="s">
        <v>0</v>
      </c>
      <c r="R20" s="53" t="s">
        <v>163</v>
      </c>
      <c r="S20" s="58"/>
    </row>
    <row r="21" spans="1:19" x14ac:dyDescent="0.2">
      <c r="A21" s="47">
        <v>46254</v>
      </c>
      <c r="B21" s="56" t="s">
        <v>169</v>
      </c>
      <c r="C21" s="14">
        <v>55301171</v>
      </c>
      <c r="D21" s="53" t="s">
        <v>49</v>
      </c>
      <c r="E21" s="53" t="s">
        <v>48</v>
      </c>
      <c r="F21" s="53" t="s">
        <v>86</v>
      </c>
      <c r="G21" s="53" t="s">
        <v>188</v>
      </c>
      <c r="H21" s="2" t="s">
        <v>190</v>
      </c>
      <c r="I21" s="60" t="s">
        <v>192</v>
      </c>
      <c r="J21" s="58" t="s">
        <v>191</v>
      </c>
      <c r="K21" s="11" t="s">
        <v>189</v>
      </c>
      <c r="L21" s="57" t="s">
        <v>1</v>
      </c>
      <c r="M21" s="12">
        <v>40000</v>
      </c>
      <c r="N21" s="13" t="s">
        <v>165</v>
      </c>
      <c r="O21" s="14" t="s">
        <v>2</v>
      </c>
      <c r="P21" s="2" t="s">
        <v>66</v>
      </c>
      <c r="Q21" s="1" t="s">
        <v>0</v>
      </c>
      <c r="R21" s="53" t="s">
        <v>49</v>
      </c>
      <c r="S21" s="58"/>
    </row>
    <row r="22" spans="1:19" x14ac:dyDescent="0.2">
      <c r="A22" s="47">
        <v>45924.307997685188</v>
      </c>
      <c r="B22" s="56" t="s">
        <v>137</v>
      </c>
      <c r="C22" s="14">
        <v>49744118</v>
      </c>
      <c r="D22" s="53" t="s">
        <v>138</v>
      </c>
      <c r="E22" s="53" t="s">
        <v>48</v>
      </c>
      <c r="F22" s="109" t="s">
        <v>198</v>
      </c>
      <c r="G22" s="109" t="s">
        <v>197</v>
      </c>
      <c r="H22" s="2" t="s">
        <v>200</v>
      </c>
      <c r="I22" s="60">
        <v>110711</v>
      </c>
      <c r="J22" s="58" t="s">
        <v>139</v>
      </c>
      <c r="K22" s="11" t="s">
        <v>140</v>
      </c>
      <c r="L22" s="57" t="s">
        <v>51</v>
      </c>
      <c r="M22" s="12">
        <v>150000</v>
      </c>
      <c r="N22" s="13" t="s">
        <v>141</v>
      </c>
      <c r="O22" s="14" t="s">
        <v>2</v>
      </c>
      <c r="P22" s="2" t="s">
        <v>66</v>
      </c>
      <c r="Q22" s="1" t="s">
        <v>0</v>
      </c>
      <c r="R22" s="53" t="s">
        <v>163</v>
      </c>
      <c r="S22" s="58"/>
    </row>
    <row r="23" spans="1:19" x14ac:dyDescent="0.2">
      <c r="A23" s="47">
        <v>46254</v>
      </c>
      <c r="B23" s="56" t="s">
        <v>137</v>
      </c>
      <c r="C23" s="14">
        <v>49744118</v>
      </c>
      <c r="D23" s="53" t="s">
        <v>138</v>
      </c>
      <c r="E23" s="53" t="s">
        <v>48</v>
      </c>
      <c r="F23" s="109" t="s">
        <v>198</v>
      </c>
      <c r="G23" s="109" t="s">
        <v>197</v>
      </c>
      <c r="H23" s="2" t="s">
        <v>200</v>
      </c>
      <c r="I23" s="60">
        <v>110711</v>
      </c>
      <c r="J23" s="58" t="s">
        <v>139</v>
      </c>
      <c r="K23" s="11" t="s">
        <v>140</v>
      </c>
      <c r="L23" s="57" t="s">
        <v>1</v>
      </c>
      <c r="M23" s="12">
        <v>40000</v>
      </c>
      <c r="N23" s="13" t="s">
        <v>165</v>
      </c>
      <c r="O23" s="14" t="s">
        <v>2</v>
      </c>
      <c r="P23" s="2" t="s">
        <v>66</v>
      </c>
      <c r="Q23" s="1" t="s">
        <v>0</v>
      </c>
      <c r="R23" s="53" t="s">
        <v>163</v>
      </c>
      <c r="S23" s="58"/>
    </row>
    <row r="24" spans="1:19" x14ac:dyDescent="0.2">
      <c r="A24" s="47">
        <v>45923.337013888886</v>
      </c>
      <c r="B24" s="56" t="s">
        <v>142</v>
      </c>
      <c r="C24" s="14">
        <v>12584024</v>
      </c>
      <c r="D24" s="53" t="s">
        <v>143</v>
      </c>
      <c r="E24" s="53" t="s">
        <v>48</v>
      </c>
      <c r="F24" s="109" t="s">
        <v>198</v>
      </c>
      <c r="G24" s="109" t="s">
        <v>197</v>
      </c>
      <c r="H24" s="2" t="s">
        <v>200</v>
      </c>
      <c r="I24" s="60">
        <v>110711</v>
      </c>
      <c r="J24" s="58" t="s">
        <v>144</v>
      </c>
      <c r="K24" s="11" t="s">
        <v>145</v>
      </c>
      <c r="L24" s="57" t="s">
        <v>51</v>
      </c>
      <c r="M24" s="12">
        <v>150000</v>
      </c>
      <c r="N24" s="13" t="s">
        <v>146</v>
      </c>
      <c r="O24" s="14" t="s">
        <v>2</v>
      </c>
      <c r="P24" s="2" t="s">
        <v>66</v>
      </c>
      <c r="Q24" s="1" t="s">
        <v>0</v>
      </c>
      <c r="R24" s="53" t="s">
        <v>163</v>
      </c>
      <c r="S24" s="58"/>
    </row>
    <row r="25" spans="1:19" x14ac:dyDescent="0.2">
      <c r="A25" s="47">
        <v>46254</v>
      </c>
      <c r="B25" s="56" t="s">
        <v>142</v>
      </c>
      <c r="C25" s="14">
        <v>12584024</v>
      </c>
      <c r="D25" s="53" t="s">
        <v>143</v>
      </c>
      <c r="E25" s="53" t="s">
        <v>48</v>
      </c>
      <c r="F25" s="109" t="s">
        <v>198</v>
      </c>
      <c r="G25" s="109" t="s">
        <v>197</v>
      </c>
      <c r="H25" s="2" t="s">
        <v>200</v>
      </c>
      <c r="I25" s="60">
        <v>110711</v>
      </c>
      <c r="J25" s="58" t="s">
        <v>144</v>
      </c>
      <c r="K25" s="11" t="s">
        <v>145</v>
      </c>
      <c r="L25" s="57" t="s">
        <v>1</v>
      </c>
      <c r="M25" s="12">
        <v>40000</v>
      </c>
      <c r="N25" s="13" t="s">
        <v>165</v>
      </c>
      <c r="O25" s="14" t="s">
        <v>2</v>
      </c>
      <c r="P25" s="2" t="s">
        <v>66</v>
      </c>
      <c r="Q25" s="1" t="s">
        <v>0</v>
      </c>
      <c r="R25" s="53" t="s">
        <v>163</v>
      </c>
      <c r="S25" s="58"/>
    </row>
    <row r="26" spans="1:19" x14ac:dyDescent="0.2">
      <c r="A26" s="47">
        <v>45707</v>
      </c>
      <c r="B26" s="56" t="s">
        <v>147</v>
      </c>
      <c r="C26" s="14">
        <v>49736536</v>
      </c>
      <c r="D26" s="53" t="s">
        <v>148</v>
      </c>
      <c r="E26" s="53" t="s">
        <v>48</v>
      </c>
      <c r="F26" s="109" t="s">
        <v>198</v>
      </c>
      <c r="G26" s="109" t="s">
        <v>197</v>
      </c>
      <c r="H26" s="2" t="s">
        <v>149</v>
      </c>
      <c r="I26" s="60">
        <v>110711</v>
      </c>
      <c r="J26" s="58" t="s">
        <v>150</v>
      </c>
      <c r="K26" s="11" t="s">
        <v>151</v>
      </c>
      <c r="L26" s="57" t="s">
        <v>3</v>
      </c>
      <c r="M26" s="12">
        <v>100000</v>
      </c>
      <c r="N26" s="13" t="s">
        <v>152</v>
      </c>
      <c r="O26" s="14" t="s">
        <v>2</v>
      </c>
      <c r="P26" s="2" t="s">
        <v>66</v>
      </c>
      <c r="Q26" s="1" t="s">
        <v>0</v>
      </c>
      <c r="R26" s="53" t="s">
        <v>163</v>
      </c>
      <c r="S26" s="58"/>
    </row>
    <row r="27" spans="1:19" x14ac:dyDescent="0.2">
      <c r="A27" s="47">
        <v>45968</v>
      </c>
      <c r="B27" s="56" t="s">
        <v>147</v>
      </c>
      <c r="C27" s="14">
        <v>49736536</v>
      </c>
      <c r="D27" s="53" t="s">
        <v>148</v>
      </c>
      <c r="E27" s="53" t="s">
        <v>48</v>
      </c>
      <c r="F27" s="109" t="s">
        <v>198</v>
      </c>
      <c r="G27" s="109" t="s">
        <v>197</v>
      </c>
      <c r="H27" s="2" t="s">
        <v>149</v>
      </c>
      <c r="I27" s="60">
        <v>110711</v>
      </c>
      <c r="J27" s="58" t="s">
        <v>150</v>
      </c>
      <c r="K27" s="11" t="s">
        <v>151</v>
      </c>
      <c r="L27" s="57" t="s">
        <v>153</v>
      </c>
      <c r="M27" s="12">
        <v>0</v>
      </c>
      <c r="N27" s="13" t="s">
        <v>64</v>
      </c>
      <c r="O27" s="61" t="s">
        <v>49</v>
      </c>
      <c r="P27" s="2" t="s">
        <v>66</v>
      </c>
      <c r="Q27" s="1" t="s">
        <v>0</v>
      </c>
      <c r="R27" s="53" t="s">
        <v>163</v>
      </c>
      <c r="S27" s="58"/>
    </row>
    <row r="28" spans="1:19" x14ac:dyDescent="0.2">
      <c r="A28" s="47">
        <v>46254</v>
      </c>
      <c r="B28" s="56" t="s">
        <v>147</v>
      </c>
      <c r="C28" s="14">
        <v>49736536</v>
      </c>
      <c r="D28" s="53" t="s">
        <v>148</v>
      </c>
      <c r="E28" s="53" t="s">
        <v>48</v>
      </c>
      <c r="F28" s="109" t="s">
        <v>198</v>
      </c>
      <c r="G28" s="109" t="s">
        <v>197</v>
      </c>
      <c r="H28" s="2" t="s">
        <v>149</v>
      </c>
      <c r="I28" s="60">
        <v>110711</v>
      </c>
      <c r="J28" s="58" t="s">
        <v>150</v>
      </c>
      <c r="K28" s="11" t="s">
        <v>151</v>
      </c>
      <c r="L28" s="57" t="s">
        <v>1</v>
      </c>
      <c r="M28" s="12">
        <v>40000</v>
      </c>
      <c r="N28" s="13" t="s">
        <v>165</v>
      </c>
      <c r="O28" s="14" t="s">
        <v>2</v>
      </c>
      <c r="P28" s="2" t="s">
        <v>66</v>
      </c>
      <c r="Q28" s="1" t="s">
        <v>0</v>
      </c>
      <c r="R28" s="53" t="s">
        <v>163</v>
      </c>
      <c r="S28" s="58"/>
    </row>
    <row r="29" spans="1:19" x14ac:dyDescent="0.2">
      <c r="A29" s="47">
        <v>45948.304884259262</v>
      </c>
      <c r="B29" s="56" t="s">
        <v>154</v>
      </c>
      <c r="C29" s="14">
        <v>1128442528</v>
      </c>
      <c r="D29" s="53" t="s">
        <v>49</v>
      </c>
      <c r="E29" s="53" t="s">
        <v>48</v>
      </c>
      <c r="F29" s="109" t="s">
        <v>155</v>
      </c>
      <c r="G29" s="109" t="s">
        <v>156</v>
      </c>
      <c r="H29" s="2" t="s">
        <v>201</v>
      </c>
      <c r="I29" s="60">
        <v>83020</v>
      </c>
      <c r="J29" s="58" t="s">
        <v>194</v>
      </c>
      <c r="K29" s="11" t="s">
        <v>157</v>
      </c>
      <c r="L29" s="57" t="s">
        <v>62</v>
      </c>
      <c r="M29" s="12">
        <v>200000</v>
      </c>
      <c r="N29" s="13" t="s">
        <v>158</v>
      </c>
      <c r="O29" s="14" t="s">
        <v>2</v>
      </c>
      <c r="P29" s="2" t="s">
        <v>66</v>
      </c>
      <c r="Q29" s="1" t="s">
        <v>0</v>
      </c>
      <c r="R29" s="53" t="s">
        <v>49</v>
      </c>
      <c r="S29" s="58"/>
    </row>
    <row r="30" spans="1:19" x14ac:dyDescent="0.2">
      <c r="A30" s="47">
        <v>45932.571099537039</v>
      </c>
      <c r="B30" s="56" t="s">
        <v>159</v>
      </c>
      <c r="C30" s="14">
        <v>5013580</v>
      </c>
      <c r="D30" s="53" t="s">
        <v>49</v>
      </c>
      <c r="E30" s="53" t="s">
        <v>48</v>
      </c>
      <c r="F30" s="109" t="s">
        <v>155</v>
      </c>
      <c r="G30" s="109" t="s">
        <v>156</v>
      </c>
      <c r="H30" s="2" t="s">
        <v>202</v>
      </c>
      <c r="I30" s="60">
        <v>83021</v>
      </c>
      <c r="J30" s="58" t="s">
        <v>160</v>
      </c>
      <c r="K30" s="11" t="s">
        <v>161</v>
      </c>
      <c r="L30" s="57" t="s">
        <v>62</v>
      </c>
      <c r="M30" s="12">
        <v>200000</v>
      </c>
      <c r="N30" s="13" t="s">
        <v>162</v>
      </c>
      <c r="O30" s="14" t="s">
        <v>2</v>
      </c>
      <c r="P30" s="2" t="s">
        <v>66</v>
      </c>
      <c r="Q30" s="1" t="s">
        <v>0</v>
      </c>
      <c r="R30" s="53" t="s">
        <v>49</v>
      </c>
      <c r="S30" s="58"/>
    </row>
    <row r="31" spans="1:19" x14ac:dyDescent="0.2">
      <c r="A31" s="47">
        <v>46273</v>
      </c>
      <c r="B31" s="56" t="s">
        <v>206</v>
      </c>
      <c r="C31" s="14">
        <v>5155754</v>
      </c>
      <c r="D31" s="53">
        <v>195899836</v>
      </c>
      <c r="E31" s="53" t="s">
        <v>48</v>
      </c>
      <c r="F31" s="109" t="s">
        <v>198</v>
      </c>
      <c r="G31" s="109" t="s">
        <v>198</v>
      </c>
      <c r="H31" s="2" t="s">
        <v>207</v>
      </c>
      <c r="I31" s="60">
        <v>110411</v>
      </c>
      <c r="J31" s="58" t="s">
        <v>211</v>
      </c>
      <c r="K31" s="11" t="s">
        <v>208</v>
      </c>
      <c r="L31" s="57" t="s">
        <v>1</v>
      </c>
      <c r="M31" s="12" t="s">
        <v>238</v>
      </c>
      <c r="N31" s="13" t="s">
        <v>239</v>
      </c>
      <c r="O31" s="14" t="s">
        <v>2</v>
      </c>
      <c r="P31" s="2" t="s">
        <v>66</v>
      </c>
      <c r="Q31" s="1" t="s">
        <v>0</v>
      </c>
      <c r="R31" s="53" t="s">
        <v>163</v>
      </c>
      <c r="S31" s="58"/>
    </row>
    <row r="32" spans="1:19" x14ac:dyDescent="0.2">
      <c r="A32" s="47">
        <v>46273</v>
      </c>
      <c r="B32" s="56" t="s">
        <v>209</v>
      </c>
      <c r="C32" s="14">
        <v>6595270</v>
      </c>
      <c r="D32" s="53">
        <v>169903547</v>
      </c>
      <c r="E32" s="53" t="s">
        <v>48</v>
      </c>
      <c r="F32" s="109" t="s">
        <v>198</v>
      </c>
      <c r="G32" s="109" t="s">
        <v>198</v>
      </c>
      <c r="H32" s="2" t="s">
        <v>210</v>
      </c>
      <c r="I32" s="60">
        <v>110411</v>
      </c>
      <c r="J32" s="58" t="s">
        <v>214</v>
      </c>
      <c r="K32" s="11" t="s">
        <v>213</v>
      </c>
      <c r="L32" s="57" t="s">
        <v>1</v>
      </c>
      <c r="M32" s="12" t="s">
        <v>238</v>
      </c>
      <c r="N32" s="13" t="s">
        <v>237</v>
      </c>
      <c r="O32" s="14" t="s">
        <v>2</v>
      </c>
      <c r="P32" s="2" t="s">
        <v>66</v>
      </c>
      <c r="Q32" s="1" t="s">
        <v>0</v>
      </c>
      <c r="R32" s="53" t="s">
        <v>163</v>
      </c>
      <c r="S32" s="58"/>
    </row>
    <row r="33" spans="1:19" ht="15" x14ac:dyDescent="0.2">
      <c r="A33" s="47">
        <v>46273</v>
      </c>
      <c r="B33" s="56" t="s">
        <v>219</v>
      </c>
      <c r="C33" s="14">
        <v>1123413023</v>
      </c>
      <c r="D33" s="53" t="s">
        <v>228</v>
      </c>
      <c r="E33" s="53" t="s">
        <v>48</v>
      </c>
      <c r="F33" s="109" t="s">
        <v>229</v>
      </c>
      <c r="G33" s="109" t="s">
        <v>230</v>
      </c>
      <c r="H33" s="2" t="s">
        <v>231</v>
      </c>
      <c r="I33" s="60" t="s">
        <v>276</v>
      </c>
      <c r="J33" s="169" t="s">
        <v>277</v>
      </c>
      <c r="K33" s="11" t="s">
        <v>262</v>
      </c>
      <c r="L33" s="57" t="s">
        <v>1</v>
      </c>
      <c r="M33" s="12" t="s">
        <v>238</v>
      </c>
      <c r="N33" s="13" t="s">
        <v>237</v>
      </c>
      <c r="O33" s="14" t="s">
        <v>2</v>
      </c>
      <c r="P33" s="2" t="s">
        <v>66</v>
      </c>
      <c r="Q33" s="1" t="s">
        <v>0</v>
      </c>
      <c r="R33" s="53"/>
      <c r="S33" s="58"/>
    </row>
    <row r="34" spans="1:19" x14ac:dyDescent="0.2">
      <c r="A34" s="47">
        <v>46273</v>
      </c>
      <c r="B34" s="56" t="s">
        <v>220</v>
      </c>
      <c r="C34" s="14">
        <v>29877976</v>
      </c>
      <c r="D34" s="53" t="s">
        <v>49</v>
      </c>
      <c r="E34" s="53" t="s">
        <v>223</v>
      </c>
      <c r="F34" s="109" t="s">
        <v>224</v>
      </c>
      <c r="G34" s="109" t="s">
        <v>225</v>
      </c>
      <c r="H34" s="2" t="s">
        <v>226</v>
      </c>
      <c r="I34" s="60">
        <v>4001</v>
      </c>
      <c r="J34" s="58" t="s">
        <v>227</v>
      </c>
      <c r="K34" s="11" t="s">
        <v>261</v>
      </c>
      <c r="L34" s="57" t="s">
        <v>1</v>
      </c>
      <c r="M34" s="12" t="s">
        <v>238</v>
      </c>
      <c r="N34" s="13" t="s">
        <v>237</v>
      </c>
      <c r="O34" s="14" t="s">
        <v>2</v>
      </c>
      <c r="P34" s="2" t="s">
        <v>66</v>
      </c>
      <c r="Q34" s="1" t="s">
        <v>179</v>
      </c>
      <c r="R34" s="53"/>
      <c r="S34" s="58"/>
    </row>
    <row r="35" spans="1:19" x14ac:dyDescent="0.2">
      <c r="A35" s="47">
        <v>46273</v>
      </c>
      <c r="B35" s="56" t="s">
        <v>221</v>
      </c>
      <c r="C35" s="14" t="s">
        <v>232</v>
      </c>
      <c r="D35" s="53" t="s">
        <v>49</v>
      </c>
      <c r="E35" s="53" t="s">
        <v>233</v>
      </c>
      <c r="F35" s="109" t="s">
        <v>234</v>
      </c>
      <c r="G35" s="109" t="s">
        <v>234</v>
      </c>
      <c r="H35" s="2" t="s">
        <v>235</v>
      </c>
      <c r="I35" s="60">
        <v>85120</v>
      </c>
      <c r="J35" s="58" t="s">
        <v>236</v>
      </c>
      <c r="K35" s="11" t="s">
        <v>266</v>
      </c>
      <c r="L35" s="57" t="s">
        <v>1</v>
      </c>
      <c r="M35" s="12" t="s">
        <v>238</v>
      </c>
      <c r="N35" s="13" t="s">
        <v>237</v>
      </c>
      <c r="O35" s="14" t="s">
        <v>2</v>
      </c>
      <c r="P35" s="2" t="s">
        <v>66</v>
      </c>
      <c r="Q35" s="1" t="s">
        <v>179</v>
      </c>
      <c r="R35" s="53"/>
      <c r="S35" s="58"/>
    </row>
    <row r="36" spans="1:19" x14ac:dyDescent="0.2">
      <c r="A36" s="47">
        <v>46274</v>
      </c>
      <c r="B36" s="56" t="s">
        <v>251</v>
      </c>
      <c r="C36" s="14">
        <v>49738305</v>
      </c>
      <c r="D36" s="53" t="s">
        <v>252</v>
      </c>
      <c r="E36" s="53" t="s">
        <v>48</v>
      </c>
      <c r="F36" s="109" t="s">
        <v>253</v>
      </c>
      <c r="G36" s="109" t="s">
        <v>197</v>
      </c>
      <c r="H36" s="2" t="s">
        <v>254</v>
      </c>
      <c r="I36" s="60">
        <v>110110</v>
      </c>
      <c r="J36" s="58" t="s">
        <v>255</v>
      </c>
      <c r="K36" s="11" t="s">
        <v>263</v>
      </c>
      <c r="L36" s="57" t="s">
        <v>1</v>
      </c>
      <c r="M36" s="12" t="s">
        <v>238</v>
      </c>
      <c r="N36" s="13" t="s">
        <v>240</v>
      </c>
      <c r="O36" s="14" t="s">
        <v>2</v>
      </c>
      <c r="P36" s="2" t="s">
        <v>66</v>
      </c>
      <c r="Q36" s="1" t="s">
        <v>179</v>
      </c>
      <c r="R36" s="53"/>
      <c r="S36" s="58" t="s">
        <v>185</v>
      </c>
    </row>
    <row r="37" spans="1:19" x14ac:dyDescent="0.2">
      <c r="A37" s="47">
        <v>46275</v>
      </c>
      <c r="B37" s="56" t="s">
        <v>256</v>
      </c>
      <c r="C37" s="14">
        <v>49742885</v>
      </c>
      <c r="D37" s="53" t="s">
        <v>257</v>
      </c>
      <c r="E37" s="53" t="s">
        <v>48</v>
      </c>
      <c r="F37" s="109" t="s">
        <v>86</v>
      </c>
      <c r="G37" s="109" t="s">
        <v>120</v>
      </c>
      <c r="H37" s="2" t="s">
        <v>258</v>
      </c>
      <c r="I37" s="60" t="s">
        <v>259</v>
      </c>
      <c r="J37" s="58" t="s">
        <v>260</v>
      </c>
      <c r="K37" s="11" t="s">
        <v>264</v>
      </c>
      <c r="L37" s="57" t="s">
        <v>1</v>
      </c>
      <c r="M37" s="12" t="s">
        <v>238</v>
      </c>
      <c r="N37" s="13" t="s">
        <v>241</v>
      </c>
      <c r="O37" s="14" t="s">
        <v>2</v>
      </c>
      <c r="P37" s="2" t="s">
        <v>66</v>
      </c>
      <c r="Q37" s="1" t="s">
        <v>179</v>
      </c>
      <c r="R37" s="53"/>
      <c r="S37" s="58" t="s">
        <v>185</v>
      </c>
    </row>
    <row r="38" spans="1:19" x14ac:dyDescent="0.2">
      <c r="A38" s="47">
        <v>46276</v>
      </c>
      <c r="B38" s="56" t="s">
        <v>222</v>
      </c>
      <c r="C38" s="14">
        <v>41524891</v>
      </c>
      <c r="D38" s="53" t="s">
        <v>248</v>
      </c>
      <c r="E38" s="53" t="s">
        <v>48</v>
      </c>
      <c r="F38" s="109" t="s">
        <v>86</v>
      </c>
      <c r="G38" s="109" t="s">
        <v>120</v>
      </c>
      <c r="H38" s="2" t="s">
        <v>249</v>
      </c>
      <c r="I38" s="60">
        <v>200001</v>
      </c>
      <c r="J38" s="58" t="s">
        <v>250</v>
      </c>
      <c r="K38" s="11" t="s">
        <v>265</v>
      </c>
      <c r="L38" s="57" t="s">
        <v>1</v>
      </c>
      <c r="M38" s="12" t="s">
        <v>238</v>
      </c>
      <c r="N38" s="13" t="s">
        <v>242</v>
      </c>
      <c r="O38" s="14" t="s">
        <v>2</v>
      </c>
      <c r="P38" s="2" t="s">
        <v>66</v>
      </c>
      <c r="Q38" s="1" t="s">
        <v>179</v>
      </c>
      <c r="R38" s="53"/>
      <c r="S38" s="58" t="s">
        <v>185</v>
      </c>
    </row>
    <row r="39" spans="1:19" x14ac:dyDescent="0.2">
      <c r="A39" s="47">
        <v>46279</v>
      </c>
      <c r="B39" s="56" t="s">
        <v>243</v>
      </c>
      <c r="C39" s="14">
        <v>94448731</v>
      </c>
      <c r="D39" s="53" t="s">
        <v>244</v>
      </c>
      <c r="E39" s="53" t="s">
        <v>48</v>
      </c>
      <c r="F39" s="109" t="s">
        <v>245</v>
      </c>
      <c r="G39" s="109" t="s">
        <v>246</v>
      </c>
      <c r="H39" s="2" t="s">
        <v>271</v>
      </c>
      <c r="I39" s="60">
        <v>500001</v>
      </c>
      <c r="J39" s="58" t="s">
        <v>247</v>
      </c>
      <c r="K39" s="11" t="s">
        <v>270</v>
      </c>
      <c r="L39" s="57" t="s">
        <v>268</v>
      </c>
      <c r="M39" s="12" t="s">
        <v>238</v>
      </c>
      <c r="N39" s="13" t="s">
        <v>269</v>
      </c>
      <c r="O39" s="14" t="s">
        <v>2</v>
      </c>
      <c r="P39" s="2" t="s">
        <v>66</v>
      </c>
      <c r="Q39" s="1" t="s">
        <v>0</v>
      </c>
      <c r="R39" s="53" t="s">
        <v>163</v>
      </c>
      <c r="S39" s="58"/>
    </row>
    <row r="40" spans="1:19" x14ac:dyDescent="0.2">
      <c r="A40" s="47"/>
      <c r="B40" s="167"/>
      <c r="C40" s="168"/>
      <c r="D40" s="53"/>
      <c r="E40" s="53"/>
      <c r="F40" s="109"/>
      <c r="G40" s="109"/>
      <c r="H40" s="2"/>
      <c r="I40" s="60"/>
      <c r="J40" s="58"/>
      <c r="K40" s="11"/>
      <c r="L40" s="57"/>
      <c r="M40" s="12"/>
      <c r="N40" s="13"/>
      <c r="O40" s="14"/>
      <c r="P40" s="2"/>
      <c r="Q40" s="1"/>
      <c r="R40" s="53"/>
      <c r="S40" s="58"/>
    </row>
    <row r="41" spans="1:19" x14ac:dyDescent="0.2">
      <c r="A41" s="47"/>
      <c r="B41" s="167"/>
      <c r="C41" s="168"/>
      <c r="D41" s="53"/>
      <c r="E41" s="53"/>
      <c r="F41" s="109"/>
      <c r="G41" s="109"/>
      <c r="H41" s="2"/>
      <c r="I41" s="60"/>
      <c r="J41" s="58"/>
      <c r="K41" s="11"/>
      <c r="L41" s="57"/>
      <c r="M41" s="12"/>
      <c r="N41" s="13"/>
      <c r="O41" s="14"/>
      <c r="P41" s="2"/>
      <c r="Q41" s="1"/>
      <c r="R41" s="53"/>
      <c r="S41" s="58"/>
    </row>
    <row r="42" spans="1:19" x14ac:dyDescent="0.2">
      <c r="A42" s="47"/>
      <c r="B42" s="167"/>
      <c r="C42" s="168"/>
      <c r="D42" s="53"/>
      <c r="E42" s="53"/>
      <c r="F42" s="109"/>
      <c r="G42" s="109"/>
      <c r="H42" s="2"/>
      <c r="I42" s="60"/>
      <c r="J42" s="58"/>
      <c r="K42" s="11"/>
      <c r="L42" s="57"/>
      <c r="M42" s="12"/>
      <c r="N42" s="13"/>
      <c r="O42" s="14"/>
      <c r="P42" s="2"/>
      <c r="Q42" s="1"/>
      <c r="R42" s="53"/>
      <c r="S42" s="58"/>
    </row>
    <row r="43" spans="1:19" x14ac:dyDescent="0.2">
      <c r="A43" s="47"/>
      <c r="B43" s="85"/>
      <c r="C43" s="85"/>
      <c r="Q43" s="1"/>
      <c r="R43" s="53"/>
      <c r="S43" s="58"/>
    </row>
    <row r="44" spans="1:19" x14ac:dyDescent="0.2">
      <c r="A44" s="47"/>
      <c r="B44" s="167"/>
      <c r="C44" s="168"/>
      <c r="D44" s="53"/>
      <c r="E44" s="53"/>
      <c r="F44" s="109"/>
      <c r="G44" s="109"/>
      <c r="H44" s="2"/>
      <c r="I44" s="60"/>
      <c r="J44" s="58"/>
      <c r="K44" s="11"/>
      <c r="L44" s="57"/>
      <c r="M44" s="12"/>
      <c r="N44" s="13"/>
      <c r="O44" s="14"/>
      <c r="P44" s="2"/>
      <c r="Q44" s="1"/>
      <c r="R44" s="53"/>
      <c r="S44" s="58"/>
    </row>
    <row r="45" spans="1:19" x14ac:dyDescent="0.2">
      <c r="A45" s="47"/>
      <c r="B45" s="167"/>
      <c r="C45" s="168"/>
      <c r="D45" s="53"/>
      <c r="E45" s="53"/>
      <c r="F45" s="109"/>
      <c r="G45" s="109"/>
      <c r="H45" s="2"/>
      <c r="I45" s="60"/>
      <c r="J45" s="58"/>
      <c r="K45" s="11"/>
      <c r="L45" s="57"/>
      <c r="M45" s="12"/>
      <c r="N45" s="13"/>
      <c r="O45" s="14"/>
      <c r="P45" s="2"/>
      <c r="Q45" s="1"/>
      <c r="R45" s="53"/>
      <c r="S45" s="58"/>
    </row>
    <row r="46" spans="1:19" x14ac:dyDescent="0.2">
      <c r="A46" s="47"/>
      <c r="B46" s="167"/>
      <c r="C46" s="168"/>
      <c r="D46" s="53"/>
      <c r="E46" s="53"/>
      <c r="F46" s="109"/>
      <c r="G46" s="109"/>
      <c r="H46" s="2"/>
      <c r="I46" s="60"/>
      <c r="J46" s="58"/>
      <c r="K46" s="11"/>
      <c r="L46" s="57"/>
      <c r="M46" s="12"/>
      <c r="N46" s="13"/>
      <c r="O46" s="14"/>
      <c r="P46" s="2"/>
      <c r="Q46" s="1"/>
      <c r="R46" s="53"/>
      <c r="S46" s="58"/>
    </row>
    <row r="47" spans="1:19" x14ac:dyDescent="0.2">
      <c r="A47" s="47"/>
      <c r="B47" s="167"/>
      <c r="C47" s="168"/>
      <c r="D47" s="53"/>
      <c r="E47" s="53"/>
      <c r="F47" s="109"/>
      <c r="G47" s="109"/>
      <c r="H47" s="2"/>
      <c r="I47" s="60"/>
      <c r="J47" s="58"/>
      <c r="K47" s="11"/>
      <c r="L47" s="57"/>
      <c r="M47" s="12"/>
      <c r="N47" s="13"/>
      <c r="O47" s="14"/>
      <c r="P47" s="2"/>
      <c r="Q47" s="1"/>
      <c r="R47" s="53"/>
      <c r="S47" s="58"/>
    </row>
    <row r="48" spans="1:19" x14ac:dyDescent="0.2">
      <c r="A48" s="47"/>
      <c r="B48" s="167"/>
      <c r="C48" s="168"/>
      <c r="D48" s="53"/>
      <c r="E48" s="53"/>
      <c r="F48" s="109"/>
      <c r="G48" s="109"/>
      <c r="H48" s="2"/>
      <c r="I48" s="60"/>
      <c r="J48" s="58"/>
      <c r="K48" s="11"/>
      <c r="L48" s="57"/>
      <c r="M48" s="12"/>
      <c r="N48" s="13"/>
      <c r="O48" s="14"/>
      <c r="P48" s="2"/>
      <c r="Q48" s="1"/>
      <c r="R48" s="53"/>
      <c r="S48" s="58"/>
    </row>
    <row r="49" spans="2:3" x14ac:dyDescent="0.2">
      <c r="B49" s="85"/>
      <c r="C49" s="85"/>
    </row>
    <row r="50" spans="2:3" x14ac:dyDescent="0.2">
      <c r="B50" s="85"/>
      <c r="C50" s="85"/>
    </row>
    <row r="51" spans="2:3" x14ac:dyDescent="0.2">
      <c r="B51" s="85"/>
      <c r="C51" s="85"/>
    </row>
  </sheetData>
  <autoFilter ref="A1:S39" xr:uid="{BAB99A06-041E-4BD8-B15E-F417C7709518}"/>
  <sortState xmlns:xlrd2="http://schemas.microsoft.com/office/spreadsheetml/2017/richdata2" ref="A2:S113">
    <sortCondition ref="B1:B113"/>
  </sortState>
  <conditionalFormatting sqref="A1">
    <cfRule type="duplicateValues" dxfId="2936" priority="1276"/>
    <cfRule type="duplicateValues" dxfId="2935" priority="1277"/>
    <cfRule type="duplicateValues" dxfId="2934" priority="1278"/>
    <cfRule type="duplicateValues" dxfId="2933" priority="1279"/>
    <cfRule type="duplicateValues" dxfId="2932" priority="1280"/>
    <cfRule type="duplicateValues" dxfId="2931" priority="1281"/>
    <cfRule type="duplicateValues" dxfId="2930" priority="1282"/>
    <cfRule type="duplicateValues" dxfId="2929" priority="1283"/>
    <cfRule type="duplicateValues" dxfId="2928" priority="1284"/>
    <cfRule type="duplicateValues" dxfId="2927" priority="1285"/>
    <cfRule type="duplicateValues" dxfId="2926" priority="1286"/>
    <cfRule type="duplicateValues" dxfId="2925" priority="1287"/>
    <cfRule type="duplicateValues" dxfId="2924" priority="1288"/>
    <cfRule type="duplicateValues" dxfId="2923" priority="1289"/>
  </conditionalFormatting>
  <conditionalFormatting sqref="B1">
    <cfRule type="duplicateValues" dxfId="2922" priority="1260"/>
    <cfRule type="duplicateValues" dxfId="2921" priority="1261"/>
    <cfRule type="duplicateValues" dxfId="2920" priority="1262"/>
    <cfRule type="duplicateValues" dxfId="2919" priority="1263"/>
    <cfRule type="duplicateValues" dxfId="2918" priority="1264"/>
    <cfRule type="duplicateValues" dxfId="2917" priority="1265"/>
    <cfRule type="duplicateValues" dxfId="2916" priority="1266"/>
    <cfRule type="duplicateValues" dxfId="2915" priority="1267"/>
    <cfRule type="duplicateValues" dxfId="2914" priority="1268"/>
    <cfRule type="duplicateValues" dxfId="2913" priority="1269"/>
    <cfRule type="duplicateValues" dxfId="2912" priority="1270"/>
    <cfRule type="duplicateValues" dxfId="2911" priority="1271"/>
    <cfRule type="duplicateValues" dxfId="2910" priority="1272"/>
    <cfRule type="duplicateValues" dxfId="2909" priority="1273"/>
    <cfRule type="duplicateValues" dxfId="2908" priority="1274"/>
    <cfRule type="duplicateValues" dxfId="2907" priority="1275"/>
    <cfRule type="duplicateValues" dxfId="2906" priority="1290"/>
  </conditionalFormatting>
  <conditionalFormatting sqref="B4">
    <cfRule type="duplicateValues" dxfId="2905" priority="62"/>
    <cfRule type="duplicateValues" dxfId="2904" priority="63"/>
    <cfRule type="duplicateValues" dxfId="2903" priority="64"/>
    <cfRule type="duplicateValues" dxfId="2902" priority="65"/>
    <cfRule type="duplicateValues" dxfId="2901" priority="66"/>
    <cfRule type="duplicateValues" dxfId="2900" priority="67"/>
    <cfRule type="duplicateValues" dxfId="2899" priority="68"/>
    <cfRule type="duplicateValues" dxfId="2898" priority="69"/>
    <cfRule type="duplicateValues" dxfId="2897" priority="70"/>
    <cfRule type="duplicateValues" dxfId="2896" priority="71"/>
    <cfRule type="duplicateValues" dxfId="2895" priority="72"/>
    <cfRule type="duplicateValues" dxfId="2894" priority="73"/>
    <cfRule type="duplicateValues" dxfId="2893" priority="74"/>
    <cfRule type="duplicateValues" dxfId="2892" priority="75"/>
    <cfRule type="duplicateValues" dxfId="2891" priority="76"/>
    <cfRule type="duplicateValues" dxfId="2890" priority="77"/>
    <cfRule type="duplicateValues" dxfId="2889" priority="78"/>
    <cfRule type="duplicateValues" dxfId="2888" priority="79"/>
    <cfRule type="duplicateValues" dxfId="2887" priority="80"/>
    <cfRule type="duplicateValues" dxfId="2886" priority="81"/>
    <cfRule type="duplicateValues" dxfId="2885" priority="82"/>
    <cfRule type="duplicateValues" dxfId="2884" priority="83"/>
    <cfRule type="duplicateValues" dxfId="2883" priority="84"/>
    <cfRule type="duplicateValues" dxfId="2882" priority="85"/>
    <cfRule type="duplicateValues" dxfId="2881" priority="86"/>
    <cfRule type="duplicateValues" dxfId="2880" priority="87"/>
    <cfRule type="duplicateValues" dxfId="2879" priority="88"/>
    <cfRule type="duplicateValues" dxfId="2878" priority="89"/>
    <cfRule type="duplicateValues" dxfId="2877" priority="90"/>
    <cfRule type="duplicateValues" dxfId="2876" priority="91"/>
    <cfRule type="duplicateValues" dxfId="2875" priority="92"/>
    <cfRule type="duplicateValues" dxfId="2874" priority="93"/>
    <cfRule type="duplicateValues" dxfId="2873" priority="94"/>
    <cfRule type="duplicateValues" dxfId="2872" priority="95"/>
    <cfRule type="duplicateValues" dxfId="2871" priority="96"/>
    <cfRule type="duplicateValues" dxfId="2870" priority="97"/>
    <cfRule type="duplicateValues" dxfId="2869" priority="98"/>
    <cfRule type="duplicateValues" dxfId="2868" priority="99"/>
    <cfRule type="duplicateValues" dxfId="2867" priority="100"/>
    <cfRule type="duplicateValues" dxfId="2866" priority="101"/>
    <cfRule type="duplicateValues" dxfId="2865" priority="102"/>
    <cfRule type="duplicateValues" dxfId="2864" priority="103"/>
    <cfRule type="duplicateValues" dxfId="2863" priority="104"/>
    <cfRule type="duplicateValues" dxfId="2862" priority="105"/>
    <cfRule type="duplicateValues" dxfId="2861" priority="106"/>
    <cfRule type="duplicateValues" dxfId="2860" priority="107"/>
    <cfRule type="duplicateValues" dxfId="2859" priority="108"/>
    <cfRule type="duplicateValues" dxfId="2858" priority="109"/>
    <cfRule type="duplicateValues" dxfId="2857" priority="110"/>
    <cfRule type="duplicateValues" dxfId="2856" priority="111"/>
    <cfRule type="duplicateValues" dxfId="2855" priority="112"/>
    <cfRule type="duplicateValues" dxfId="2854" priority="113"/>
    <cfRule type="duplicateValues" dxfId="2853" priority="114"/>
    <cfRule type="duplicateValues" dxfId="2852" priority="115"/>
    <cfRule type="duplicateValues" dxfId="2851" priority="116"/>
    <cfRule type="duplicateValues" dxfId="2850" priority="117"/>
    <cfRule type="duplicateValues" dxfId="2849" priority="118"/>
    <cfRule type="duplicateValues" dxfId="2848" priority="119"/>
    <cfRule type="duplicateValues" dxfId="2847" priority="120"/>
    <cfRule type="duplicateValues" dxfId="2846" priority="121"/>
    <cfRule type="duplicateValues" dxfId="2845" priority="122"/>
    <cfRule type="duplicateValues" dxfId="2844" priority="123"/>
    <cfRule type="duplicateValues" dxfId="2843" priority="124"/>
    <cfRule type="duplicateValues" dxfId="2842" priority="125"/>
    <cfRule type="duplicateValues" dxfId="2841" priority="126"/>
    <cfRule type="duplicateValues" dxfId="2840" priority="127"/>
    <cfRule type="duplicateValues" dxfId="2839" priority="128"/>
    <cfRule type="duplicateValues" dxfId="2838" priority="129"/>
    <cfRule type="duplicateValues" dxfId="2837" priority="130"/>
    <cfRule type="duplicateValues" dxfId="2836" priority="131"/>
    <cfRule type="duplicateValues" dxfId="2835" priority="132"/>
    <cfRule type="duplicateValues" dxfId="2834" priority="133"/>
    <cfRule type="duplicateValues" dxfId="2833" priority="134"/>
    <cfRule type="duplicateValues" dxfId="2832" priority="135"/>
    <cfRule type="duplicateValues" dxfId="2831" priority="136"/>
    <cfRule type="duplicateValues" dxfId="2830" priority="137"/>
    <cfRule type="duplicateValues" dxfId="2829" priority="138"/>
    <cfRule type="duplicateValues" dxfId="2828" priority="139"/>
    <cfRule type="duplicateValues" dxfId="2827" priority="140"/>
    <cfRule type="duplicateValues" dxfId="2826" priority="141"/>
    <cfRule type="duplicateValues" dxfId="2825" priority="142"/>
    <cfRule type="duplicateValues" dxfId="2824" priority="143"/>
    <cfRule type="duplicateValues" dxfId="2823" priority="144"/>
    <cfRule type="duplicateValues" dxfId="2822" priority="145"/>
    <cfRule type="duplicateValues" dxfId="2821" priority="146"/>
    <cfRule type="duplicateValues" dxfId="2820" priority="147"/>
    <cfRule type="duplicateValues" dxfId="2819" priority="148"/>
    <cfRule type="duplicateValues" dxfId="2818" priority="149"/>
    <cfRule type="duplicateValues" dxfId="2817" priority="150"/>
    <cfRule type="duplicateValues" dxfId="2816" priority="151"/>
    <cfRule type="duplicateValues" dxfId="2815" priority="152"/>
    <cfRule type="duplicateValues" dxfId="2814" priority="153"/>
    <cfRule type="duplicateValues" dxfId="2813" priority="154"/>
    <cfRule type="duplicateValues" dxfId="2812" priority="155"/>
    <cfRule type="duplicateValues" dxfId="2811" priority="156"/>
    <cfRule type="duplicateValues" dxfId="2810" priority="157"/>
    <cfRule type="duplicateValues" dxfId="2809" priority="158"/>
    <cfRule type="duplicateValues" dxfId="2808" priority="159"/>
    <cfRule type="duplicateValues" dxfId="2807" priority="160"/>
    <cfRule type="duplicateValues" dxfId="2806" priority="161"/>
    <cfRule type="duplicateValues" dxfId="2805" priority="162"/>
    <cfRule type="duplicateValues" dxfId="2804" priority="163"/>
    <cfRule type="duplicateValues" dxfId="2803" priority="164"/>
    <cfRule type="duplicateValues" dxfId="2802" priority="165"/>
    <cfRule type="duplicateValues" dxfId="2801" priority="166"/>
    <cfRule type="duplicateValues" dxfId="2800" priority="167"/>
    <cfRule type="duplicateValues" dxfId="2799" priority="168"/>
    <cfRule type="duplicateValues" dxfId="2798" priority="169"/>
    <cfRule type="duplicateValues" dxfId="2797" priority="170"/>
    <cfRule type="duplicateValues" dxfId="2796" priority="171"/>
    <cfRule type="duplicateValues" dxfId="2795" priority="172"/>
    <cfRule type="duplicateValues" dxfId="2794" priority="173"/>
    <cfRule type="duplicateValues" dxfId="2793" priority="174"/>
    <cfRule type="duplicateValues" dxfId="2792" priority="175"/>
    <cfRule type="duplicateValues" dxfId="2791" priority="176"/>
    <cfRule type="duplicateValues" dxfId="2790" priority="177"/>
    <cfRule type="duplicateValues" dxfId="2789" priority="178"/>
    <cfRule type="duplicateValues" dxfId="2788" priority="179"/>
    <cfRule type="duplicateValues" dxfId="2787" priority="180"/>
    <cfRule type="duplicateValues" dxfId="2786" priority="181"/>
    <cfRule type="duplicateValues" dxfId="2785" priority="182"/>
    <cfRule type="duplicateValues" dxfId="2784" priority="183"/>
    <cfRule type="duplicateValues" dxfId="2783" priority="184"/>
    <cfRule type="duplicateValues" dxfId="2782" priority="185"/>
    <cfRule type="duplicateValues" dxfId="2781" priority="186"/>
    <cfRule type="duplicateValues" dxfId="2780" priority="187"/>
    <cfRule type="duplicateValues" dxfId="2779" priority="188"/>
    <cfRule type="duplicateValues" dxfId="2778" priority="189"/>
  </conditionalFormatting>
  <conditionalFormatting sqref="B5:B6 B2:B3">
    <cfRule type="duplicateValues" dxfId="2777" priority="1118"/>
    <cfRule type="duplicateValues" dxfId="2776" priority="1119"/>
    <cfRule type="duplicateValues" dxfId="2775" priority="1120"/>
    <cfRule type="duplicateValues" dxfId="2774" priority="1121"/>
    <cfRule type="duplicateValues" dxfId="2773" priority="1122"/>
    <cfRule type="duplicateValues" dxfId="2772" priority="1123"/>
    <cfRule type="duplicateValues" dxfId="2771" priority="1124"/>
    <cfRule type="duplicateValues" dxfId="2770" priority="1125"/>
    <cfRule type="duplicateValues" dxfId="2769" priority="1126"/>
    <cfRule type="duplicateValues" dxfId="2768" priority="1127"/>
    <cfRule type="duplicateValues" dxfId="2767" priority="1128"/>
    <cfRule type="duplicateValues" dxfId="2766" priority="1129"/>
    <cfRule type="duplicateValues" dxfId="2765" priority="1130"/>
    <cfRule type="duplicateValues" dxfId="2764" priority="1131"/>
    <cfRule type="duplicateValues" dxfId="2763" priority="1132"/>
    <cfRule type="duplicateValues" dxfId="2762" priority="1133"/>
    <cfRule type="duplicateValues" dxfId="2761" priority="1134"/>
    <cfRule type="duplicateValues" dxfId="2760" priority="1135"/>
    <cfRule type="duplicateValues" dxfId="2759" priority="1136"/>
    <cfRule type="duplicateValues" dxfId="2758" priority="1137"/>
    <cfRule type="duplicateValues" dxfId="2757" priority="1138"/>
    <cfRule type="duplicateValues" dxfId="2756" priority="1139"/>
    <cfRule type="duplicateValues" dxfId="2755" priority="1140"/>
    <cfRule type="duplicateValues" dxfId="2754" priority="1141"/>
    <cfRule type="duplicateValues" dxfId="2753" priority="1142"/>
    <cfRule type="duplicateValues" dxfId="2752" priority="1143"/>
    <cfRule type="duplicateValues" dxfId="2751" priority="1144"/>
    <cfRule type="duplicateValues" dxfId="2750" priority="1145"/>
    <cfRule type="duplicateValues" dxfId="2749" priority="1146"/>
    <cfRule type="duplicateValues" dxfId="2748" priority="1147"/>
    <cfRule type="duplicateValues" dxfId="2747" priority="1148"/>
    <cfRule type="duplicateValues" dxfId="2746" priority="1149"/>
    <cfRule type="duplicateValues" dxfId="2745" priority="1150"/>
    <cfRule type="duplicateValues" dxfId="2744" priority="1151"/>
    <cfRule type="duplicateValues" dxfId="2743" priority="1152"/>
    <cfRule type="duplicateValues" dxfId="2742" priority="1153"/>
    <cfRule type="duplicateValues" dxfId="2741" priority="1154"/>
    <cfRule type="duplicateValues" dxfId="2740" priority="1155"/>
    <cfRule type="duplicateValues" dxfId="2739" priority="1156"/>
    <cfRule type="duplicateValues" dxfId="2738" priority="1157"/>
    <cfRule type="duplicateValues" dxfId="2737" priority="1158"/>
    <cfRule type="duplicateValues" dxfId="2736" priority="1159"/>
    <cfRule type="duplicateValues" dxfId="2735" priority="1160"/>
    <cfRule type="duplicateValues" dxfId="2734" priority="1161"/>
    <cfRule type="duplicateValues" dxfId="2733" priority="1162"/>
    <cfRule type="duplicateValues" dxfId="2732" priority="1163"/>
    <cfRule type="duplicateValues" dxfId="2731" priority="1164"/>
    <cfRule type="duplicateValues" dxfId="2730" priority="1165"/>
    <cfRule type="duplicateValues" dxfId="2729" priority="1166"/>
    <cfRule type="duplicateValues" dxfId="2728" priority="1167"/>
    <cfRule type="duplicateValues" dxfId="2727" priority="1168"/>
    <cfRule type="duplicateValues" dxfId="2726" priority="1169"/>
    <cfRule type="duplicateValues" dxfId="2725" priority="1170"/>
    <cfRule type="duplicateValues" dxfId="2724" priority="1171"/>
    <cfRule type="duplicateValues" dxfId="2723" priority="1172"/>
    <cfRule type="duplicateValues" dxfId="2722" priority="1173"/>
    <cfRule type="duplicateValues" dxfId="2721" priority="1174"/>
    <cfRule type="duplicateValues" dxfId="2720" priority="1175"/>
    <cfRule type="duplicateValues" dxfId="2719" priority="1176"/>
    <cfRule type="duplicateValues" dxfId="2718" priority="1177"/>
    <cfRule type="duplicateValues" dxfId="2717" priority="1178"/>
    <cfRule type="duplicateValues" dxfId="2716" priority="1179"/>
    <cfRule type="duplicateValues" dxfId="2715" priority="1180"/>
    <cfRule type="duplicateValues" dxfId="2714" priority="1181"/>
    <cfRule type="duplicateValues" dxfId="2713" priority="1182"/>
    <cfRule type="duplicateValues" dxfId="2712" priority="1183"/>
    <cfRule type="duplicateValues" dxfId="2711" priority="1184"/>
    <cfRule type="duplicateValues" dxfId="2710" priority="1185"/>
    <cfRule type="duplicateValues" dxfId="2709" priority="1186"/>
    <cfRule type="duplicateValues" dxfId="2708" priority="1187"/>
    <cfRule type="duplicateValues" dxfId="2707" priority="1188"/>
    <cfRule type="duplicateValues" dxfId="2706" priority="1189"/>
    <cfRule type="duplicateValues" dxfId="2705" priority="1190"/>
    <cfRule type="duplicateValues" dxfId="2704" priority="1191"/>
    <cfRule type="duplicateValues" dxfId="2703" priority="1192"/>
  </conditionalFormatting>
  <conditionalFormatting sqref="B5:B19 B2:B3">
    <cfRule type="duplicateValues" dxfId="2702" priority="1115"/>
    <cfRule type="duplicateValues" dxfId="2701" priority="1116"/>
    <cfRule type="duplicateValues" dxfId="2700" priority="1117"/>
    <cfRule type="duplicateValues" dxfId="2699" priority="1193"/>
  </conditionalFormatting>
  <conditionalFormatting sqref="B7:B8">
    <cfRule type="duplicateValues" dxfId="2698" priority="1015"/>
    <cfRule type="duplicateValues" dxfId="2697" priority="1016"/>
    <cfRule type="duplicateValues" dxfId="2696" priority="1017"/>
    <cfRule type="duplicateValues" dxfId="2695" priority="1018"/>
    <cfRule type="duplicateValues" dxfId="2694" priority="1019"/>
    <cfRule type="duplicateValues" dxfId="2693" priority="1020"/>
    <cfRule type="duplicateValues" dxfId="2692" priority="1021"/>
    <cfRule type="duplicateValues" dxfId="2691" priority="1022"/>
    <cfRule type="duplicateValues" dxfId="2690" priority="1023"/>
    <cfRule type="duplicateValues" dxfId="2689" priority="1024"/>
    <cfRule type="duplicateValues" dxfId="2688" priority="1025"/>
    <cfRule type="duplicateValues" dxfId="2687" priority="1026"/>
    <cfRule type="duplicateValues" dxfId="2686" priority="1027"/>
    <cfRule type="duplicateValues" dxfId="2685" priority="1028"/>
    <cfRule type="duplicateValues" dxfId="2684" priority="1029"/>
    <cfRule type="duplicateValues" dxfId="2683" priority="1030"/>
    <cfRule type="duplicateValues" dxfId="2682" priority="1031"/>
    <cfRule type="duplicateValues" dxfId="2681" priority="1032"/>
    <cfRule type="duplicateValues" dxfId="2680" priority="1033"/>
    <cfRule type="duplicateValues" dxfId="2679" priority="1034"/>
    <cfRule type="duplicateValues" dxfId="2678" priority="1035"/>
    <cfRule type="duplicateValues" dxfId="2677" priority="1036"/>
    <cfRule type="duplicateValues" dxfId="2676" priority="1037"/>
    <cfRule type="duplicateValues" dxfId="2675" priority="1038"/>
    <cfRule type="duplicateValues" dxfId="2674" priority="1039"/>
    <cfRule type="duplicateValues" dxfId="2673" priority="1040"/>
    <cfRule type="duplicateValues" dxfId="2672" priority="1041"/>
    <cfRule type="duplicateValues" dxfId="2671" priority="1042"/>
    <cfRule type="duplicateValues" dxfId="2670" priority="1043"/>
    <cfRule type="duplicateValues" dxfId="2669" priority="1044"/>
    <cfRule type="duplicateValues" dxfId="2668" priority="1045"/>
    <cfRule type="duplicateValues" dxfId="2667" priority="1046"/>
    <cfRule type="duplicateValues" dxfId="2666" priority="1047"/>
    <cfRule type="duplicateValues" dxfId="2665" priority="1048"/>
    <cfRule type="duplicateValues" dxfId="2664" priority="1049"/>
    <cfRule type="duplicateValues" dxfId="2663" priority="1050"/>
    <cfRule type="duplicateValues" dxfId="2662" priority="1051"/>
    <cfRule type="duplicateValues" dxfId="2661" priority="1052"/>
    <cfRule type="duplicateValues" dxfId="2660" priority="1053"/>
    <cfRule type="duplicateValues" dxfId="2659" priority="1054"/>
  </conditionalFormatting>
  <conditionalFormatting sqref="B9">
    <cfRule type="duplicateValues" dxfId="2658" priority="932"/>
    <cfRule type="duplicateValues" dxfId="2657" priority="933"/>
    <cfRule type="duplicateValues" dxfId="2656" priority="934"/>
    <cfRule type="duplicateValues" dxfId="2655" priority="935"/>
    <cfRule type="duplicateValues" dxfId="2654" priority="936"/>
    <cfRule type="duplicateValues" dxfId="2653" priority="937"/>
    <cfRule type="duplicateValues" dxfId="2652" priority="938"/>
    <cfRule type="duplicateValues" dxfId="2651" priority="939"/>
    <cfRule type="duplicateValues" dxfId="2650" priority="940"/>
    <cfRule type="duplicateValues" dxfId="2649" priority="941"/>
    <cfRule type="duplicateValues" dxfId="2648" priority="942"/>
    <cfRule type="duplicateValues" dxfId="2647" priority="943"/>
    <cfRule type="duplicateValues" dxfId="2646" priority="944"/>
    <cfRule type="duplicateValues" dxfId="2645" priority="945"/>
    <cfRule type="duplicateValues" dxfId="2644" priority="946"/>
    <cfRule type="duplicateValues" dxfId="2643" priority="947"/>
    <cfRule type="duplicateValues" dxfId="2642" priority="948"/>
    <cfRule type="duplicateValues" dxfId="2641" priority="949"/>
    <cfRule type="duplicateValues" dxfId="2640" priority="950"/>
    <cfRule type="duplicateValues" dxfId="2639" priority="951"/>
    <cfRule type="duplicateValues" dxfId="2638" priority="952"/>
    <cfRule type="duplicateValues" dxfId="2637" priority="953"/>
    <cfRule type="duplicateValues" dxfId="2636" priority="954"/>
    <cfRule type="duplicateValues" dxfId="2635" priority="955"/>
    <cfRule type="duplicateValues" dxfId="2634" priority="956"/>
    <cfRule type="duplicateValues" dxfId="2633" priority="957"/>
    <cfRule type="duplicateValues" dxfId="2632" priority="958"/>
    <cfRule type="duplicateValues" dxfId="2631" priority="959"/>
    <cfRule type="duplicateValues" dxfId="2630" priority="960"/>
    <cfRule type="duplicateValues" dxfId="2629" priority="961"/>
    <cfRule type="duplicateValues" dxfId="2628" priority="962"/>
    <cfRule type="duplicateValues" dxfId="2627" priority="963"/>
    <cfRule type="duplicateValues" dxfId="2626" priority="964"/>
    <cfRule type="duplicateValues" dxfId="2625" priority="965"/>
    <cfRule type="duplicateValues" dxfId="2624" priority="966"/>
    <cfRule type="duplicateValues" dxfId="2623" priority="967"/>
    <cfRule type="duplicateValues" dxfId="2622" priority="968"/>
    <cfRule type="duplicateValues" dxfId="2621" priority="969"/>
    <cfRule type="duplicateValues" dxfId="2620" priority="970"/>
    <cfRule type="duplicateValues" dxfId="2619" priority="971"/>
  </conditionalFormatting>
  <conditionalFormatting sqref="B9:B11">
    <cfRule type="duplicateValues" dxfId="2618" priority="972"/>
    <cfRule type="duplicateValues" dxfId="2617" priority="973"/>
    <cfRule type="duplicateValues" dxfId="2616" priority="974"/>
    <cfRule type="duplicateValues" dxfId="2615" priority="975"/>
    <cfRule type="duplicateValues" dxfId="2614" priority="976"/>
    <cfRule type="duplicateValues" dxfId="2613" priority="977"/>
    <cfRule type="duplicateValues" dxfId="2612" priority="978"/>
    <cfRule type="duplicateValues" dxfId="2611" priority="979"/>
    <cfRule type="duplicateValues" dxfId="2610" priority="980"/>
    <cfRule type="duplicateValues" dxfId="2609" priority="981"/>
    <cfRule type="duplicateValues" dxfId="2608" priority="982"/>
    <cfRule type="duplicateValues" dxfId="2607" priority="983"/>
    <cfRule type="duplicateValues" dxfId="2606" priority="984"/>
    <cfRule type="duplicateValues" dxfId="2605" priority="985"/>
    <cfRule type="duplicateValues" dxfId="2604" priority="986"/>
    <cfRule type="duplicateValues" dxfId="2603" priority="987"/>
    <cfRule type="duplicateValues" dxfId="2602" priority="988"/>
    <cfRule type="duplicateValues" dxfId="2601" priority="989"/>
    <cfRule type="duplicateValues" dxfId="2600" priority="990"/>
    <cfRule type="duplicateValues" dxfId="2599" priority="991"/>
    <cfRule type="duplicateValues" dxfId="2598" priority="992"/>
    <cfRule type="duplicateValues" dxfId="2597" priority="993"/>
    <cfRule type="duplicateValues" dxfId="2596" priority="994"/>
    <cfRule type="duplicateValues" dxfId="2595" priority="995"/>
    <cfRule type="duplicateValues" dxfId="2594" priority="996"/>
    <cfRule type="duplicateValues" dxfId="2593" priority="997"/>
    <cfRule type="duplicateValues" dxfId="2592" priority="998"/>
    <cfRule type="duplicateValues" dxfId="2591" priority="999"/>
    <cfRule type="duplicateValues" dxfId="2590" priority="1000"/>
    <cfRule type="duplicateValues" dxfId="2589" priority="1001"/>
    <cfRule type="duplicateValues" dxfId="2588" priority="1002"/>
    <cfRule type="duplicateValues" dxfId="2587" priority="1003"/>
    <cfRule type="duplicateValues" dxfId="2586" priority="1004"/>
    <cfRule type="duplicateValues" dxfId="2585" priority="1005"/>
    <cfRule type="duplicateValues" dxfId="2584" priority="1006"/>
    <cfRule type="duplicateValues" dxfId="2583" priority="1007"/>
    <cfRule type="duplicateValues" dxfId="2582" priority="1008"/>
    <cfRule type="duplicateValues" dxfId="2581" priority="1009"/>
    <cfRule type="duplicateValues" dxfId="2580" priority="1010"/>
    <cfRule type="duplicateValues" dxfId="2579" priority="1011"/>
  </conditionalFormatting>
  <conditionalFormatting sqref="B10">
    <cfRule type="duplicateValues" dxfId="2578" priority="885"/>
    <cfRule type="duplicateValues" dxfId="2577" priority="886"/>
    <cfRule type="duplicateValues" dxfId="2576" priority="887"/>
    <cfRule type="duplicateValues" dxfId="2575" priority="888"/>
    <cfRule type="duplicateValues" dxfId="2574" priority="889"/>
    <cfRule type="duplicateValues" dxfId="2573" priority="890"/>
    <cfRule type="duplicateValues" dxfId="2572" priority="891"/>
    <cfRule type="duplicateValues" dxfId="2571" priority="892"/>
    <cfRule type="duplicateValues" dxfId="2570" priority="893"/>
    <cfRule type="duplicateValues" dxfId="2569" priority="894"/>
    <cfRule type="duplicateValues" dxfId="2568" priority="895"/>
    <cfRule type="duplicateValues" dxfId="2567" priority="896"/>
    <cfRule type="duplicateValues" dxfId="2566" priority="897"/>
    <cfRule type="duplicateValues" dxfId="2565" priority="898"/>
    <cfRule type="duplicateValues" dxfId="2564" priority="899"/>
    <cfRule type="duplicateValues" dxfId="2563" priority="900"/>
    <cfRule type="duplicateValues" dxfId="2562" priority="901"/>
    <cfRule type="duplicateValues" dxfId="2561" priority="902"/>
    <cfRule type="duplicateValues" dxfId="2560" priority="903"/>
    <cfRule type="duplicateValues" dxfId="2559" priority="904"/>
    <cfRule type="duplicateValues" dxfId="2558" priority="905"/>
    <cfRule type="duplicateValues" dxfId="2557" priority="906"/>
    <cfRule type="duplicateValues" dxfId="2556" priority="907"/>
    <cfRule type="duplicateValues" dxfId="2555" priority="908"/>
    <cfRule type="duplicateValues" dxfId="2554" priority="909"/>
    <cfRule type="duplicateValues" dxfId="2553" priority="910"/>
    <cfRule type="duplicateValues" dxfId="2552" priority="911"/>
    <cfRule type="duplicateValues" dxfId="2551" priority="912"/>
    <cfRule type="duplicateValues" dxfId="2550" priority="913"/>
    <cfRule type="duplicateValues" dxfId="2549" priority="914"/>
    <cfRule type="duplicateValues" dxfId="2548" priority="915"/>
    <cfRule type="duplicateValues" dxfId="2547" priority="916"/>
    <cfRule type="duplicateValues" dxfId="2546" priority="917"/>
    <cfRule type="duplicateValues" dxfId="2545" priority="918"/>
    <cfRule type="duplicateValues" dxfId="2544" priority="919"/>
    <cfRule type="duplicateValues" dxfId="2543" priority="920"/>
    <cfRule type="duplicateValues" dxfId="2542" priority="921"/>
    <cfRule type="duplicateValues" dxfId="2541" priority="922"/>
    <cfRule type="duplicateValues" dxfId="2540" priority="923"/>
    <cfRule type="duplicateValues" dxfId="2539" priority="924"/>
    <cfRule type="duplicateValues" dxfId="2538" priority="925"/>
  </conditionalFormatting>
  <conditionalFormatting sqref="B11">
    <cfRule type="duplicateValues" dxfId="2537" priority="838"/>
    <cfRule type="duplicateValues" dxfId="2536" priority="839"/>
    <cfRule type="duplicateValues" dxfId="2535" priority="840"/>
    <cfRule type="duplicateValues" dxfId="2534" priority="841"/>
    <cfRule type="duplicateValues" dxfId="2533" priority="842"/>
    <cfRule type="duplicateValues" dxfId="2532" priority="843"/>
    <cfRule type="duplicateValues" dxfId="2531" priority="844"/>
    <cfRule type="duplicateValues" dxfId="2530" priority="845"/>
    <cfRule type="duplicateValues" dxfId="2529" priority="846"/>
    <cfRule type="duplicateValues" dxfId="2528" priority="847"/>
    <cfRule type="duplicateValues" dxfId="2527" priority="848"/>
    <cfRule type="duplicateValues" dxfId="2526" priority="849"/>
    <cfRule type="duplicateValues" dxfId="2525" priority="850"/>
    <cfRule type="duplicateValues" dxfId="2524" priority="851"/>
    <cfRule type="duplicateValues" dxfId="2523" priority="852"/>
    <cfRule type="duplicateValues" dxfId="2522" priority="853"/>
    <cfRule type="duplicateValues" dxfId="2521" priority="854"/>
    <cfRule type="duplicateValues" dxfId="2520" priority="855"/>
    <cfRule type="duplicateValues" dxfId="2519" priority="856"/>
    <cfRule type="duplicateValues" dxfId="2518" priority="857"/>
    <cfRule type="duplicateValues" dxfId="2517" priority="858"/>
    <cfRule type="duplicateValues" dxfId="2516" priority="859"/>
    <cfRule type="duplicateValues" dxfId="2515" priority="860"/>
    <cfRule type="duplicateValues" dxfId="2514" priority="861"/>
    <cfRule type="duplicateValues" dxfId="2513" priority="862"/>
    <cfRule type="duplicateValues" dxfId="2512" priority="863"/>
    <cfRule type="duplicateValues" dxfId="2511" priority="864"/>
    <cfRule type="duplicateValues" dxfId="2510" priority="865"/>
    <cfRule type="duplicateValues" dxfId="2509" priority="866"/>
    <cfRule type="duplicateValues" dxfId="2508" priority="867"/>
    <cfRule type="duplicateValues" dxfId="2507" priority="868"/>
    <cfRule type="duplicateValues" dxfId="2506" priority="869"/>
    <cfRule type="duplicateValues" dxfId="2505" priority="870"/>
    <cfRule type="duplicateValues" dxfId="2504" priority="871"/>
    <cfRule type="duplicateValues" dxfId="2503" priority="872"/>
    <cfRule type="duplicateValues" dxfId="2502" priority="873"/>
    <cfRule type="duplicateValues" dxfId="2501" priority="874"/>
    <cfRule type="duplicateValues" dxfId="2500" priority="875"/>
    <cfRule type="duplicateValues" dxfId="2499" priority="876"/>
    <cfRule type="duplicateValues" dxfId="2498" priority="877"/>
  </conditionalFormatting>
  <conditionalFormatting sqref="B12">
    <cfRule type="duplicateValues" dxfId="2497" priority="832"/>
    <cfRule type="duplicateValues" dxfId="2496" priority="833"/>
    <cfRule type="duplicateValues" dxfId="2495" priority="834"/>
    <cfRule type="duplicateValues" dxfId="2494" priority="835"/>
    <cfRule type="duplicateValues" dxfId="2493" priority="836"/>
    <cfRule type="duplicateValues" dxfId="2492" priority="837"/>
  </conditionalFormatting>
  <conditionalFormatting sqref="B13:B14">
    <cfRule type="duplicateValues" dxfId="2491" priority="710"/>
    <cfRule type="duplicateValues" dxfId="2490" priority="711"/>
    <cfRule type="duplicateValues" dxfId="2489" priority="712"/>
    <cfRule type="duplicateValues" dxfId="2488" priority="713"/>
    <cfRule type="duplicateValues" dxfId="2487" priority="714"/>
    <cfRule type="duplicateValues" dxfId="2486" priority="715"/>
    <cfRule type="duplicateValues" dxfId="2485" priority="716"/>
    <cfRule type="duplicateValues" dxfId="2484" priority="717"/>
    <cfRule type="duplicateValues" dxfId="2483" priority="718"/>
    <cfRule type="duplicateValues" dxfId="2482" priority="719"/>
    <cfRule type="duplicateValues" dxfId="2481" priority="720"/>
    <cfRule type="duplicateValues" dxfId="2480" priority="721"/>
    <cfRule type="duplicateValues" dxfId="2479" priority="722"/>
    <cfRule type="duplicateValues" dxfId="2478" priority="723"/>
    <cfRule type="duplicateValues" dxfId="2477" priority="724"/>
    <cfRule type="duplicateValues" dxfId="2476" priority="725"/>
    <cfRule type="duplicateValues" dxfId="2475" priority="726"/>
    <cfRule type="duplicateValues" dxfId="2474" priority="727"/>
    <cfRule type="duplicateValues" dxfId="2473" priority="728"/>
    <cfRule type="duplicateValues" dxfId="2472" priority="729"/>
    <cfRule type="duplicateValues" dxfId="2471" priority="730"/>
    <cfRule type="duplicateValues" dxfId="2470" priority="731"/>
    <cfRule type="duplicateValues" dxfId="2469" priority="732"/>
    <cfRule type="duplicateValues" dxfId="2468" priority="733"/>
    <cfRule type="duplicateValues" dxfId="2467" priority="734"/>
    <cfRule type="duplicateValues" dxfId="2466" priority="735"/>
    <cfRule type="duplicateValues" dxfId="2465" priority="736"/>
    <cfRule type="duplicateValues" dxfId="2464" priority="737"/>
    <cfRule type="duplicateValues" dxfId="2463" priority="738"/>
    <cfRule type="duplicateValues" dxfId="2462" priority="739"/>
    <cfRule type="duplicateValues" dxfId="2461" priority="740"/>
    <cfRule type="duplicateValues" dxfId="2460" priority="741"/>
    <cfRule type="duplicateValues" dxfId="2459" priority="742"/>
    <cfRule type="duplicateValues" dxfId="2458" priority="743"/>
    <cfRule type="duplicateValues" dxfId="2457" priority="744"/>
    <cfRule type="duplicateValues" dxfId="2456" priority="745"/>
    <cfRule type="duplicateValues" dxfId="2455" priority="746"/>
    <cfRule type="duplicateValues" dxfId="2454" priority="747"/>
    <cfRule type="duplicateValues" dxfId="2453" priority="748"/>
    <cfRule type="duplicateValues" dxfId="2452" priority="749"/>
    <cfRule type="duplicateValues" dxfId="2451" priority="750"/>
    <cfRule type="duplicateValues" dxfId="2450" priority="751"/>
    <cfRule type="duplicateValues" dxfId="2449" priority="752"/>
    <cfRule type="duplicateValues" dxfId="2448" priority="753"/>
    <cfRule type="duplicateValues" dxfId="2447" priority="754"/>
    <cfRule type="duplicateValues" dxfId="2446" priority="755"/>
    <cfRule type="duplicateValues" dxfId="2445" priority="756"/>
    <cfRule type="duplicateValues" dxfId="2444" priority="757"/>
    <cfRule type="duplicateValues" dxfId="2443" priority="758"/>
    <cfRule type="duplicateValues" dxfId="2442" priority="759"/>
    <cfRule type="duplicateValues" dxfId="2441" priority="760"/>
    <cfRule type="duplicateValues" dxfId="2440" priority="761"/>
    <cfRule type="duplicateValues" dxfId="2439" priority="762"/>
    <cfRule type="duplicateValues" dxfId="2438" priority="763"/>
    <cfRule type="duplicateValues" dxfId="2437" priority="764"/>
    <cfRule type="duplicateValues" dxfId="2436" priority="765"/>
    <cfRule type="duplicateValues" dxfId="2435" priority="766"/>
    <cfRule type="duplicateValues" dxfId="2434" priority="767"/>
    <cfRule type="duplicateValues" dxfId="2433" priority="768"/>
    <cfRule type="duplicateValues" dxfId="2432" priority="769"/>
    <cfRule type="duplicateValues" dxfId="2431" priority="770"/>
    <cfRule type="duplicateValues" dxfId="2430" priority="771"/>
    <cfRule type="duplicateValues" dxfId="2429" priority="772"/>
    <cfRule type="duplicateValues" dxfId="2428" priority="773"/>
    <cfRule type="duplicateValues" dxfId="2427" priority="774"/>
    <cfRule type="duplicateValues" dxfId="2426" priority="775"/>
    <cfRule type="duplicateValues" dxfId="2425" priority="776"/>
    <cfRule type="duplicateValues" dxfId="2424" priority="777"/>
    <cfRule type="duplicateValues" dxfId="2423" priority="778"/>
    <cfRule type="duplicateValues" dxfId="2422" priority="779"/>
    <cfRule type="duplicateValues" dxfId="2421" priority="780"/>
    <cfRule type="duplicateValues" dxfId="2420" priority="781"/>
    <cfRule type="duplicateValues" dxfId="2419" priority="782"/>
    <cfRule type="duplicateValues" dxfId="2418" priority="783"/>
    <cfRule type="duplicateValues" dxfId="2417" priority="784"/>
    <cfRule type="duplicateValues" dxfId="2416" priority="785"/>
    <cfRule type="duplicateValues" dxfId="2415" priority="786"/>
    <cfRule type="duplicateValues" dxfId="2414" priority="787"/>
    <cfRule type="duplicateValues" dxfId="2413" priority="788"/>
    <cfRule type="duplicateValues" dxfId="2412" priority="789"/>
    <cfRule type="duplicateValues" dxfId="2411" priority="790"/>
    <cfRule type="duplicateValues" dxfId="2410" priority="791"/>
    <cfRule type="duplicateValues" dxfId="2409" priority="792"/>
    <cfRule type="duplicateValues" dxfId="2408" priority="793"/>
    <cfRule type="duplicateValues" dxfId="2407" priority="794"/>
    <cfRule type="duplicateValues" dxfId="2406" priority="795"/>
    <cfRule type="duplicateValues" dxfId="2405" priority="796"/>
    <cfRule type="duplicateValues" dxfId="2404" priority="797"/>
    <cfRule type="duplicateValues" dxfId="2403" priority="798"/>
    <cfRule type="duplicateValues" dxfId="2402" priority="799"/>
    <cfRule type="duplicateValues" dxfId="2401" priority="800"/>
    <cfRule type="duplicateValues" dxfId="2400" priority="801"/>
    <cfRule type="duplicateValues" dxfId="2399" priority="802"/>
    <cfRule type="duplicateValues" dxfId="2398" priority="803"/>
    <cfRule type="duplicateValues" dxfId="2397" priority="804"/>
    <cfRule type="duplicateValues" dxfId="2396" priority="805"/>
    <cfRule type="duplicateValues" dxfId="2395" priority="806"/>
    <cfRule type="duplicateValues" dxfId="2394" priority="807"/>
    <cfRule type="duplicateValues" dxfId="2393" priority="808"/>
    <cfRule type="duplicateValues" dxfId="2392" priority="809"/>
    <cfRule type="duplicateValues" dxfId="2391" priority="810"/>
    <cfRule type="duplicateValues" dxfId="2390" priority="811"/>
    <cfRule type="duplicateValues" dxfId="2389" priority="812"/>
    <cfRule type="duplicateValues" dxfId="2388" priority="813"/>
    <cfRule type="duplicateValues" dxfId="2387" priority="814"/>
    <cfRule type="duplicateValues" dxfId="2386" priority="815"/>
    <cfRule type="duplicateValues" dxfId="2385" priority="816"/>
    <cfRule type="duplicateValues" dxfId="2384" priority="817"/>
    <cfRule type="duplicateValues" dxfId="2383" priority="818"/>
    <cfRule type="duplicateValues" dxfId="2382" priority="819"/>
    <cfRule type="duplicateValues" dxfId="2381" priority="820"/>
    <cfRule type="duplicateValues" dxfId="2380" priority="821"/>
    <cfRule type="duplicateValues" dxfId="2379" priority="822"/>
    <cfRule type="duplicateValues" dxfId="2378" priority="823"/>
    <cfRule type="duplicateValues" dxfId="2377" priority="824"/>
    <cfRule type="duplicateValues" dxfId="2376" priority="825"/>
    <cfRule type="duplicateValues" dxfId="2375" priority="826"/>
    <cfRule type="duplicateValues" dxfId="2374" priority="827"/>
    <cfRule type="duplicateValues" dxfId="2373" priority="828"/>
    <cfRule type="duplicateValues" dxfId="2372" priority="829"/>
    <cfRule type="duplicateValues" dxfId="2371" priority="830"/>
  </conditionalFormatting>
  <conditionalFormatting sqref="B15">
    <cfRule type="duplicateValues" dxfId="2370" priority="589"/>
    <cfRule type="duplicateValues" dxfId="2369" priority="590"/>
    <cfRule type="duplicateValues" dxfId="2368" priority="591"/>
    <cfRule type="duplicateValues" dxfId="2367" priority="592"/>
    <cfRule type="duplicateValues" dxfId="2366" priority="593"/>
    <cfRule type="duplicateValues" dxfId="2365" priority="594"/>
    <cfRule type="duplicateValues" dxfId="2364" priority="595"/>
    <cfRule type="duplicateValues" dxfId="2363" priority="596"/>
    <cfRule type="duplicateValues" dxfId="2362" priority="597"/>
    <cfRule type="duplicateValues" dxfId="2361" priority="598"/>
    <cfRule type="duplicateValues" dxfId="2360" priority="599"/>
    <cfRule type="duplicateValues" dxfId="2359" priority="600"/>
    <cfRule type="duplicateValues" dxfId="2358" priority="601"/>
    <cfRule type="duplicateValues" dxfId="2357" priority="602"/>
    <cfRule type="duplicateValues" dxfId="2356" priority="603"/>
    <cfRule type="duplicateValues" dxfId="2355" priority="604"/>
    <cfRule type="duplicateValues" dxfId="2354" priority="605"/>
    <cfRule type="duplicateValues" dxfId="2353" priority="606"/>
    <cfRule type="duplicateValues" dxfId="2352" priority="607"/>
    <cfRule type="duplicateValues" dxfId="2351" priority="608"/>
    <cfRule type="duplicateValues" dxfId="2350" priority="609"/>
    <cfRule type="duplicateValues" dxfId="2349" priority="610"/>
    <cfRule type="duplicateValues" dxfId="2348" priority="611"/>
    <cfRule type="duplicateValues" dxfId="2347" priority="612"/>
    <cfRule type="duplicateValues" dxfId="2346" priority="613"/>
    <cfRule type="duplicateValues" dxfId="2345" priority="614"/>
    <cfRule type="duplicateValues" dxfId="2344" priority="615"/>
    <cfRule type="duplicateValues" dxfId="2343" priority="616"/>
    <cfRule type="duplicateValues" dxfId="2342" priority="617"/>
    <cfRule type="duplicateValues" dxfId="2341" priority="618"/>
    <cfRule type="duplicateValues" dxfId="2340" priority="619"/>
    <cfRule type="duplicateValues" dxfId="2339" priority="620"/>
    <cfRule type="duplicateValues" dxfId="2338" priority="621"/>
    <cfRule type="duplicateValues" dxfId="2337" priority="622"/>
    <cfRule type="duplicateValues" dxfId="2336" priority="623"/>
    <cfRule type="duplicateValues" dxfId="2335" priority="624"/>
    <cfRule type="duplicateValues" dxfId="2334" priority="625"/>
    <cfRule type="duplicateValues" dxfId="2333" priority="626"/>
    <cfRule type="duplicateValues" dxfId="2332" priority="627"/>
    <cfRule type="duplicateValues" dxfId="2331" priority="628"/>
    <cfRule type="duplicateValues" dxfId="2330" priority="629"/>
    <cfRule type="duplicateValues" dxfId="2329" priority="630"/>
    <cfRule type="duplicateValues" dxfId="2328" priority="631"/>
    <cfRule type="duplicateValues" dxfId="2327" priority="632"/>
    <cfRule type="duplicateValues" dxfId="2326" priority="633"/>
    <cfRule type="duplicateValues" dxfId="2325" priority="634"/>
    <cfRule type="duplicateValues" dxfId="2324" priority="635"/>
    <cfRule type="duplicateValues" dxfId="2323" priority="636"/>
    <cfRule type="duplicateValues" dxfId="2322" priority="637"/>
    <cfRule type="duplicateValues" dxfId="2321" priority="638"/>
    <cfRule type="duplicateValues" dxfId="2320" priority="639"/>
    <cfRule type="duplicateValues" dxfId="2319" priority="640"/>
    <cfRule type="duplicateValues" dxfId="2318" priority="641"/>
    <cfRule type="duplicateValues" dxfId="2317" priority="642"/>
    <cfRule type="duplicateValues" dxfId="2316" priority="643"/>
    <cfRule type="duplicateValues" dxfId="2315" priority="644"/>
    <cfRule type="duplicateValues" dxfId="2314" priority="645"/>
    <cfRule type="duplicateValues" dxfId="2313" priority="646"/>
    <cfRule type="duplicateValues" dxfId="2312" priority="647"/>
    <cfRule type="duplicateValues" dxfId="2311" priority="648"/>
    <cfRule type="duplicateValues" dxfId="2310" priority="649"/>
    <cfRule type="duplicateValues" dxfId="2309" priority="650"/>
    <cfRule type="duplicateValues" dxfId="2308" priority="651"/>
    <cfRule type="duplicateValues" dxfId="2307" priority="652"/>
    <cfRule type="duplicateValues" dxfId="2306" priority="653"/>
    <cfRule type="duplicateValues" dxfId="2305" priority="654"/>
    <cfRule type="duplicateValues" dxfId="2304" priority="655"/>
    <cfRule type="duplicateValues" dxfId="2303" priority="656"/>
    <cfRule type="duplicateValues" dxfId="2302" priority="657"/>
    <cfRule type="duplicateValues" dxfId="2301" priority="658"/>
    <cfRule type="duplicateValues" dxfId="2300" priority="659"/>
    <cfRule type="duplicateValues" dxfId="2299" priority="660"/>
    <cfRule type="duplicateValues" dxfId="2298" priority="661"/>
    <cfRule type="duplicateValues" dxfId="2297" priority="662"/>
    <cfRule type="duplicateValues" dxfId="2296" priority="663"/>
    <cfRule type="duplicateValues" dxfId="2295" priority="664"/>
    <cfRule type="duplicateValues" dxfId="2294" priority="665"/>
    <cfRule type="duplicateValues" dxfId="2293" priority="666"/>
    <cfRule type="duplicateValues" dxfId="2292" priority="667"/>
    <cfRule type="duplicateValues" dxfId="2291" priority="668"/>
    <cfRule type="duplicateValues" dxfId="2290" priority="669"/>
    <cfRule type="duplicateValues" dxfId="2289" priority="670"/>
    <cfRule type="duplicateValues" dxfId="2288" priority="671"/>
    <cfRule type="duplicateValues" dxfId="2287" priority="672"/>
    <cfRule type="duplicateValues" dxfId="2286" priority="673"/>
    <cfRule type="duplicateValues" dxfId="2285" priority="674"/>
    <cfRule type="duplicateValues" dxfId="2284" priority="675"/>
    <cfRule type="duplicateValues" dxfId="2283" priority="676"/>
    <cfRule type="duplicateValues" dxfId="2282" priority="677"/>
    <cfRule type="duplicateValues" dxfId="2281" priority="678"/>
    <cfRule type="duplicateValues" dxfId="2280" priority="679"/>
    <cfRule type="duplicateValues" dxfId="2279" priority="680"/>
    <cfRule type="duplicateValues" dxfId="2278" priority="681"/>
    <cfRule type="duplicateValues" dxfId="2277" priority="682"/>
    <cfRule type="duplicateValues" dxfId="2276" priority="683"/>
    <cfRule type="duplicateValues" dxfId="2275" priority="684"/>
    <cfRule type="duplicateValues" dxfId="2274" priority="685"/>
    <cfRule type="duplicateValues" dxfId="2273" priority="686"/>
    <cfRule type="duplicateValues" dxfId="2272" priority="687"/>
    <cfRule type="duplicateValues" dxfId="2271" priority="688"/>
    <cfRule type="duplicateValues" dxfId="2270" priority="689"/>
    <cfRule type="duplicateValues" dxfId="2269" priority="690"/>
    <cfRule type="duplicateValues" dxfId="2268" priority="691"/>
    <cfRule type="duplicateValues" dxfId="2267" priority="692"/>
    <cfRule type="duplicateValues" dxfId="2266" priority="693"/>
    <cfRule type="duplicateValues" dxfId="2265" priority="694"/>
    <cfRule type="duplicateValues" dxfId="2264" priority="695"/>
    <cfRule type="duplicateValues" dxfId="2263" priority="696"/>
    <cfRule type="duplicateValues" dxfId="2262" priority="697"/>
    <cfRule type="duplicateValues" dxfId="2261" priority="698"/>
    <cfRule type="duplicateValues" dxfId="2260" priority="699"/>
    <cfRule type="duplicateValues" dxfId="2259" priority="700"/>
    <cfRule type="duplicateValues" dxfId="2258" priority="701"/>
    <cfRule type="duplicateValues" dxfId="2257" priority="702"/>
    <cfRule type="duplicateValues" dxfId="2256" priority="703"/>
    <cfRule type="duplicateValues" dxfId="2255" priority="704"/>
    <cfRule type="duplicateValues" dxfId="2254" priority="705"/>
    <cfRule type="duplicateValues" dxfId="2253" priority="706"/>
    <cfRule type="duplicateValues" dxfId="2252" priority="707"/>
    <cfRule type="duplicateValues" dxfId="2251" priority="708"/>
    <cfRule type="duplicateValues" dxfId="2250" priority="709"/>
  </conditionalFormatting>
  <conditionalFormatting sqref="B16:B17">
    <cfRule type="duplicateValues" dxfId="2249" priority="465"/>
    <cfRule type="duplicateValues" dxfId="2248" priority="466"/>
    <cfRule type="duplicateValues" dxfId="2247" priority="467"/>
    <cfRule type="duplicateValues" dxfId="2246" priority="468"/>
    <cfRule type="duplicateValues" dxfId="2245" priority="469"/>
    <cfRule type="duplicateValues" dxfId="2244" priority="470"/>
    <cfRule type="duplicateValues" dxfId="2243" priority="471"/>
    <cfRule type="duplicateValues" dxfId="2242" priority="472"/>
    <cfRule type="duplicateValues" dxfId="2241" priority="473"/>
    <cfRule type="duplicateValues" dxfId="2240" priority="474"/>
    <cfRule type="duplicateValues" dxfId="2239" priority="475"/>
    <cfRule type="duplicateValues" dxfId="2238" priority="476"/>
    <cfRule type="duplicateValues" dxfId="2237" priority="477"/>
    <cfRule type="duplicateValues" dxfId="2236" priority="478"/>
    <cfRule type="duplicateValues" dxfId="2235" priority="479"/>
    <cfRule type="duplicateValues" dxfId="2234" priority="480"/>
    <cfRule type="duplicateValues" dxfId="2233" priority="481"/>
    <cfRule type="duplicateValues" dxfId="2232" priority="482"/>
    <cfRule type="duplicateValues" dxfId="2231" priority="483"/>
    <cfRule type="duplicateValues" dxfId="2230" priority="484"/>
    <cfRule type="duplicateValues" dxfId="2229" priority="485"/>
    <cfRule type="duplicateValues" dxfId="2228" priority="486"/>
    <cfRule type="duplicateValues" dxfId="2227" priority="487"/>
    <cfRule type="duplicateValues" dxfId="2226" priority="488"/>
    <cfRule type="duplicateValues" dxfId="2225" priority="489"/>
    <cfRule type="duplicateValues" dxfId="2224" priority="490"/>
    <cfRule type="duplicateValues" dxfId="2223" priority="491"/>
    <cfRule type="duplicateValues" dxfId="2222" priority="492"/>
    <cfRule type="duplicateValues" dxfId="2221" priority="493"/>
    <cfRule type="duplicateValues" dxfId="2220" priority="494"/>
    <cfRule type="duplicateValues" dxfId="2219" priority="495"/>
    <cfRule type="duplicateValues" dxfId="2218" priority="496"/>
    <cfRule type="duplicateValues" dxfId="2217" priority="497"/>
    <cfRule type="duplicateValues" dxfId="2216" priority="498"/>
    <cfRule type="duplicateValues" dxfId="2215" priority="499"/>
    <cfRule type="duplicateValues" dxfId="2214" priority="500"/>
    <cfRule type="duplicateValues" dxfId="2213" priority="501"/>
    <cfRule type="duplicateValues" dxfId="2212" priority="502"/>
    <cfRule type="duplicateValues" dxfId="2211" priority="503"/>
    <cfRule type="duplicateValues" dxfId="2210" priority="504"/>
    <cfRule type="duplicateValues" dxfId="2209" priority="505"/>
    <cfRule type="duplicateValues" dxfId="2208" priority="506"/>
    <cfRule type="duplicateValues" dxfId="2207" priority="507"/>
    <cfRule type="duplicateValues" dxfId="2206" priority="508"/>
    <cfRule type="duplicateValues" dxfId="2205" priority="509"/>
    <cfRule type="duplicateValues" dxfId="2204" priority="510"/>
    <cfRule type="duplicateValues" dxfId="2203" priority="511"/>
    <cfRule type="duplicateValues" dxfId="2202" priority="512"/>
    <cfRule type="duplicateValues" dxfId="2201" priority="513"/>
    <cfRule type="duplicateValues" dxfId="2200" priority="514"/>
    <cfRule type="duplicateValues" dxfId="2199" priority="515"/>
    <cfRule type="duplicateValues" dxfId="2198" priority="516"/>
    <cfRule type="duplicateValues" dxfId="2197" priority="517"/>
    <cfRule type="duplicateValues" dxfId="2196" priority="518"/>
    <cfRule type="duplicateValues" dxfId="2195" priority="519"/>
    <cfRule type="duplicateValues" dxfId="2194" priority="520"/>
    <cfRule type="duplicateValues" dxfId="2193" priority="521"/>
    <cfRule type="duplicateValues" dxfId="2192" priority="522"/>
    <cfRule type="duplicateValues" dxfId="2191" priority="523"/>
    <cfRule type="duplicateValues" dxfId="2190" priority="524"/>
    <cfRule type="duplicateValues" dxfId="2189" priority="525"/>
    <cfRule type="duplicateValues" dxfId="2188" priority="526"/>
    <cfRule type="duplicateValues" dxfId="2187" priority="527"/>
    <cfRule type="duplicateValues" dxfId="2186" priority="528"/>
    <cfRule type="duplicateValues" dxfId="2185" priority="529"/>
    <cfRule type="duplicateValues" dxfId="2184" priority="530"/>
    <cfRule type="duplicateValues" dxfId="2183" priority="531"/>
    <cfRule type="duplicateValues" dxfId="2182" priority="532"/>
    <cfRule type="duplicateValues" dxfId="2181" priority="533"/>
    <cfRule type="duplicateValues" dxfId="2180" priority="534"/>
    <cfRule type="duplicateValues" dxfId="2179" priority="535"/>
    <cfRule type="duplicateValues" dxfId="2178" priority="536"/>
    <cfRule type="duplicateValues" dxfId="2177" priority="537"/>
    <cfRule type="duplicateValues" dxfId="2176" priority="538"/>
    <cfRule type="duplicateValues" dxfId="2175" priority="539"/>
    <cfRule type="duplicateValues" dxfId="2174" priority="540"/>
    <cfRule type="duplicateValues" dxfId="2173" priority="541"/>
    <cfRule type="duplicateValues" dxfId="2172" priority="542"/>
    <cfRule type="duplicateValues" dxfId="2171" priority="543"/>
    <cfRule type="duplicateValues" dxfId="2170" priority="544"/>
    <cfRule type="duplicateValues" dxfId="2169" priority="545"/>
    <cfRule type="duplicateValues" dxfId="2168" priority="546"/>
    <cfRule type="duplicateValues" dxfId="2167" priority="547"/>
    <cfRule type="duplicateValues" dxfId="2166" priority="548"/>
    <cfRule type="duplicateValues" dxfId="2165" priority="549"/>
    <cfRule type="duplicateValues" dxfId="2164" priority="550"/>
    <cfRule type="duplicateValues" dxfId="2163" priority="551"/>
    <cfRule type="duplicateValues" dxfId="2162" priority="552"/>
    <cfRule type="duplicateValues" dxfId="2161" priority="553"/>
    <cfRule type="duplicateValues" dxfId="2160" priority="554"/>
    <cfRule type="duplicateValues" dxfId="2159" priority="555"/>
    <cfRule type="duplicateValues" dxfId="2158" priority="556"/>
    <cfRule type="duplicateValues" dxfId="2157" priority="557"/>
    <cfRule type="duplicateValues" dxfId="2156" priority="558"/>
    <cfRule type="duplicateValues" dxfId="2155" priority="559"/>
    <cfRule type="duplicateValues" dxfId="2154" priority="560"/>
    <cfRule type="duplicateValues" dxfId="2153" priority="561"/>
    <cfRule type="duplicateValues" dxfId="2152" priority="562"/>
    <cfRule type="duplicateValues" dxfId="2151" priority="563"/>
    <cfRule type="duplicateValues" dxfId="2150" priority="564"/>
    <cfRule type="duplicateValues" dxfId="2149" priority="565"/>
    <cfRule type="duplicateValues" dxfId="2148" priority="566"/>
    <cfRule type="duplicateValues" dxfId="2147" priority="567"/>
    <cfRule type="duplicateValues" dxfId="2146" priority="568"/>
    <cfRule type="duplicateValues" dxfId="2145" priority="569"/>
    <cfRule type="duplicateValues" dxfId="2144" priority="570"/>
    <cfRule type="duplicateValues" dxfId="2143" priority="571"/>
    <cfRule type="duplicateValues" dxfId="2142" priority="572"/>
    <cfRule type="duplicateValues" dxfId="2141" priority="573"/>
    <cfRule type="duplicateValues" dxfId="2140" priority="574"/>
    <cfRule type="duplicateValues" dxfId="2139" priority="575"/>
    <cfRule type="duplicateValues" dxfId="2138" priority="576"/>
    <cfRule type="duplicateValues" dxfId="2137" priority="577"/>
    <cfRule type="duplicateValues" dxfId="2136" priority="578"/>
    <cfRule type="duplicateValues" dxfId="2135" priority="579"/>
    <cfRule type="duplicateValues" dxfId="2134" priority="580"/>
    <cfRule type="duplicateValues" dxfId="2133" priority="581"/>
    <cfRule type="duplicateValues" dxfId="2132" priority="582"/>
    <cfRule type="duplicateValues" dxfId="2131" priority="583"/>
    <cfRule type="duplicateValues" dxfId="2130" priority="584"/>
    <cfRule type="duplicateValues" dxfId="2129" priority="585"/>
  </conditionalFormatting>
  <conditionalFormatting sqref="B16:B19 B12:B14 B5:B8 B2:B3">
    <cfRule type="duplicateValues" dxfId="2128" priority="1112"/>
    <cfRule type="duplicateValues" dxfId="2127" priority="1113"/>
    <cfRule type="duplicateValues" dxfId="2126" priority="1114"/>
  </conditionalFormatting>
  <conditionalFormatting sqref="B18:B19 B5:B6 B2:B3">
    <cfRule type="duplicateValues" dxfId="2125" priority="1109"/>
    <cfRule type="duplicateValues" dxfId="2124" priority="1110"/>
    <cfRule type="duplicateValues" dxfId="2123" priority="1111"/>
  </conditionalFormatting>
  <conditionalFormatting sqref="B18:B19">
    <cfRule type="duplicateValues" dxfId="2122" priority="332"/>
    <cfRule type="duplicateValues" dxfId="2121" priority="333"/>
    <cfRule type="duplicateValues" dxfId="2120" priority="334"/>
    <cfRule type="duplicateValues" dxfId="2119" priority="335"/>
    <cfRule type="duplicateValues" dxfId="2118" priority="336"/>
    <cfRule type="duplicateValues" dxfId="2117" priority="337"/>
    <cfRule type="duplicateValues" dxfId="2116" priority="338"/>
    <cfRule type="duplicateValues" dxfId="2115" priority="339"/>
    <cfRule type="duplicateValues" dxfId="2114" priority="340"/>
    <cfRule type="duplicateValues" dxfId="2113" priority="341"/>
    <cfRule type="duplicateValues" dxfId="2112" priority="342"/>
    <cfRule type="duplicateValues" dxfId="2111" priority="343"/>
    <cfRule type="duplicateValues" dxfId="2110" priority="344"/>
    <cfRule type="duplicateValues" dxfId="2109" priority="345"/>
    <cfRule type="duplicateValues" dxfId="2108" priority="346"/>
    <cfRule type="duplicateValues" dxfId="2107" priority="347"/>
    <cfRule type="duplicateValues" dxfId="2106" priority="348"/>
    <cfRule type="duplicateValues" dxfId="2105" priority="349"/>
    <cfRule type="duplicateValues" dxfId="2104" priority="350"/>
    <cfRule type="duplicateValues" dxfId="2103" priority="351"/>
    <cfRule type="duplicateValues" dxfId="2102" priority="352"/>
    <cfRule type="duplicateValues" dxfId="2101" priority="353"/>
    <cfRule type="duplicateValues" dxfId="2100" priority="354"/>
    <cfRule type="duplicateValues" dxfId="2099" priority="355"/>
    <cfRule type="duplicateValues" dxfId="2098" priority="356"/>
    <cfRule type="duplicateValues" dxfId="2097" priority="357"/>
    <cfRule type="duplicateValues" dxfId="2096" priority="358"/>
    <cfRule type="duplicateValues" dxfId="2095" priority="359"/>
    <cfRule type="duplicateValues" dxfId="2094" priority="360"/>
    <cfRule type="duplicateValues" dxfId="2093" priority="361"/>
    <cfRule type="duplicateValues" dxfId="2092" priority="362"/>
    <cfRule type="duplicateValues" dxfId="2091" priority="363"/>
    <cfRule type="duplicateValues" dxfId="2090" priority="364"/>
    <cfRule type="duplicateValues" dxfId="2089" priority="365"/>
    <cfRule type="duplicateValues" dxfId="2088" priority="366"/>
    <cfRule type="duplicateValues" dxfId="2087" priority="367"/>
    <cfRule type="duplicateValues" dxfId="2086" priority="368"/>
    <cfRule type="duplicateValues" dxfId="2085" priority="369"/>
    <cfRule type="duplicateValues" dxfId="2084" priority="370"/>
    <cfRule type="duplicateValues" dxfId="2083" priority="371"/>
    <cfRule type="duplicateValues" dxfId="2082" priority="372"/>
    <cfRule type="duplicateValues" dxfId="2081" priority="373"/>
    <cfRule type="duplicateValues" dxfId="2080" priority="374"/>
    <cfRule type="duplicateValues" dxfId="2079" priority="375"/>
    <cfRule type="duplicateValues" dxfId="2078" priority="376"/>
    <cfRule type="duplicateValues" dxfId="2077" priority="377"/>
    <cfRule type="duplicateValues" dxfId="2076" priority="378"/>
    <cfRule type="duplicateValues" dxfId="2075" priority="379"/>
    <cfRule type="duplicateValues" dxfId="2074" priority="380"/>
    <cfRule type="duplicateValues" dxfId="2073" priority="381"/>
    <cfRule type="duplicateValues" dxfId="2072" priority="382"/>
    <cfRule type="duplicateValues" dxfId="2071" priority="383"/>
    <cfRule type="duplicateValues" dxfId="2070" priority="384"/>
    <cfRule type="duplicateValues" dxfId="2069" priority="385"/>
    <cfRule type="duplicateValues" dxfId="2068" priority="386"/>
    <cfRule type="duplicateValues" dxfId="2067" priority="387"/>
    <cfRule type="duplicateValues" dxfId="2066" priority="388"/>
    <cfRule type="duplicateValues" dxfId="2065" priority="389"/>
    <cfRule type="duplicateValues" dxfId="2064" priority="390"/>
    <cfRule type="duplicateValues" dxfId="2063" priority="391"/>
    <cfRule type="duplicateValues" dxfId="2062" priority="392"/>
    <cfRule type="duplicateValues" dxfId="2061" priority="393"/>
    <cfRule type="duplicateValues" dxfId="2060" priority="394"/>
    <cfRule type="duplicateValues" dxfId="2059" priority="395"/>
    <cfRule type="duplicateValues" dxfId="2058" priority="396"/>
    <cfRule type="duplicateValues" dxfId="2057" priority="397"/>
    <cfRule type="duplicateValues" dxfId="2056" priority="398"/>
    <cfRule type="duplicateValues" dxfId="2055" priority="399"/>
    <cfRule type="duplicateValues" dxfId="2054" priority="400"/>
    <cfRule type="duplicateValues" dxfId="2053" priority="401"/>
    <cfRule type="duplicateValues" dxfId="2052" priority="402"/>
    <cfRule type="duplicateValues" dxfId="2051" priority="403"/>
    <cfRule type="duplicateValues" dxfId="2050" priority="404"/>
    <cfRule type="duplicateValues" dxfId="2049" priority="405"/>
    <cfRule type="duplicateValues" dxfId="2048" priority="406"/>
    <cfRule type="duplicateValues" dxfId="2047" priority="407"/>
    <cfRule type="duplicateValues" dxfId="2046" priority="408"/>
    <cfRule type="duplicateValues" dxfId="2045" priority="409"/>
    <cfRule type="duplicateValues" dxfId="2044" priority="410"/>
    <cfRule type="duplicateValues" dxfId="2043" priority="411"/>
    <cfRule type="duplicateValues" dxfId="2042" priority="412"/>
    <cfRule type="duplicateValues" dxfId="2041" priority="413"/>
    <cfRule type="duplicateValues" dxfId="2040" priority="414"/>
    <cfRule type="duplicateValues" dxfId="2039" priority="415"/>
    <cfRule type="duplicateValues" dxfId="2038" priority="416"/>
    <cfRule type="duplicateValues" dxfId="2037" priority="417"/>
    <cfRule type="duplicateValues" dxfId="2036" priority="418"/>
    <cfRule type="duplicateValues" dxfId="2035" priority="419"/>
    <cfRule type="duplicateValues" dxfId="2034" priority="420"/>
    <cfRule type="duplicateValues" dxfId="2033" priority="421"/>
    <cfRule type="duplicateValues" dxfId="2032" priority="422"/>
    <cfRule type="duplicateValues" dxfId="2031" priority="423"/>
    <cfRule type="duplicateValues" dxfId="2030" priority="424"/>
    <cfRule type="duplicateValues" dxfId="2029" priority="425"/>
    <cfRule type="duplicateValues" dxfId="2028" priority="426"/>
    <cfRule type="duplicateValues" dxfId="2027" priority="427"/>
    <cfRule type="duplicateValues" dxfId="2026" priority="428"/>
    <cfRule type="duplicateValues" dxfId="2025" priority="429"/>
    <cfRule type="duplicateValues" dxfId="2024" priority="430"/>
    <cfRule type="duplicateValues" dxfId="2023" priority="431"/>
    <cfRule type="duplicateValues" dxfId="2022" priority="432"/>
    <cfRule type="duplicateValues" dxfId="2021" priority="433"/>
    <cfRule type="duplicateValues" dxfId="2020" priority="434"/>
    <cfRule type="duplicateValues" dxfId="2019" priority="435"/>
    <cfRule type="duplicateValues" dxfId="2018" priority="436"/>
    <cfRule type="duplicateValues" dxfId="2017" priority="437"/>
    <cfRule type="duplicateValues" dxfId="2016" priority="438"/>
    <cfRule type="duplicateValues" dxfId="2015" priority="439"/>
    <cfRule type="duplicateValues" dxfId="2014" priority="440"/>
    <cfRule type="duplicateValues" dxfId="2013" priority="441"/>
    <cfRule type="duplicateValues" dxfId="2012" priority="442"/>
    <cfRule type="duplicateValues" dxfId="2011" priority="443"/>
    <cfRule type="duplicateValues" dxfId="2010" priority="444"/>
    <cfRule type="duplicateValues" dxfId="2009" priority="445"/>
    <cfRule type="duplicateValues" dxfId="2008" priority="446"/>
    <cfRule type="duplicateValues" dxfId="2007" priority="447"/>
    <cfRule type="duplicateValues" dxfId="2006" priority="448"/>
    <cfRule type="duplicateValues" dxfId="2005" priority="449"/>
    <cfRule type="duplicateValues" dxfId="2004" priority="450"/>
    <cfRule type="duplicateValues" dxfId="2003" priority="451"/>
    <cfRule type="duplicateValues" dxfId="2002" priority="452"/>
    <cfRule type="duplicateValues" dxfId="2001" priority="453"/>
    <cfRule type="duplicateValues" dxfId="2000" priority="454"/>
    <cfRule type="duplicateValues" dxfId="1999" priority="455"/>
    <cfRule type="duplicateValues" dxfId="1998" priority="456"/>
    <cfRule type="duplicateValues" dxfId="1997" priority="457"/>
    <cfRule type="duplicateValues" dxfId="1996" priority="458"/>
    <cfRule type="duplicateValues" dxfId="1995" priority="459"/>
    <cfRule type="duplicateValues" dxfId="1994" priority="460"/>
    <cfRule type="duplicateValues" dxfId="1993" priority="461"/>
  </conditionalFormatting>
  <conditionalFormatting sqref="B20:B38">
    <cfRule type="duplicateValues" dxfId="1992" priority="13440"/>
    <cfRule type="duplicateValues" dxfId="1991" priority="13441"/>
    <cfRule type="duplicateValues" dxfId="1990" priority="13681"/>
    <cfRule type="duplicateValues" dxfId="1989" priority="13682"/>
    <cfRule type="duplicateValues" dxfId="1988" priority="13683"/>
    <cfRule type="duplicateValues" dxfId="1987" priority="13684"/>
    <cfRule type="duplicateValues" dxfId="1986" priority="13685"/>
    <cfRule type="duplicateValues" dxfId="1985" priority="13686"/>
    <cfRule type="duplicateValues" dxfId="1984" priority="13687"/>
    <cfRule type="duplicateValues" dxfId="1983" priority="13688"/>
    <cfRule type="duplicateValues" dxfId="1982" priority="13689"/>
    <cfRule type="duplicateValues" dxfId="1981" priority="13690"/>
    <cfRule type="duplicateValues" dxfId="1980" priority="13691"/>
    <cfRule type="duplicateValues" dxfId="1979" priority="13692"/>
    <cfRule type="duplicateValues" dxfId="1978" priority="13693"/>
    <cfRule type="duplicateValues" dxfId="1977" priority="13694"/>
    <cfRule type="duplicateValues" dxfId="1976" priority="13695"/>
    <cfRule type="duplicateValues" dxfId="1975" priority="13696"/>
    <cfRule type="duplicateValues" dxfId="1974" priority="13697"/>
    <cfRule type="duplicateValues" dxfId="1973" priority="13698"/>
    <cfRule type="duplicateValues" dxfId="1972" priority="13699"/>
    <cfRule type="duplicateValues" dxfId="1971" priority="13700"/>
    <cfRule type="duplicateValues" dxfId="1970" priority="13701"/>
    <cfRule type="duplicateValues" dxfId="1969" priority="13702"/>
    <cfRule type="duplicateValues" dxfId="1968" priority="13703"/>
    <cfRule type="duplicateValues" dxfId="1967" priority="13704"/>
    <cfRule type="duplicateValues" dxfId="1966" priority="13705"/>
    <cfRule type="duplicateValues" dxfId="1965" priority="13706"/>
    <cfRule type="duplicateValues" dxfId="1964" priority="13707"/>
    <cfRule type="duplicateValues" dxfId="1963" priority="13708"/>
    <cfRule type="duplicateValues" dxfId="1962" priority="13709"/>
    <cfRule type="duplicateValues" dxfId="1961" priority="13710"/>
    <cfRule type="duplicateValues" dxfId="1960" priority="13711"/>
    <cfRule type="duplicateValues" dxfId="1959" priority="13712"/>
    <cfRule type="duplicateValues" dxfId="1958" priority="13713"/>
    <cfRule type="duplicateValues" dxfId="1957" priority="13714"/>
    <cfRule type="duplicateValues" dxfId="1956" priority="13715"/>
    <cfRule type="duplicateValues" dxfId="1955" priority="13716"/>
    <cfRule type="duplicateValues" dxfId="1954" priority="13717"/>
    <cfRule type="duplicateValues" dxfId="1953" priority="13718"/>
    <cfRule type="duplicateValues" dxfId="1952" priority="13719"/>
    <cfRule type="duplicateValues" dxfId="1951" priority="13720"/>
    <cfRule type="duplicateValues" dxfId="1950" priority="13721"/>
    <cfRule type="duplicateValues" dxfId="1949" priority="13722"/>
    <cfRule type="duplicateValues" dxfId="1948" priority="13962"/>
    <cfRule type="duplicateValues" dxfId="1947" priority="13963"/>
    <cfRule type="duplicateValues" dxfId="1946" priority="13964"/>
    <cfRule type="duplicateValues" dxfId="1945" priority="13965"/>
    <cfRule type="duplicateValues" dxfId="1944" priority="13966"/>
    <cfRule type="duplicateValues" dxfId="1943" priority="13967"/>
    <cfRule type="duplicateValues" dxfId="1942" priority="13968"/>
    <cfRule type="duplicateValues" dxfId="1941" priority="13969"/>
    <cfRule type="duplicateValues" dxfId="1940" priority="13970"/>
    <cfRule type="duplicateValues" dxfId="1939" priority="13971"/>
    <cfRule type="duplicateValues" dxfId="1938" priority="13972"/>
    <cfRule type="duplicateValues" dxfId="1937" priority="13973"/>
    <cfRule type="duplicateValues" dxfId="1936" priority="13974"/>
    <cfRule type="duplicateValues" dxfId="1935" priority="13975"/>
    <cfRule type="duplicateValues" dxfId="1934" priority="13976"/>
    <cfRule type="duplicateValues" dxfId="1933" priority="13977"/>
    <cfRule type="duplicateValues" dxfId="1932" priority="13978"/>
    <cfRule type="duplicateValues" dxfId="1931" priority="13979"/>
    <cfRule type="duplicateValues" dxfId="1930" priority="13980"/>
    <cfRule type="duplicateValues" dxfId="1929" priority="13981"/>
    <cfRule type="duplicateValues" dxfId="1928" priority="13982"/>
    <cfRule type="duplicateValues" dxfId="1927" priority="13983"/>
    <cfRule type="duplicateValues" dxfId="1926" priority="13984"/>
    <cfRule type="duplicateValues" dxfId="1925" priority="13985"/>
    <cfRule type="duplicateValues" dxfId="1924" priority="13986"/>
    <cfRule type="duplicateValues" dxfId="1923" priority="13987"/>
    <cfRule type="duplicateValues" dxfId="1922" priority="13988"/>
    <cfRule type="duplicateValues" dxfId="1921" priority="13989"/>
    <cfRule type="duplicateValues" dxfId="1920" priority="13990"/>
    <cfRule type="duplicateValues" dxfId="1919" priority="13991"/>
    <cfRule type="duplicateValues" dxfId="1918" priority="13992"/>
    <cfRule type="duplicateValues" dxfId="1917" priority="13993"/>
    <cfRule type="duplicateValues" dxfId="1916" priority="13994"/>
    <cfRule type="duplicateValues" dxfId="1915" priority="13995"/>
    <cfRule type="duplicateValues" dxfId="1914" priority="13996"/>
    <cfRule type="duplicateValues" dxfId="1913" priority="13997"/>
    <cfRule type="duplicateValues" dxfId="1912" priority="13998"/>
    <cfRule type="duplicateValues" dxfId="1911" priority="13999"/>
    <cfRule type="duplicateValues" dxfId="1910" priority="14000"/>
    <cfRule type="duplicateValues" dxfId="1909" priority="14001"/>
    <cfRule type="duplicateValues" dxfId="1908" priority="14002"/>
    <cfRule type="duplicateValues" dxfId="1907" priority="14003"/>
    <cfRule type="duplicateValues" dxfId="1906" priority="14243"/>
    <cfRule type="duplicateValues" dxfId="1905" priority="14244"/>
    <cfRule type="duplicateValues" dxfId="1904" priority="14245"/>
    <cfRule type="duplicateValues" dxfId="1903" priority="14246"/>
    <cfRule type="duplicateValues" dxfId="1902" priority="14247"/>
    <cfRule type="duplicateValues" dxfId="1901" priority="14248"/>
    <cfRule type="duplicateValues" dxfId="1900" priority="14249"/>
    <cfRule type="duplicateValues" dxfId="1899" priority="14250"/>
    <cfRule type="duplicateValues" dxfId="1898" priority="14251"/>
    <cfRule type="duplicateValues" dxfId="1897" priority="14252"/>
    <cfRule type="duplicateValues" dxfId="1896" priority="14253"/>
    <cfRule type="duplicateValues" dxfId="1895" priority="14254"/>
    <cfRule type="duplicateValues" dxfId="1894" priority="14255"/>
    <cfRule type="duplicateValues" dxfId="1893" priority="14256"/>
    <cfRule type="duplicateValues" dxfId="1892" priority="14257"/>
    <cfRule type="duplicateValues" dxfId="1891" priority="14258"/>
    <cfRule type="duplicateValues" dxfId="1890" priority="14259"/>
    <cfRule type="duplicateValues" dxfId="1889" priority="14260"/>
    <cfRule type="duplicateValues" dxfId="1888" priority="14261"/>
    <cfRule type="duplicateValues" dxfId="1887" priority="14262"/>
    <cfRule type="duplicateValues" dxfId="1886" priority="14263"/>
    <cfRule type="duplicateValues" dxfId="1885" priority="14264"/>
    <cfRule type="duplicateValues" dxfId="1884" priority="14265"/>
    <cfRule type="duplicateValues" dxfId="1883" priority="14266"/>
    <cfRule type="duplicateValues" dxfId="1882" priority="14267"/>
    <cfRule type="duplicateValues" dxfId="1881" priority="14268"/>
    <cfRule type="duplicateValues" dxfId="1880" priority="14269"/>
    <cfRule type="duplicateValues" dxfId="1879" priority="14270"/>
    <cfRule type="duplicateValues" dxfId="1878" priority="14271"/>
    <cfRule type="duplicateValues" dxfId="1877" priority="14272"/>
    <cfRule type="duplicateValues" dxfId="1876" priority="14273"/>
    <cfRule type="duplicateValues" dxfId="1875" priority="14274"/>
    <cfRule type="duplicateValues" dxfId="1874" priority="14275"/>
    <cfRule type="duplicateValues" dxfId="1873" priority="14276"/>
    <cfRule type="duplicateValues" dxfId="1872" priority="14277"/>
    <cfRule type="duplicateValues" dxfId="1871" priority="14278"/>
    <cfRule type="duplicateValues" dxfId="1870" priority="14279"/>
    <cfRule type="duplicateValues" dxfId="1869" priority="14280"/>
    <cfRule type="duplicateValues" dxfId="1868" priority="14281"/>
    <cfRule type="duplicateValues" dxfId="1867" priority="14282"/>
    <cfRule type="duplicateValues" dxfId="1866" priority="14283"/>
    <cfRule type="duplicateValues" dxfId="1865" priority="14284"/>
  </conditionalFormatting>
  <conditionalFormatting sqref="B39">
    <cfRule type="duplicateValues" dxfId="1864" priority="13723"/>
    <cfRule type="duplicateValues" dxfId="1863" priority="13724"/>
    <cfRule type="duplicateValues" dxfId="1862" priority="13725"/>
    <cfRule type="duplicateValues" dxfId="1861" priority="13726"/>
    <cfRule type="duplicateValues" dxfId="1860" priority="13727"/>
    <cfRule type="duplicateValues" dxfId="1859" priority="13728"/>
    <cfRule type="duplicateValues" dxfId="1858" priority="13729"/>
    <cfRule type="duplicateValues" dxfId="1857" priority="13730"/>
    <cfRule type="duplicateValues" dxfId="1856" priority="13731"/>
    <cfRule type="duplicateValues" dxfId="1855" priority="13732"/>
    <cfRule type="duplicateValues" dxfId="1854" priority="13733"/>
    <cfRule type="duplicateValues" dxfId="1853" priority="13734"/>
    <cfRule type="duplicateValues" dxfId="1852" priority="13735"/>
    <cfRule type="duplicateValues" dxfId="1851" priority="13736"/>
    <cfRule type="duplicateValues" dxfId="1850" priority="13737"/>
    <cfRule type="duplicateValues" dxfId="1849" priority="13738"/>
    <cfRule type="duplicateValues" dxfId="1848" priority="13739"/>
    <cfRule type="duplicateValues" dxfId="1847" priority="13740"/>
    <cfRule type="duplicateValues" dxfId="1846" priority="13741"/>
    <cfRule type="duplicateValues" dxfId="1845" priority="13742"/>
    <cfRule type="duplicateValues" dxfId="1844" priority="13743"/>
    <cfRule type="duplicateValues" dxfId="1843" priority="13744"/>
    <cfRule type="duplicateValues" dxfId="1842" priority="13745"/>
    <cfRule type="duplicateValues" dxfId="1841" priority="13746"/>
    <cfRule type="duplicateValues" dxfId="1840" priority="13747"/>
    <cfRule type="duplicateValues" dxfId="1839" priority="13748"/>
    <cfRule type="duplicateValues" dxfId="1838" priority="13749"/>
    <cfRule type="duplicateValues" dxfId="1837" priority="13750"/>
    <cfRule type="duplicateValues" dxfId="1836" priority="13751"/>
    <cfRule type="duplicateValues" dxfId="1835" priority="13752"/>
    <cfRule type="duplicateValues" dxfId="1834" priority="13753"/>
    <cfRule type="duplicateValues" dxfId="1833" priority="13754"/>
    <cfRule type="duplicateValues" dxfId="1832" priority="13755"/>
    <cfRule type="duplicateValues" dxfId="1831" priority="13756"/>
    <cfRule type="duplicateValues" dxfId="1830" priority="13757"/>
    <cfRule type="duplicateValues" dxfId="1829" priority="13758"/>
    <cfRule type="duplicateValues" dxfId="1828" priority="13759"/>
    <cfRule type="duplicateValues" dxfId="1827" priority="13760"/>
    <cfRule type="duplicateValues" dxfId="1826" priority="13761"/>
    <cfRule type="duplicateValues" dxfId="1825" priority="13762"/>
    <cfRule type="duplicateValues" dxfId="1824" priority="13763"/>
    <cfRule type="duplicateValues" dxfId="1823" priority="13764"/>
    <cfRule type="duplicateValues" dxfId="1822" priority="13807"/>
    <cfRule type="duplicateValues" dxfId="1821" priority="13808"/>
    <cfRule type="duplicateValues" dxfId="1820" priority="13809"/>
    <cfRule type="duplicateValues" dxfId="1819" priority="13810"/>
    <cfRule type="duplicateValues" dxfId="1818" priority="13811"/>
    <cfRule type="duplicateValues" dxfId="1817" priority="13812"/>
    <cfRule type="duplicateValues" dxfId="1816" priority="13813"/>
    <cfRule type="duplicateValues" dxfId="1815" priority="13814"/>
    <cfRule type="duplicateValues" dxfId="1814" priority="13815"/>
    <cfRule type="duplicateValues" dxfId="1813" priority="13816"/>
    <cfRule type="duplicateValues" dxfId="1812" priority="13817"/>
    <cfRule type="duplicateValues" dxfId="1811" priority="13818"/>
    <cfRule type="duplicateValues" dxfId="1810" priority="13819"/>
    <cfRule type="duplicateValues" dxfId="1809" priority="13820"/>
    <cfRule type="duplicateValues" dxfId="1808" priority="13821"/>
    <cfRule type="duplicateValues" dxfId="1807" priority="13822"/>
    <cfRule type="duplicateValues" dxfId="1806" priority="13823"/>
    <cfRule type="duplicateValues" dxfId="1805" priority="13824"/>
    <cfRule type="duplicateValues" dxfId="1804" priority="13825"/>
    <cfRule type="duplicateValues" dxfId="1803" priority="13826"/>
    <cfRule type="duplicateValues" dxfId="1802" priority="13827"/>
    <cfRule type="duplicateValues" dxfId="1801" priority="13828"/>
    <cfRule type="duplicateValues" dxfId="1800" priority="13829"/>
    <cfRule type="duplicateValues" dxfId="1799" priority="13830"/>
    <cfRule type="duplicateValues" dxfId="1798" priority="13831"/>
    <cfRule type="duplicateValues" dxfId="1797" priority="13832"/>
    <cfRule type="duplicateValues" dxfId="1796" priority="13833"/>
    <cfRule type="duplicateValues" dxfId="1795" priority="13834"/>
    <cfRule type="duplicateValues" dxfId="1794" priority="13835"/>
    <cfRule type="duplicateValues" dxfId="1793" priority="13836"/>
    <cfRule type="duplicateValues" dxfId="1792" priority="13837"/>
    <cfRule type="duplicateValues" dxfId="1791" priority="13838"/>
    <cfRule type="duplicateValues" dxfId="1790" priority="13839"/>
    <cfRule type="duplicateValues" dxfId="1789" priority="13840"/>
    <cfRule type="duplicateValues" dxfId="1788" priority="13841"/>
    <cfRule type="duplicateValues" dxfId="1787" priority="13842"/>
    <cfRule type="duplicateValues" dxfId="1786" priority="13843"/>
    <cfRule type="duplicateValues" dxfId="1785" priority="13844"/>
    <cfRule type="duplicateValues" dxfId="1784" priority="13845"/>
    <cfRule type="duplicateValues" dxfId="1783" priority="13846"/>
    <cfRule type="duplicateValues" dxfId="1782" priority="13847"/>
    <cfRule type="duplicateValues" dxfId="1781" priority="13848"/>
    <cfRule type="duplicateValues" dxfId="1780" priority="13891"/>
    <cfRule type="duplicateValues" dxfId="1779" priority="13892"/>
    <cfRule type="duplicateValues" dxfId="1778" priority="13893"/>
    <cfRule type="duplicateValues" dxfId="1777" priority="13894"/>
    <cfRule type="duplicateValues" dxfId="1776" priority="13895"/>
    <cfRule type="duplicateValues" dxfId="1775" priority="13896"/>
    <cfRule type="duplicateValues" dxfId="1774" priority="13897"/>
    <cfRule type="duplicateValues" dxfId="1773" priority="13898"/>
    <cfRule type="duplicateValues" dxfId="1772" priority="13899"/>
    <cfRule type="duplicateValues" dxfId="1771" priority="13900"/>
    <cfRule type="duplicateValues" dxfId="1770" priority="13901"/>
    <cfRule type="duplicateValues" dxfId="1769" priority="13902"/>
    <cfRule type="duplicateValues" dxfId="1768" priority="13903"/>
    <cfRule type="duplicateValues" dxfId="1767" priority="13904"/>
    <cfRule type="duplicateValues" dxfId="1766" priority="13905"/>
    <cfRule type="duplicateValues" dxfId="1765" priority="13906"/>
    <cfRule type="duplicateValues" dxfId="1764" priority="13907"/>
    <cfRule type="duplicateValues" dxfId="1763" priority="13908"/>
    <cfRule type="duplicateValues" dxfId="1762" priority="13909"/>
    <cfRule type="duplicateValues" dxfId="1761" priority="13910"/>
    <cfRule type="duplicateValues" dxfId="1760" priority="13911"/>
    <cfRule type="duplicateValues" dxfId="1759" priority="13912"/>
    <cfRule type="duplicateValues" dxfId="1758" priority="13913"/>
    <cfRule type="duplicateValues" dxfId="1757" priority="13914"/>
    <cfRule type="duplicateValues" dxfId="1756" priority="13915"/>
    <cfRule type="duplicateValues" dxfId="1755" priority="13916"/>
    <cfRule type="duplicateValues" dxfId="1754" priority="13917"/>
    <cfRule type="duplicateValues" dxfId="1753" priority="13918"/>
    <cfRule type="duplicateValues" dxfId="1752" priority="13919"/>
    <cfRule type="duplicateValues" dxfId="1751" priority="13920"/>
    <cfRule type="duplicateValues" dxfId="1750" priority="13921"/>
    <cfRule type="duplicateValues" dxfId="1749" priority="13922"/>
    <cfRule type="duplicateValues" dxfId="1748" priority="13923"/>
    <cfRule type="duplicateValues" dxfId="1747" priority="13924"/>
    <cfRule type="duplicateValues" dxfId="1746" priority="13925"/>
    <cfRule type="duplicateValues" dxfId="1745" priority="13926"/>
    <cfRule type="duplicateValues" dxfId="1744" priority="13927"/>
    <cfRule type="duplicateValues" dxfId="1743" priority="13928"/>
    <cfRule type="duplicateValues" dxfId="1742" priority="13929"/>
    <cfRule type="duplicateValues" dxfId="1741" priority="13930"/>
    <cfRule type="duplicateValues" dxfId="1740" priority="13931"/>
    <cfRule type="duplicateValues" dxfId="1739" priority="13932"/>
    <cfRule type="duplicateValues" dxfId="1738" priority="13935"/>
    <cfRule type="duplicateValues" dxfId="1737" priority="13936"/>
  </conditionalFormatting>
  <conditionalFormatting sqref="B40">
    <cfRule type="duplicateValues" dxfId="1736" priority="14285"/>
    <cfRule type="duplicateValues" dxfId="1735" priority="14286"/>
    <cfRule type="duplicateValues" dxfId="1734" priority="14287"/>
    <cfRule type="duplicateValues" dxfId="1733" priority="14288"/>
    <cfRule type="duplicateValues" dxfId="1732" priority="14289"/>
    <cfRule type="duplicateValues" dxfId="1731" priority="14290"/>
    <cfRule type="duplicateValues" dxfId="1730" priority="14291"/>
    <cfRule type="duplicateValues" dxfId="1729" priority="14292"/>
    <cfRule type="duplicateValues" dxfId="1728" priority="14293"/>
    <cfRule type="duplicateValues" dxfId="1727" priority="14294"/>
    <cfRule type="duplicateValues" dxfId="1726" priority="14295"/>
    <cfRule type="duplicateValues" dxfId="1725" priority="14296"/>
    <cfRule type="duplicateValues" dxfId="1724" priority="14297"/>
    <cfRule type="duplicateValues" dxfId="1723" priority="14298"/>
    <cfRule type="duplicateValues" dxfId="1722" priority="14299"/>
    <cfRule type="duplicateValues" dxfId="1721" priority="14300"/>
    <cfRule type="duplicateValues" dxfId="1720" priority="14301"/>
    <cfRule type="duplicateValues" dxfId="1719" priority="14302"/>
    <cfRule type="duplicateValues" dxfId="1718" priority="14303"/>
    <cfRule type="duplicateValues" dxfId="1717" priority="14304"/>
    <cfRule type="duplicateValues" dxfId="1716" priority="14305"/>
    <cfRule type="duplicateValues" dxfId="1715" priority="14306"/>
    <cfRule type="duplicateValues" dxfId="1714" priority="14307"/>
    <cfRule type="duplicateValues" dxfId="1713" priority="14308"/>
    <cfRule type="duplicateValues" dxfId="1712" priority="14309"/>
    <cfRule type="duplicateValues" dxfId="1711" priority="14310"/>
    <cfRule type="duplicateValues" dxfId="1710" priority="14311"/>
    <cfRule type="duplicateValues" dxfId="1709" priority="14312"/>
    <cfRule type="duplicateValues" dxfId="1708" priority="14313"/>
    <cfRule type="duplicateValues" dxfId="1707" priority="14314"/>
    <cfRule type="duplicateValues" dxfId="1706" priority="14315"/>
    <cfRule type="duplicateValues" dxfId="1705" priority="14316"/>
    <cfRule type="duplicateValues" dxfId="1704" priority="14317"/>
    <cfRule type="duplicateValues" dxfId="1703" priority="14318"/>
    <cfRule type="duplicateValues" dxfId="1702" priority="14319"/>
    <cfRule type="duplicateValues" dxfId="1701" priority="14320"/>
    <cfRule type="duplicateValues" dxfId="1700" priority="14321"/>
    <cfRule type="duplicateValues" dxfId="1699" priority="14322"/>
    <cfRule type="duplicateValues" dxfId="1698" priority="14323"/>
    <cfRule type="duplicateValues" dxfId="1697" priority="14324"/>
    <cfRule type="duplicateValues" dxfId="1696" priority="14325"/>
    <cfRule type="duplicateValues" dxfId="1695" priority="14326"/>
    <cfRule type="duplicateValues" dxfId="1694" priority="14369"/>
    <cfRule type="duplicateValues" dxfId="1693" priority="14370"/>
    <cfRule type="duplicateValues" dxfId="1692" priority="14371"/>
    <cfRule type="duplicateValues" dxfId="1691" priority="14372"/>
    <cfRule type="duplicateValues" dxfId="1690" priority="14373"/>
    <cfRule type="duplicateValues" dxfId="1689" priority="14374"/>
    <cfRule type="duplicateValues" dxfId="1688" priority="14375"/>
    <cfRule type="duplicateValues" dxfId="1687" priority="14376"/>
    <cfRule type="duplicateValues" dxfId="1686" priority="14377"/>
    <cfRule type="duplicateValues" dxfId="1685" priority="14378"/>
    <cfRule type="duplicateValues" dxfId="1684" priority="14379"/>
    <cfRule type="duplicateValues" dxfId="1683" priority="14380"/>
    <cfRule type="duplicateValues" dxfId="1682" priority="14381"/>
    <cfRule type="duplicateValues" dxfId="1681" priority="14382"/>
    <cfRule type="duplicateValues" dxfId="1680" priority="14383"/>
    <cfRule type="duplicateValues" dxfId="1679" priority="14384"/>
    <cfRule type="duplicateValues" dxfId="1678" priority="14385"/>
    <cfRule type="duplicateValues" dxfId="1677" priority="14386"/>
    <cfRule type="duplicateValues" dxfId="1676" priority="14387"/>
    <cfRule type="duplicateValues" dxfId="1675" priority="14388"/>
    <cfRule type="duplicateValues" dxfId="1674" priority="14389"/>
    <cfRule type="duplicateValues" dxfId="1673" priority="14390"/>
    <cfRule type="duplicateValues" dxfId="1672" priority="14391"/>
    <cfRule type="duplicateValues" dxfId="1671" priority="14392"/>
    <cfRule type="duplicateValues" dxfId="1670" priority="14393"/>
    <cfRule type="duplicateValues" dxfId="1669" priority="14394"/>
    <cfRule type="duplicateValues" dxfId="1668" priority="14395"/>
    <cfRule type="duplicateValues" dxfId="1667" priority="14396"/>
    <cfRule type="duplicateValues" dxfId="1666" priority="14397"/>
    <cfRule type="duplicateValues" dxfId="1665" priority="14398"/>
    <cfRule type="duplicateValues" dxfId="1664" priority="14399"/>
    <cfRule type="duplicateValues" dxfId="1663" priority="14400"/>
    <cfRule type="duplicateValues" dxfId="1662" priority="14401"/>
    <cfRule type="duplicateValues" dxfId="1661" priority="14402"/>
    <cfRule type="duplicateValues" dxfId="1660" priority="14403"/>
    <cfRule type="duplicateValues" dxfId="1659" priority="14404"/>
    <cfRule type="duplicateValues" dxfId="1658" priority="14405"/>
    <cfRule type="duplicateValues" dxfId="1657" priority="14406"/>
    <cfRule type="duplicateValues" dxfId="1656" priority="14407"/>
    <cfRule type="duplicateValues" dxfId="1655" priority="14408"/>
    <cfRule type="duplicateValues" dxfId="1654" priority="14409"/>
    <cfRule type="duplicateValues" dxfId="1653" priority="14410"/>
    <cfRule type="duplicateValues" dxfId="1652" priority="14453"/>
    <cfRule type="duplicateValues" dxfId="1651" priority="14454"/>
    <cfRule type="duplicateValues" dxfId="1650" priority="14455"/>
    <cfRule type="duplicateValues" dxfId="1649" priority="14456"/>
    <cfRule type="duplicateValues" dxfId="1648" priority="14457"/>
    <cfRule type="duplicateValues" dxfId="1647" priority="14458"/>
    <cfRule type="duplicateValues" dxfId="1646" priority="14459"/>
    <cfRule type="duplicateValues" dxfId="1645" priority="14460"/>
    <cfRule type="duplicateValues" dxfId="1644" priority="14461"/>
    <cfRule type="duplicateValues" dxfId="1643" priority="14462"/>
    <cfRule type="duplicateValues" dxfId="1642" priority="14463"/>
    <cfRule type="duplicateValues" dxfId="1641" priority="14464"/>
    <cfRule type="duplicateValues" dxfId="1640" priority="14465"/>
    <cfRule type="duplicateValues" dxfId="1639" priority="14466"/>
    <cfRule type="duplicateValues" dxfId="1638" priority="14467"/>
    <cfRule type="duplicateValues" dxfId="1637" priority="14468"/>
    <cfRule type="duplicateValues" dxfId="1636" priority="14469"/>
    <cfRule type="duplicateValues" dxfId="1635" priority="14470"/>
    <cfRule type="duplicateValues" dxfId="1634" priority="14471"/>
    <cfRule type="duplicateValues" dxfId="1633" priority="14472"/>
    <cfRule type="duplicateValues" dxfId="1632" priority="14473"/>
    <cfRule type="duplicateValues" dxfId="1631" priority="14474"/>
    <cfRule type="duplicateValues" dxfId="1630" priority="14475"/>
    <cfRule type="duplicateValues" dxfId="1629" priority="14476"/>
    <cfRule type="duplicateValues" dxfId="1628" priority="14477"/>
    <cfRule type="duplicateValues" dxfId="1627" priority="14478"/>
    <cfRule type="duplicateValues" dxfId="1626" priority="14479"/>
    <cfRule type="duplicateValues" dxfId="1625" priority="14480"/>
    <cfRule type="duplicateValues" dxfId="1624" priority="14481"/>
    <cfRule type="duplicateValues" dxfId="1623" priority="14482"/>
    <cfRule type="duplicateValues" dxfId="1622" priority="14483"/>
    <cfRule type="duplicateValues" dxfId="1621" priority="14484"/>
    <cfRule type="duplicateValues" dxfId="1620" priority="14485"/>
    <cfRule type="duplicateValues" dxfId="1619" priority="14486"/>
    <cfRule type="duplicateValues" dxfId="1618" priority="14487"/>
    <cfRule type="duplicateValues" dxfId="1617" priority="14488"/>
    <cfRule type="duplicateValues" dxfId="1616" priority="14489"/>
    <cfRule type="duplicateValues" dxfId="1615" priority="14490"/>
    <cfRule type="duplicateValues" dxfId="1614" priority="14491"/>
    <cfRule type="duplicateValues" dxfId="1613" priority="14492"/>
    <cfRule type="duplicateValues" dxfId="1612" priority="14493"/>
    <cfRule type="duplicateValues" dxfId="1611" priority="14494"/>
    <cfRule type="duplicateValues" dxfId="1610" priority="14497"/>
    <cfRule type="duplicateValues" dxfId="1609" priority="14498"/>
  </conditionalFormatting>
  <conditionalFormatting sqref="B41:B42">
    <cfRule type="duplicateValues" dxfId="1608" priority="14004"/>
    <cfRule type="duplicateValues" dxfId="1607" priority="14005"/>
    <cfRule type="duplicateValues" dxfId="1606" priority="14006"/>
    <cfRule type="duplicateValues" dxfId="1605" priority="14007"/>
    <cfRule type="duplicateValues" dxfId="1604" priority="14008"/>
    <cfRule type="duplicateValues" dxfId="1603" priority="14009"/>
    <cfRule type="duplicateValues" dxfId="1602" priority="14010"/>
    <cfRule type="duplicateValues" dxfId="1601" priority="14011"/>
    <cfRule type="duplicateValues" dxfId="1600" priority="14012"/>
    <cfRule type="duplicateValues" dxfId="1599" priority="14013"/>
    <cfRule type="duplicateValues" dxfId="1598" priority="14014"/>
    <cfRule type="duplicateValues" dxfId="1597" priority="14015"/>
    <cfRule type="duplicateValues" dxfId="1596" priority="14016"/>
    <cfRule type="duplicateValues" dxfId="1595" priority="14017"/>
    <cfRule type="duplicateValues" dxfId="1594" priority="14018"/>
    <cfRule type="duplicateValues" dxfId="1593" priority="14019"/>
    <cfRule type="duplicateValues" dxfId="1592" priority="14020"/>
    <cfRule type="duplicateValues" dxfId="1591" priority="14021"/>
    <cfRule type="duplicateValues" dxfId="1590" priority="14022"/>
    <cfRule type="duplicateValues" dxfId="1589" priority="14023"/>
    <cfRule type="duplicateValues" dxfId="1588" priority="14024"/>
    <cfRule type="duplicateValues" dxfId="1587" priority="14025"/>
    <cfRule type="duplicateValues" dxfId="1586" priority="14026"/>
    <cfRule type="duplicateValues" dxfId="1585" priority="14027"/>
    <cfRule type="duplicateValues" dxfId="1584" priority="14028"/>
    <cfRule type="duplicateValues" dxfId="1583" priority="14029"/>
    <cfRule type="duplicateValues" dxfId="1582" priority="14030"/>
    <cfRule type="duplicateValues" dxfId="1581" priority="14031"/>
    <cfRule type="duplicateValues" dxfId="1580" priority="14032"/>
    <cfRule type="duplicateValues" dxfId="1579" priority="14033"/>
    <cfRule type="duplicateValues" dxfId="1578" priority="14034"/>
    <cfRule type="duplicateValues" dxfId="1577" priority="14035"/>
    <cfRule type="duplicateValues" dxfId="1576" priority="14036"/>
    <cfRule type="duplicateValues" dxfId="1575" priority="14037"/>
    <cfRule type="duplicateValues" dxfId="1574" priority="14038"/>
    <cfRule type="duplicateValues" dxfId="1573" priority="14039"/>
    <cfRule type="duplicateValues" dxfId="1572" priority="14040"/>
    <cfRule type="duplicateValues" dxfId="1571" priority="14041"/>
    <cfRule type="duplicateValues" dxfId="1570" priority="14042"/>
    <cfRule type="duplicateValues" dxfId="1569" priority="14043"/>
    <cfRule type="duplicateValues" dxfId="1568" priority="14044"/>
    <cfRule type="duplicateValues" dxfId="1567" priority="14045"/>
    <cfRule type="duplicateValues" dxfId="1566" priority="14088"/>
    <cfRule type="duplicateValues" dxfId="1565" priority="14089"/>
    <cfRule type="duplicateValues" dxfId="1564" priority="14090"/>
    <cfRule type="duplicateValues" dxfId="1563" priority="14091"/>
    <cfRule type="duplicateValues" dxfId="1562" priority="14092"/>
    <cfRule type="duplicateValues" dxfId="1561" priority="14093"/>
    <cfRule type="duplicateValues" dxfId="1560" priority="14094"/>
    <cfRule type="duplicateValues" dxfId="1559" priority="14095"/>
    <cfRule type="duplicateValues" dxfId="1558" priority="14096"/>
    <cfRule type="duplicateValues" dxfId="1557" priority="14097"/>
    <cfRule type="duplicateValues" dxfId="1556" priority="14098"/>
    <cfRule type="duplicateValues" dxfId="1555" priority="14099"/>
    <cfRule type="duplicateValues" dxfId="1554" priority="14100"/>
    <cfRule type="duplicateValues" dxfId="1553" priority="14101"/>
    <cfRule type="duplicateValues" dxfId="1552" priority="14102"/>
    <cfRule type="duplicateValues" dxfId="1551" priority="14103"/>
    <cfRule type="duplicateValues" dxfId="1550" priority="14104"/>
    <cfRule type="duplicateValues" dxfId="1549" priority="14105"/>
    <cfRule type="duplicateValues" dxfId="1548" priority="14106"/>
    <cfRule type="duplicateValues" dxfId="1547" priority="14107"/>
    <cfRule type="duplicateValues" dxfId="1546" priority="14108"/>
    <cfRule type="duplicateValues" dxfId="1545" priority="14109"/>
    <cfRule type="duplicateValues" dxfId="1544" priority="14110"/>
    <cfRule type="duplicateValues" dxfId="1543" priority="14111"/>
    <cfRule type="duplicateValues" dxfId="1542" priority="14112"/>
    <cfRule type="duplicateValues" dxfId="1541" priority="14113"/>
    <cfRule type="duplicateValues" dxfId="1540" priority="14114"/>
    <cfRule type="duplicateValues" dxfId="1539" priority="14115"/>
    <cfRule type="duplicateValues" dxfId="1538" priority="14116"/>
    <cfRule type="duplicateValues" dxfId="1537" priority="14117"/>
    <cfRule type="duplicateValues" dxfId="1536" priority="14118"/>
    <cfRule type="duplicateValues" dxfId="1535" priority="14119"/>
    <cfRule type="duplicateValues" dxfId="1534" priority="14120"/>
    <cfRule type="duplicateValues" dxfId="1533" priority="14121"/>
    <cfRule type="duplicateValues" dxfId="1532" priority="14122"/>
    <cfRule type="duplicateValues" dxfId="1531" priority="14123"/>
    <cfRule type="duplicateValues" dxfId="1530" priority="14124"/>
    <cfRule type="duplicateValues" dxfId="1529" priority="14125"/>
    <cfRule type="duplicateValues" dxfId="1528" priority="14126"/>
    <cfRule type="duplicateValues" dxfId="1527" priority="14127"/>
    <cfRule type="duplicateValues" dxfId="1526" priority="14128"/>
    <cfRule type="duplicateValues" dxfId="1525" priority="14129"/>
    <cfRule type="duplicateValues" dxfId="1524" priority="14172"/>
    <cfRule type="duplicateValues" dxfId="1523" priority="14173"/>
    <cfRule type="duplicateValues" dxfId="1522" priority="14174"/>
    <cfRule type="duplicateValues" dxfId="1521" priority="14175"/>
    <cfRule type="duplicateValues" dxfId="1520" priority="14176"/>
    <cfRule type="duplicateValues" dxfId="1519" priority="14177"/>
    <cfRule type="duplicateValues" dxfId="1518" priority="14178"/>
    <cfRule type="duplicateValues" dxfId="1517" priority="14179"/>
    <cfRule type="duplicateValues" dxfId="1516" priority="14180"/>
    <cfRule type="duplicateValues" dxfId="1515" priority="14181"/>
    <cfRule type="duplicateValues" dxfId="1514" priority="14182"/>
    <cfRule type="duplicateValues" dxfId="1513" priority="14183"/>
    <cfRule type="duplicateValues" dxfId="1512" priority="14184"/>
    <cfRule type="duplicateValues" dxfId="1511" priority="14185"/>
    <cfRule type="duplicateValues" dxfId="1510" priority="14186"/>
    <cfRule type="duplicateValues" dxfId="1509" priority="14187"/>
    <cfRule type="duplicateValues" dxfId="1508" priority="14188"/>
    <cfRule type="duplicateValues" dxfId="1507" priority="14189"/>
    <cfRule type="duplicateValues" dxfId="1506" priority="14190"/>
    <cfRule type="duplicateValues" dxfId="1505" priority="14191"/>
    <cfRule type="duplicateValues" dxfId="1504" priority="14192"/>
    <cfRule type="duplicateValues" dxfId="1503" priority="14193"/>
    <cfRule type="duplicateValues" dxfId="1502" priority="14194"/>
    <cfRule type="duplicateValues" dxfId="1501" priority="14195"/>
    <cfRule type="duplicateValues" dxfId="1500" priority="14196"/>
    <cfRule type="duplicateValues" dxfId="1499" priority="14197"/>
    <cfRule type="duplicateValues" dxfId="1498" priority="14198"/>
    <cfRule type="duplicateValues" dxfId="1497" priority="14199"/>
    <cfRule type="duplicateValues" dxfId="1496" priority="14200"/>
    <cfRule type="duplicateValues" dxfId="1495" priority="14201"/>
    <cfRule type="duplicateValues" dxfId="1494" priority="14202"/>
    <cfRule type="duplicateValues" dxfId="1493" priority="14203"/>
    <cfRule type="duplicateValues" dxfId="1492" priority="14204"/>
    <cfRule type="duplicateValues" dxfId="1491" priority="14205"/>
    <cfRule type="duplicateValues" dxfId="1490" priority="14206"/>
    <cfRule type="duplicateValues" dxfId="1489" priority="14207"/>
    <cfRule type="duplicateValues" dxfId="1488" priority="14208"/>
    <cfRule type="duplicateValues" dxfId="1487" priority="14209"/>
    <cfRule type="duplicateValues" dxfId="1486" priority="14210"/>
    <cfRule type="duplicateValues" dxfId="1485" priority="14211"/>
    <cfRule type="duplicateValues" dxfId="1484" priority="14212"/>
    <cfRule type="duplicateValues" dxfId="1483" priority="14213"/>
    <cfRule type="duplicateValues" dxfId="1482" priority="14216"/>
    <cfRule type="duplicateValues" dxfId="1481" priority="14217"/>
  </conditionalFormatting>
  <conditionalFormatting sqref="B44:B45">
    <cfRule type="duplicateValues" dxfId="1480" priority="13526"/>
    <cfRule type="duplicateValues" dxfId="1479" priority="13527"/>
    <cfRule type="duplicateValues" dxfId="1478" priority="13528"/>
    <cfRule type="duplicateValues" dxfId="1477" priority="13529"/>
    <cfRule type="duplicateValues" dxfId="1476" priority="13530"/>
    <cfRule type="duplicateValues" dxfId="1475" priority="13531"/>
    <cfRule type="duplicateValues" dxfId="1474" priority="13532"/>
    <cfRule type="duplicateValues" dxfId="1473" priority="13533"/>
    <cfRule type="duplicateValues" dxfId="1472" priority="13534"/>
    <cfRule type="duplicateValues" dxfId="1471" priority="13535"/>
    <cfRule type="duplicateValues" dxfId="1470" priority="13536"/>
    <cfRule type="duplicateValues" dxfId="1469" priority="13537"/>
    <cfRule type="duplicateValues" dxfId="1468" priority="13538"/>
    <cfRule type="duplicateValues" dxfId="1467" priority="13539"/>
    <cfRule type="duplicateValues" dxfId="1466" priority="13540"/>
    <cfRule type="duplicateValues" dxfId="1465" priority="13541"/>
    <cfRule type="duplicateValues" dxfId="1464" priority="13542"/>
    <cfRule type="duplicateValues" dxfId="1463" priority="13543"/>
    <cfRule type="duplicateValues" dxfId="1462" priority="13544"/>
    <cfRule type="duplicateValues" dxfId="1461" priority="13545"/>
    <cfRule type="duplicateValues" dxfId="1460" priority="13546"/>
    <cfRule type="duplicateValues" dxfId="1459" priority="13547"/>
    <cfRule type="duplicateValues" dxfId="1458" priority="13548"/>
    <cfRule type="duplicateValues" dxfId="1457" priority="13549"/>
    <cfRule type="duplicateValues" dxfId="1456" priority="13550"/>
    <cfRule type="duplicateValues" dxfId="1455" priority="13551"/>
    <cfRule type="duplicateValues" dxfId="1454" priority="13552"/>
    <cfRule type="duplicateValues" dxfId="1453" priority="13553"/>
    <cfRule type="duplicateValues" dxfId="1452" priority="13554"/>
    <cfRule type="duplicateValues" dxfId="1451" priority="13555"/>
    <cfRule type="duplicateValues" dxfId="1450" priority="13556"/>
    <cfRule type="duplicateValues" dxfId="1449" priority="13557"/>
    <cfRule type="duplicateValues" dxfId="1448" priority="13558"/>
    <cfRule type="duplicateValues" dxfId="1447" priority="13559"/>
    <cfRule type="duplicateValues" dxfId="1446" priority="13560"/>
    <cfRule type="duplicateValues" dxfId="1445" priority="13561"/>
    <cfRule type="duplicateValues" dxfId="1444" priority="13562"/>
    <cfRule type="duplicateValues" dxfId="1443" priority="13563"/>
    <cfRule type="duplicateValues" dxfId="1442" priority="13564"/>
    <cfRule type="duplicateValues" dxfId="1441" priority="13565"/>
    <cfRule type="duplicateValues" dxfId="1440" priority="13566"/>
    <cfRule type="duplicateValues" dxfId="1439" priority="13567"/>
    <cfRule type="duplicateValues" dxfId="1438" priority="13610"/>
    <cfRule type="duplicateValues" dxfId="1437" priority="13611"/>
    <cfRule type="duplicateValues" dxfId="1436" priority="13612"/>
    <cfRule type="duplicateValues" dxfId="1435" priority="13613"/>
    <cfRule type="duplicateValues" dxfId="1434" priority="13614"/>
    <cfRule type="duplicateValues" dxfId="1433" priority="13615"/>
    <cfRule type="duplicateValues" dxfId="1432" priority="13616"/>
    <cfRule type="duplicateValues" dxfId="1431" priority="13617"/>
    <cfRule type="duplicateValues" dxfId="1430" priority="13618"/>
    <cfRule type="duplicateValues" dxfId="1429" priority="13619"/>
    <cfRule type="duplicateValues" dxfId="1428" priority="13620"/>
    <cfRule type="duplicateValues" dxfId="1427" priority="13621"/>
    <cfRule type="duplicateValues" dxfId="1426" priority="13622"/>
    <cfRule type="duplicateValues" dxfId="1425" priority="13623"/>
    <cfRule type="duplicateValues" dxfId="1424" priority="13624"/>
    <cfRule type="duplicateValues" dxfId="1423" priority="13625"/>
    <cfRule type="duplicateValues" dxfId="1422" priority="13626"/>
    <cfRule type="duplicateValues" dxfId="1421" priority="13627"/>
    <cfRule type="duplicateValues" dxfId="1420" priority="13628"/>
    <cfRule type="duplicateValues" dxfId="1419" priority="13629"/>
    <cfRule type="duplicateValues" dxfId="1418" priority="13630"/>
    <cfRule type="duplicateValues" dxfId="1417" priority="13631"/>
    <cfRule type="duplicateValues" dxfId="1416" priority="13632"/>
    <cfRule type="duplicateValues" dxfId="1415" priority="13633"/>
    <cfRule type="duplicateValues" dxfId="1414" priority="13634"/>
    <cfRule type="duplicateValues" dxfId="1413" priority="13635"/>
    <cfRule type="duplicateValues" dxfId="1412" priority="13636"/>
    <cfRule type="duplicateValues" dxfId="1411" priority="13637"/>
    <cfRule type="duplicateValues" dxfId="1410" priority="13638"/>
    <cfRule type="duplicateValues" dxfId="1409" priority="13639"/>
    <cfRule type="duplicateValues" dxfId="1408" priority="13640"/>
    <cfRule type="duplicateValues" dxfId="1407" priority="13641"/>
    <cfRule type="duplicateValues" dxfId="1406" priority="13642"/>
    <cfRule type="duplicateValues" dxfId="1405" priority="13643"/>
    <cfRule type="duplicateValues" dxfId="1404" priority="13644"/>
    <cfRule type="duplicateValues" dxfId="1403" priority="13645"/>
    <cfRule type="duplicateValues" dxfId="1402" priority="13646"/>
    <cfRule type="duplicateValues" dxfId="1401" priority="13647"/>
    <cfRule type="duplicateValues" dxfId="1400" priority="13648"/>
    <cfRule type="duplicateValues" dxfId="1399" priority="13649"/>
    <cfRule type="duplicateValues" dxfId="1398" priority="13650"/>
    <cfRule type="duplicateValues" dxfId="1397" priority="13651"/>
    <cfRule type="duplicateValues" dxfId="1396" priority="13654"/>
    <cfRule type="duplicateValues" dxfId="1395" priority="13655"/>
    <cfRule type="duplicateValues" dxfId="1394" priority="14522"/>
    <cfRule type="duplicateValues" dxfId="1393" priority="14523"/>
    <cfRule type="duplicateValues" dxfId="1392" priority="14524"/>
    <cfRule type="duplicateValues" dxfId="1391" priority="14525"/>
    <cfRule type="duplicateValues" dxfId="1390" priority="14526"/>
    <cfRule type="duplicateValues" dxfId="1389" priority="14527"/>
    <cfRule type="duplicateValues" dxfId="1388" priority="14528"/>
    <cfRule type="duplicateValues" dxfId="1387" priority="14529"/>
    <cfRule type="duplicateValues" dxfId="1386" priority="14530"/>
    <cfRule type="duplicateValues" dxfId="1385" priority="14531"/>
    <cfRule type="duplicateValues" dxfId="1384" priority="14532"/>
    <cfRule type="duplicateValues" dxfId="1383" priority="14533"/>
    <cfRule type="duplicateValues" dxfId="1382" priority="14534"/>
    <cfRule type="duplicateValues" dxfId="1381" priority="14535"/>
    <cfRule type="duplicateValues" dxfId="1380" priority="14536"/>
    <cfRule type="duplicateValues" dxfId="1379" priority="14537"/>
    <cfRule type="duplicateValues" dxfId="1378" priority="14538"/>
    <cfRule type="duplicateValues" dxfId="1377" priority="14539"/>
    <cfRule type="duplicateValues" dxfId="1376" priority="14540"/>
    <cfRule type="duplicateValues" dxfId="1375" priority="14541"/>
    <cfRule type="duplicateValues" dxfId="1374" priority="14542"/>
    <cfRule type="duplicateValues" dxfId="1373" priority="14543"/>
    <cfRule type="duplicateValues" dxfId="1372" priority="14544"/>
    <cfRule type="duplicateValues" dxfId="1371" priority="14545"/>
    <cfRule type="duplicateValues" dxfId="1370" priority="14546"/>
    <cfRule type="duplicateValues" dxfId="1369" priority="14547"/>
    <cfRule type="duplicateValues" dxfId="1368" priority="14548"/>
    <cfRule type="duplicateValues" dxfId="1367" priority="14549"/>
    <cfRule type="duplicateValues" dxfId="1366" priority="14550"/>
    <cfRule type="duplicateValues" dxfId="1365" priority="14551"/>
    <cfRule type="duplicateValues" dxfId="1364" priority="14552"/>
    <cfRule type="duplicateValues" dxfId="1363" priority="14553"/>
    <cfRule type="duplicateValues" dxfId="1362" priority="14554"/>
    <cfRule type="duplicateValues" dxfId="1361" priority="14555"/>
    <cfRule type="duplicateValues" dxfId="1360" priority="14556"/>
    <cfRule type="duplicateValues" dxfId="1359" priority="14557"/>
    <cfRule type="duplicateValues" dxfId="1358" priority="14558"/>
    <cfRule type="duplicateValues" dxfId="1357" priority="14559"/>
    <cfRule type="duplicateValues" dxfId="1356" priority="14560"/>
    <cfRule type="duplicateValues" dxfId="1355" priority="14561"/>
    <cfRule type="duplicateValues" dxfId="1354" priority="14562"/>
    <cfRule type="duplicateValues" dxfId="1353" priority="14563"/>
  </conditionalFormatting>
  <conditionalFormatting sqref="B44:B48 B2:B42">
    <cfRule type="duplicateValues" dxfId="1352" priority="14778"/>
  </conditionalFormatting>
  <conditionalFormatting sqref="B46:B48">
    <cfRule type="duplicateValues" dxfId="1351" priority="14564"/>
    <cfRule type="duplicateValues" dxfId="1350" priority="14565"/>
    <cfRule type="duplicateValues" dxfId="1349" priority="14566"/>
    <cfRule type="duplicateValues" dxfId="1348" priority="14567"/>
    <cfRule type="duplicateValues" dxfId="1347" priority="14568"/>
    <cfRule type="duplicateValues" dxfId="1346" priority="14569"/>
    <cfRule type="duplicateValues" dxfId="1345" priority="14570"/>
    <cfRule type="duplicateValues" dxfId="1344" priority="14571"/>
    <cfRule type="duplicateValues" dxfId="1343" priority="14572"/>
    <cfRule type="duplicateValues" dxfId="1342" priority="14573"/>
    <cfRule type="duplicateValues" dxfId="1341" priority="14574"/>
    <cfRule type="duplicateValues" dxfId="1340" priority="14575"/>
    <cfRule type="duplicateValues" dxfId="1339" priority="14576"/>
    <cfRule type="duplicateValues" dxfId="1338" priority="14577"/>
    <cfRule type="duplicateValues" dxfId="1337" priority="14578"/>
    <cfRule type="duplicateValues" dxfId="1336" priority="14579"/>
    <cfRule type="duplicateValues" dxfId="1335" priority="14580"/>
    <cfRule type="duplicateValues" dxfId="1334" priority="14581"/>
    <cfRule type="duplicateValues" dxfId="1333" priority="14582"/>
    <cfRule type="duplicateValues" dxfId="1332" priority="14583"/>
    <cfRule type="duplicateValues" dxfId="1331" priority="14584"/>
    <cfRule type="duplicateValues" dxfId="1330" priority="14585"/>
    <cfRule type="duplicateValues" dxfId="1329" priority="14586"/>
    <cfRule type="duplicateValues" dxfId="1328" priority="14587"/>
    <cfRule type="duplicateValues" dxfId="1327" priority="14588"/>
    <cfRule type="duplicateValues" dxfId="1326" priority="14589"/>
    <cfRule type="duplicateValues" dxfId="1325" priority="14590"/>
    <cfRule type="duplicateValues" dxfId="1324" priority="14591"/>
    <cfRule type="duplicateValues" dxfId="1323" priority="14592"/>
    <cfRule type="duplicateValues" dxfId="1322" priority="14593"/>
    <cfRule type="duplicateValues" dxfId="1321" priority="14594"/>
    <cfRule type="duplicateValues" dxfId="1320" priority="14595"/>
    <cfRule type="duplicateValues" dxfId="1319" priority="14596"/>
    <cfRule type="duplicateValues" dxfId="1318" priority="14597"/>
    <cfRule type="duplicateValues" dxfId="1317" priority="14598"/>
    <cfRule type="duplicateValues" dxfId="1316" priority="14599"/>
    <cfRule type="duplicateValues" dxfId="1315" priority="14600"/>
    <cfRule type="duplicateValues" dxfId="1314" priority="14601"/>
    <cfRule type="duplicateValues" dxfId="1313" priority="14602"/>
    <cfRule type="duplicateValues" dxfId="1312" priority="14603"/>
    <cfRule type="duplicateValues" dxfId="1311" priority="14604"/>
    <cfRule type="duplicateValues" dxfId="1310" priority="14605"/>
    <cfRule type="duplicateValues" dxfId="1309" priority="14648"/>
    <cfRule type="duplicateValues" dxfId="1308" priority="14649"/>
    <cfRule type="duplicateValues" dxfId="1307" priority="14650"/>
    <cfRule type="duplicateValues" dxfId="1306" priority="14651"/>
    <cfRule type="duplicateValues" dxfId="1305" priority="14652"/>
    <cfRule type="duplicateValues" dxfId="1304" priority="14653"/>
    <cfRule type="duplicateValues" dxfId="1303" priority="14654"/>
    <cfRule type="duplicateValues" dxfId="1302" priority="14655"/>
    <cfRule type="duplicateValues" dxfId="1301" priority="14656"/>
    <cfRule type="duplicateValues" dxfId="1300" priority="14657"/>
    <cfRule type="duplicateValues" dxfId="1299" priority="14658"/>
    <cfRule type="duplicateValues" dxfId="1298" priority="14659"/>
    <cfRule type="duplicateValues" dxfId="1297" priority="14660"/>
    <cfRule type="duplicateValues" dxfId="1296" priority="14661"/>
    <cfRule type="duplicateValues" dxfId="1295" priority="14662"/>
    <cfRule type="duplicateValues" dxfId="1294" priority="14663"/>
    <cfRule type="duplicateValues" dxfId="1293" priority="14664"/>
    <cfRule type="duplicateValues" dxfId="1292" priority="14665"/>
    <cfRule type="duplicateValues" dxfId="1291" priority="14666"/>
    <cfRule type="duplicateValues" dxfId="1290" priority="14667"/>
    <cfRule type="duplicateValues" dxfId="1289" priority="14668"/>
    <cfRule type="duplicateValues" dxfId="1288" priority="14669"/>
    <cfRule type="duplicateValues" dxfId="1287" priority="14670"/>
    <cfRule type="duplicateValues" dxfId="1286" priority="14671"/>
    <cfRule type="duplicateValues" dxfId="1285" priority="14672"/>
    <cfRule type="duplicateValues" dxfId="1284" priority="14673"/>
    <cfRule type="duplicateValues" dxfId="1283" priority="14674"/>
    <cfRule type="duplicateValues" dxfId="1282" priority="14675"/>
    <cfRule type="duplicateValues" dxfId="1281" priority="14676"/>
    <cfRule type="duplicateValues" dxfId="1280" priority="14677"/>
    <cfRule type="duplicateValues" dxfId="1279" priority="14678"/>
    <cfRule type="duplicateValues" dxfId="1278" priority="14679"/>
    <cfRule type="duplicateValues" dxfId="1277" priority="14680"/>
    <cfRule type="duplicateValues" dxfId="1276" priority="14681"/>
    <cfRule type="duplicateValues" dxfId="1275" priority="14682"/>
    <cfRule type="duplicateValues" dxfId="1274" priority="14683"/>
    <cfRule type="duplicateValues" dxfId="1273" priority="14684"/>
    <cfRule type="duplicateValues" dxfId="1272" priority="14685"/>
    <cfRule type="duplicateValues" dxfId="1271" priority="14686"/>
    <cfRule type="duplicateValues" dxfId="1270" priority="14687"/>
    <cfRule type="duplicateValues" dxfId="1269" priority="14688"/>
    <cfRule type="duplicateValues" dxfId="1268" priority="14689"/>
    <cfRule type="duplicateValues" dxfId="1267" priority="14732"/>
    <cfRule type="duplicateValues" dxfId="1266" priority="14733"/>
    <cfRule type="duplicateValues" dxfId="1265" priority="14734"/>
    <cfRule type="duplicateValues" dxfId="1264" priority="14735"/>
    <cfRule type="duplicateValues" dxfId="1263" priority="14736"/>
    <cfRule type="duplicateValues" dxfId="1262" priority="14737"/>
    <cfRule type="duplicateValues" dxfId="1261" priority="14738"/>
    <cfRule type="duplicateValues" dxfId="1260" priority="14739"/>
    <cfRule type="duplicateValues" dxfId="1259" priority="14740"/>
    <cfRule type="duplicateValues" dxfId="1258" priority="14741"/>
    <cfRule type="duplicateValues" dxfId="1257" priority="14742"/>
    <cfRule type="duplicateValues" dxfId="1256" priority="14743"/>
    <cfRule type="duplicateValues" dxfId="1255" priority="14744"/>
    <cfRule type="duplicateValues" dxfId="1254" priority="14745"/>
    <cfRule type="duplicateValues" dxfId="1253" priority="14746"/>
    <cfRule type="duplicateValues" dxfId="1252" priority="14747"/>
    <cfRule type="duplicateValues" dxfId="1251" priority="14748"/>
    <cfRule type="duplicateValues" dxfId="1250" priority="14749"/>
    <cfRule type="duplicateValues" dxfId="1249" priority="14750"/>
    <cfRule type="duplicateValues" dxfId="1248" priority="14751"/>
    <cfRule type="duplicateValues" dxfId="1247" priority="14752"/>
    <cfRule type="duplicateValues" dxfId="1246" priority="14753"/>
    <cfRule type="duplicateValues" dxfId="1245" priority="14754"/>
    <cfRule type="duplicateValues" dxfId="1244" priority="14755"/>
    <cfRule type="duplicateValues" dxfId="1243" priority="14756"/>
    <cfRule type="duplicateValues" dxfId="1242" priority="14757"/>
    <cfRule type="duplicateValues" dxfId="1241" priority="14758"/>
    <cfRule type="duplicateValues" dxfId="1240" priority="14759"/>
    <cfRule type="duplicateValues" dxfId="1239" priority="14760"/>
    <cfRule type="duplicateValues" dxfId="1238" priority="14761"/>
    <cfRule type="duplicateValues" dxfId="1237" priority="14762"/>
    <cfRule type="duplicateValues" dxfId="1236" priority="14763"/>
    <cfRule type="duplicateValues" dxfId="1235" priority="14764"/>
    <cfRule type="duplicateValues" dxfId="1234" priority="14765"/>
    <cfRule type="duplicateValues" dxfId="1233" priority="14766"/>
    <cfRule type="duplicateValues" dxfId="1232" priority="14767"/>
    <cfRule type="duplicateValues" dxfId="1231" priority="14768"/>
    <cfRule type="duplicateValues" dxfId="1230" priority="14769"/>
    <cfRule type="duplicateValues" dxfId="1229" priority="14770"/>
    <cfRule type="duplicateValues" dxfId="1228" priority="14771"/>
    <cfRule type="duplicateValues" dxfId="1227" priority="14772"/>
    <cfRule type="duplicateValues" dxfId="1226" priority="14773"/>
    <cfRule type="duplicateValues" dxfId="1225" priority="14776"/>
    <cfRule type="duplicateValues" dxfId="1224" priority="14777"/>
  </conditionalFormatting>
  <conditionalFormatting sqref="B49:B1048576">
    <cfRule type="duplicateValues" dxfId="1223" priority="12648"/>
  </conditionalFormatting>
  <conditionalFormatting sqref="C1:K1">
    <cfRule type="duplicateValues" dxfId="1222" priority="1254"/>
    <cfRule type="duplicateValues" dxfId="1221" priority="1255"/>
    <cfRule type="duplicateValues" dxfId="1220" priority="1256"/>
    <cfRule type="duplicateValues" dxfId="1219" priority="1257"/>
    <cfRule type="duplicateValues" dxfId="1218" priority="1258"/>
    <cfRule type="duplicateValues" dxfId="1217" priority="1259"/>
  </conditionalFormatting>
  <conditionalFormatting sqref="N1">
    <cfRule type="duplicateValues" dxfId="1216" priority="1210"/>
    <cfRule type="duplicateValues" dxfId="1215" priority="1211"/>
    <cfRule type="duplicateValues" dxfId="1214" priority="1212"/>
    <cfRule type="duplicateValues" dxfId="1213" priority="1213"/>
    <cfRule type="duplicateValues" dxfId="1212" priority="1214"/>
    <cfRule type="duplicateValues" dxfId="1211" priority="1215"/>
    <cfRule type="duplicateValues" dxfId="1210" priority="1216"/>
    <cfRule type="duplicateValues" dxfId="1209" priority="1217"/>
    <cfRule type="duplicateValues" dxfId="1208" priority="1218"/>
    <cfRule type="duplicateValues" dxfId="1207" priority="1219"/>
    <cfRule type="duplicateValues" dxfId="1206" priority="1220"/>
    <cfRule type="duplicateValues" dxfId="1205" priority="1221"/>
    <cfRule type="duplicateValues" dxfId="1204" priority="1222"/>
    <cfRule type="duplicateValues" dxfId="1203" priority="1223"/>
    <cfRule type="duplicateValues" dxfId="1202" priority="1224"/>
    <cfRule type="duplicateValues" dxfId="1201" priority="1225"/>
    <cfRule type="duplicateValues" dxfId="1200" priority="1226"/>
    <cfRule type="duplicateValues" dxfId="1199" priority="1227"/>
    <cfRule type="duplicateValues" dxfId="1198" priority="1228"/>
    <cfRule type="duplicateValues" dxfId="1197" priority="1229"/>
    <cfRule type="duplicateValues" dxfId="1196" priority="1230"/>
    <cfRule type="duplicateValues" dxfId="1195" priority="1231"/>
    <cfRule type="duplicateValues" dxfId="1194" priority="1232"/>
    <cfRule type="duplicateValues" dxfId="1193" priority="1233"/>
    <cfRule type="duplicateValues" dxfId="1192" priority="1234"/>
    <cfRule type="duplicateValues" dxfId="1191" priority="1235"/>
    <cfRule type="duplicateValues" dxfId="1190" priority="1236"/>
    <cfRule type="duplicateValues" dxfId="1189" priority="1237"/>
    <cfRule type="duplicateValues" dxfId="1188" priority="1238"/>
    <cfRule type="duplicateValues" dxfId="1187" priority="1239"/>
    <cfRule type="duplicateValues" dxfId="1186" priority="1240"/>
    <cfRule type="duplicateValues" dxfId="1185" priority="1241"/>
    <cfRule type="duplicateValues" dxfId="1184" priority="1242"/>
    <cfRule type="duplicateValues" dxfId="1183" priority="1243"/>
    <cfRule type="duplicateValues" dxfId="1182" priority="1244"/>
    <cfRule type="duplicateValues" dxfId="1181" priority="1245"/>
    <cfRule type="duplicateValues" dxfId="1180" priority="1246"/>
    <cfRule type="duplicateValues" dxfId="1179" priority="1247"/>
    <cfRule type="duplicateValues" dxfId="1178" priority="1248"/>
    <cfRule type="duplicateValues" dxfId="1177" priority="1249"/>
    <cfRule type="duplicateValues" dxfId="1176" priority="1250"/>
    <cfRule type="duplicateValues" dxfId="1175" priority="1251"/>
    <cfRule type="duplicateValues" dxfId="1174" priority="1252"/>
    <cfRule type="duplicateValues" dxfId="1173" priority="1253"/>
  </conditionalFormatting>
  <conditionalFormatting sqref="N4">
    <cfRule type="duplicateValues" dxfId="1172" priority="61"/>
  </conditionalFormatting>
  <conditionalFormatting sqref="N5 N2:N3">
    <cfRule type="duplicateValues" dxfId="1171" priority="1106"/>
    <cfRule type="duplicateValues" dxfId="1170" priority="1107"/>
    <cfRule type="duplicateValues" dxfId="1169" priority="1108"/>
  </conditionalFormatting>
  <conditionalFormatting sqref="N5:N19 N2:N3">
    <cfRule type="duplicateValues" dxfId="1168" priority="1064"/>
    <cfRule type="duplicateValues" dxfId="1167" priority="1065"/>
    <cfRule type="duplicateValues" dxfId="1166" priority="1066"/>
    <cfRule type="duplicateValues" dxfId="1165" priority="1067"/>
    <cfRule type="duplicateValues" dxfId="1164" priority="1068"/>
    <cfRule type="duplicateValues" dxfId="1163" priority="1069"/>
    <cfRule type="duplicateValues" dxfId="1162" priority="1070"/>
    <cfRule type="duplicateValues" dxfId="1161" priority="1071"/>
    <cfRule type="duplicateValues" dxfId="1160" priority="1072"/>
    <cfRule type="duplicateValues" dxfId="1159" priority="1075"/>
    <cfRule type="duplicateValues" dxfId="1158" priority="1076"/>
    <cfRule type="duplicateValues" dxfId="1157" priority="1081"/>
    <cfRule type="duplicateValues" dxfId="1156" priority="1082"/>
    <cfRule type="duplicateValues" dxfId="1155" priority="1083"/>
    <cfRule type="duplicateValues" dxfId="1154" priority="1084"/>
    <cfRule type="duplicateValues" dxfId="1153" priority="1085"/>
    <cfRule type="duplicateValues" dxfId="1152" priority="1088"/>
    <cfRule type="duplicateValues" dxfId="1151" priority="1089"/>
    <cfRule type="duplicateValues" dxfId="1150" priority="1090"/>
    <cfRule type="duplicateValues" dxfId="1149" priority="1091"/>
    <cfRule type="duplicateValues" dxfId="1148" priority="1092"/>
    <cfRule type="duplicateValues" dxfId="1147" priority="1093"/>
    <cfRule type="duplicateValues" dxfId="1146" priority="1094"/>
    <cfRule type="duplicateValues" dxfId="1145" priority="1095"/>
  </conditionalFormatting>
  <conditionalFormatting sqref="N6:N7">
    <cfRule type="duplicateValues" dxfId="1144" priority="1055"/>
    <cfRule type="duplicateValues" dxfId="1143" priority="1056"/>
    <cfRule type="duplicateValues" dxfId="1142" priority="1057"/>
  </conditionalFormatting>
  <conditionalFormatting sqref="N8">
    <cfRule type="duplicateValues" dxfId="1141" priority="1012"/>
    <cfRule type="duplicateValues" dxfId="1140" priority="1013"/>
    <cfRule type="duplicateValues" dxfId="1139" priority="1014"/>
  </conditionalFormatting>
  <conditionalFormatting sqref="N9">
    <cfRule type="duplicateValues" dxfId="1138" priority="929"/>
    <cfRule type="duplicateValues" dxfId="1137" priority="930"/>
    <cfRule type="duplicateValues" dxfId="1136" priority="931"/>
  </conditionalFormatting>
  <conditionalFormatting sqref="N10">
    <cfRule type="duplicateValues" dxfId="1135" priority="882"/>
    <cfRule type="duplicateValues" dxfId="1134" priority="883"/>
    <cfRule type="duplicateValues" dxfId="1133" priority="884"/>
  </conditionalFormatting>
  <conditionalFormatting sqref="N11:N14 N5 N2:N3">
    <cfRule type="duplicateValues" dxfId="1132" priority="1102"/>
    <cfRule type="duplicateValues" dxfId="1131" priority="1103"/>
    <cfRule type="duplicateValues" dxfId="1130" priority="1104"/>
    <cfRule type="duplicateValues" dxfId="1129" priority="1105"/>
  </conditionalFormatting>
  <conditionalFormatting sqref="N11:N14 N8 N5 N2:N3">
    <cfRule type="duplicateValues" dxfId="1128" priority="1097"/>
    <cfRule type="duplicateValues" dxfId="1127" priority="1098"/>
    <cfRule type="duplicateValues" dxfId="1126" priority="1099"/>
    <cfRule type="duplicateValues" dxfId="1125" priority="1101"/>
  </conditionalFormatting>
  <conditionalFormatting sqref="N11:N14">
    <cfRule type="duplicateValues" dxfId="1124" priority="878"/>
    <cfRule type="duplicateValues" dxfId="1123" priority="879"/>
    <cfRule type="duplicateValues" dxfId="1122" priority="880"/>
    <cfRule type="duplicateValues" dxfId="1121" priority="881"/>
    <cfRule type="duplicateValues" dxfId="1120" priority="1096"/>
    <cfRule type="duplicateValues" dxfId="1119" priority="1100"/>
  </conditionalFormatting>
  <conditionalFormatting sqref="N11:N19 N5:N9 N2:N3">
    <cfRule type="duplicateValues" dxfId="1118" priority="1078"/>
    <cfRule type="duplicateValues" dxfId="1117" priority="1079"/>
    <cfRule type="duplicateValues" dxfId="1116" priority="1087"/>
  </conditionalFormatting>
  <conditionalFormatting sqref="N11:N19">
    <cfRule type="duplicateValues" dxfId="1115" priority="1073"/>
    <cfRule type="duplicateValues" dxfId="1114" priority="1074"/>
    <cfRule type="duplicateValues" dxfId="1113" priority="1077"/>
    <cfRule type="duplicateValues" dxfId="1112" priority="1080"/>
    <cfRule type="duplicateValues" dxfId="1111" priority="1086"/>
  </conditionalFormatting>
  <conditionalFormatting sqref="N12:N19">
    <cfRule type="duplicateValues" dxfId="1110" priority="831"/>
  </conditionalFormatting>
  <conditionalFormatting sqref="N15">
    <cfRule type="duplicateValues" dxfId="1109" priority="586"/>
    <cfRule type="duplicateValues" dxfId="1108" priority="587"/>
    <cfRule type="duplicateValues" dxfId="1107" priority="588"/>
  </conditionalFormatting>
  <conditionalFormatting sqref="N16:N17">
    <cfRule type="duplicateValues" dxfId="1106" priority="462"/>
    <cfRule type="duplicateValues" dxfId="1105" priority="463"/>
    <cfRule type="duplicateValues" dxfId="1104" priority="464"/>
  </conditionalFormatting>
  <conditionalFormatting sqref="N18:N19">
    <cfRule type="duplicateValues" dxfId="1103" priority="329"/>
    <cfRule type="duplicateValues" dxfId="1102" priority="330"/>
    <cfRule type="duplicateValues" dxfId="1101" priority="331"/>
  </conditionalFormatting>
  <conditionalFormatting sqref="N44:N48 N1:N42">
    <cfRule type="duplicateValues" dxfId="1100" priority="14780"/>
  </conditionalFormatting>
  <conditionalFormatting sqref="N44:N48 N20:N42">
    <cfRule type="duplicateValues" dxfId="1099" priority="14782"/>
  </conditionalFormatting>
  <conditionalFormatting sqref="P9">
    <cfRule type="containsText" dxfId="1098" priority="926" operator="containsText" text="TODO OK">
      <formula>NOT(ISERROR(SEARCH("TODO OK",P9)))</formula>
    </cfRule>
    <cfRule type="containsText" dxfId="1097" priority="927" operator="containsText" text="PENDIENTES">
      <formula>NOT(ISERROR(SEARCH("PENDIENTES",P9)))</formula>
    </cfRule>
    <cfRule type="containsText" dxfId="1096" priority="928" operator="containsText" text="VERIFICADO">
      <formula>NOT(ISERROR(SEARCH("VERIFICADO",P9)))</formula>
    </cfRule>
  </conditionalFormatting>
  <conditionalFormatting sqref="Q1">
    <cfRule type="containsText" dxfId="1095" priority="1201" operator="containsText" text="VERIFICADO">
      <formula>NOT(ISERROR(SEARCH("VERIFICADO",Q1)))</formula>
    </cfRule>
    <cfRule type="containsText" dxfId="1094" priority="1202" operator="containsText" text="VERIFICADO">
      <formula>NOT(ISERROR(SEARCH("VERIFICADO",Q1)))</formula>
    </cfRule>
    <cfRule type="containsText" dxfId="1093" priority="1203" operator="containsText" text="PENDIENTE">
      <formula>NOT(ISERROR(SEARCH("PENDIENTE",Q1)))</formula>
    </cfRule>
    <cfRule type="containsText" dxfId="1092" priority="1204" operator="containsText" text="SEND">
      <formula>NOT(ISERROR(SEARCH("SEND",Q1)))</formula>
    </cfRule>
    <cfRule type="containsText" dxfId="1091" priority="1206" operator="containsText" text="POR ENVIAR">
      <formula>NOT(ISERROR(SEARCH("POR ENVIAR",Q1)))</formula>
    </cfRule>
    <cfRule type="containsText" dxfId="1090" priority="1207" operator="containsText" text="EMAIL">
      <formula>NOT(ISERROR(SEARCH("EMAIL",Q1)))</formula>
    </cfRule>
    <cfRule type="containsText" dxfId="1089" priority="1208" operator="containsText" text="SIN">
      <formula>NOT(ISERROR(SEARCH("SIN",Q1)))</formula>
    </cfRule>
    <cfRule type="containsText" dxfId="1088" priority="1209" operator="containsText" text="ENVIADO">
      <formula>NOT(ISERROR(SEARCH("ENVIADO",Q1)))</formula>
    </cfRule>
  </conditionalFormatting>
  <conditionalFormatting sqref="Q1:Q48">
    <cfRule type="containsText" dxfId="1087" priority="1205" operator="containsText" text="ENVIADO">
      <formula>NOT(ISERROR(SEARCH("ENVIADO",Q1)))</formula>
    </cfRule>
  </conditionalFormatting>
  <conditionalFormatting sqref="Q2:Q48">
    <cfRule type="containsText" dxfId="1086" priority="1058" operator="containsText" text="ENVIADO">
      <formula>NOT(ISERROR(SEARCH("ENVIADO",Q2)))</formula>
    </cfRule>
    <cfRule type="containsText" dxfId="1085" priority="1059" operator="containsText" text="VERIFICADO">
      <formula>NOT(ISERROR(SEARCH("VERIFICADO",Q2)))</formula>
    </cfRule>
    <cfRule type="containsText" dxfId="1084" priority="1060" operator="containsText" text="PENDIENTE">
      <formula>NOT(ISERROR(SEARCH("PENDIENTE",Q2)))</formula>
    </cfRule>
    <cfRule type="containsText" dxfId="1083" priority="1061" operator="containsText" text="SEND">
      <formula>NOT(ISERROR(SEARCH("SEND",Q2)))</formula>
    </cfRule>
    <cfRule type="containsText" dxfId="1082" priority="1062" operator="containsText" text="ENVIADO">
      <formula>NOT(ISERROR(SEARCH("ENVIADO",Q2)))</formula>
    </cfRule>
    <cfRule type="containsText" dxfId="1081" priority="1063" operator="containsText" text="POR ENVIAR">
      <formula>NOT(ISERROR(SEARCH("POR ENVIAR",Q2)))</formula>
    </cfRule>
  </conditionalFormatting>
  <conditionalFormatting sqref="R1:R48">
    <cfRule type="containsText" dxfId="1080" priority="319" operator="containsText" text="N/A">
      <formula>NOT(ISERROR(SEARCH("N/A",R1)))</formula>
    </cfRule>
    <cfRule type="containsText" dxfId="1079" priority="320" operator="containsText" text="VENCIDO">
      <formula>NOT(ISERROR(SEARCH("VENCIDO",R1)))</formula>
    </cfRule>
    <cfRule type="containsText" dxfId="1078" priority="321" operator="containsText" text="VIGENTE">
      <formula>NOT(ISERROR(SEARCH("VIGENTE",R1)))</formula>
    </cfRule>
  </conditionalFormatting>
  <conditionalFormatting sqref="S1">
    <cfRule type="containsText" dxfId="1077" priority="1194" operator="containsText" text="FIRMADO">
      <formula>NOT(ISERROR(SEARCH("FIRMADO",S1)))</formula>
    </cfRule>
    <cfRule type="containsText" dxfId="1076" priority="1195" operator="containsText" text="PENDIENTE">
      <formula>NOT(ISERROR(SEARCH("PENDIENTE",S1)))</formula>
    </cfRule>
  </conditionalFormatting>
  <dataValidations count="1">
    <dataValidation type="list" allowBlank="1" showInputMessage="1" showErrorMessage="1" sqref="R2:R20 R22:R28 R31:R39" xr:uid="{E134FAB3-05BD-453F-B997-96452BBCFEBA}">
      <formula1>"N/A, VIGENTE, VENCIDO"</formula1>
    </dataValidation>
  </dataValidations>
  <hyperlinks>
    <hyperlink ref="J4" r:id="rId1" xr:uid="{01E21F50-31F7-4966-B5AB-4F36CC9D6E23}"/>
    <hyperlink ref="J10" r:id="rId2" display="mailto:elponque90@gmail.com" xr:uid="{D5A390C2-F8DA-4B25-833B-507BCC9D0694}"/>
    <hyperlink ref="J16" r:id="rId3" xr:uid="{58964733-D03D-4BF6-BC26-354286943129}"/>
    <hyperlink ref="J29" r:id="rId4" xr:uid="{E7720BC6-1F7A-48A0-8221-44D09E2D8FE8}"/>
    <hyperlink ref="J31" r:id="rId5" xr:uid="{268C611D-F250-4CE2-B3E4-D158B9E5B3D8}"/>
    <hyperlink ref="J32" r:id="rId6" xr:uid="{06684E55-3CC0-4131-A27E-38115D025BEF}"/>
    <hyperlink ref="J2" r:id="rId7" xr:uid="{AEE8B7AB-5DC2-48E4-A0F9-B2115CE6C1BC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C801-AD79-4F29-A801-52595AC87BE9}">
  <dimension ref="E1:E30"/>
  <sheetViews>
    <sheetView workbookViewId="0">
      <selection activeCell="E1" sqref="E1:E30"/>
    </sheetView>
  </sheetViews>
  <sheetFormatPr baseColWidth="10" defaultRowHeight="12.75" x14ac:dyDescent="0.2"/>
  <cols>
    <col min="5" max="5" width="36.28515625" customWidth="1"/>
  </cols>
  <sheetData>
    <row r="1" spans="5:5" ht="21" x14ac:dyDescent="0.2">
      <c r="E1" s="130" t="s">
        <v>7</v>
      </c>
    </row>
    <row r="2" spans="5:5" x14ac:dyDescent="0.2">
      <c r="E2" s="56" t="s">
        <v>170</v>
      </c>
    </row>
    <row r="3" spans="5:5" x14ac:dyDescent="0.2">
      <c r="E3" s="56" t="s">
        <v>68</v>
      </c>
    </row>
    <row r="4" spans="5:5" x14ac:dyDescent="0.2">
      <c r="E4" s="56" t="s">
        <v>168</v>
      </c>
    </row>
    <row r="5" spans="5:5" x14ac:dyDescent="0.2">
      <c r="E5" s="56" t="s">
        <v>173</v>
      </c>
    </row>
    <row r="6" spans="5:5" x14ac:dyDescent="0.2">
      <c r="E6" s="56" t="s">
        <v>75</v>
      </c>
    </row>
    <row r="7" spans="5:5" x14ac:dyDescent="0.2">
      <c r="E7" s="56" t="s">
        <v>166</v>
      </c>
    </row>
    <row r="8" spans="5:5" x14ac:dyDescent="0.2">
      <c r="E8" s="56" t="s">
        <v>85</v>
      </c>
    </row>
    <row r="9" spans="5:5" x14ac:dyDescent="0.2">
      <c r="E9" s="56" t="s">
        <v>171</v>
      </c>
    </row>
    <row r="10" spans="5:5" x14ac:dyDescent="0.2">
      <c r="E10" s="56" t="s">
        <v>92</v>
      </c>
    </row>
    <row r="11" spans="5:5" x14ac:dyDescent="0.2">
      <c r="E11" s="56" t="s">
        <v>99</v>
      </c>
    </row>
    <row r="12" spans="5:5" x14ac:dyDescent="0.2">
      <c r="E12" s="56" t="s">
        <v>105</v>
      </c>
    </row>
    <row r="13" spans="5:5" x14ac:dyDescent="0.2">
      <c r="E13" s="56" t="s">
        <v>113</v>
      </c>
    </row>
    <row r="14" spans="5:5" x14ac:dyDescent="0.2">
      <c r="E14" s="56" t="s">
        <v>195</v>
      </c>
    </row>
    <row r="15" spans="5:5" x14ac:dyDescent="0.2">
      <c r="E15" s="56" t="s">
        <v>125</v>
      </c>
    </row>
    <row r="16" spans="5:5" x14ac:dyDescent="0.2">
      <c r="E16" s="56" t="s">
        <v>130</v>
      </c>
    </row>
    <row r="17" spans="5:5" x14ac:dyDescent="0.2">
      <c r="E17" s="56" t="s">
        <v>169</v>
      </c>
    </row>
    <row r="18" spans="5:5" x14ac:dyDescent="0.2">
      <c r="E18" s="56" t="s">
        <v>137</v>
      </c>
    </row>
    <row r="19" spans="5:5" x14ac:dyDescent="0.2">
      <c r="E19" s="56" t="s">
        <v>142</v>
      </c>
    </row>
    <row r="20" spans="5:5" x14ac:dyDescent="0.2">
      <c r="E20" s="56" t="s">
        <v>147</v>
      </c>
    </row>
    <row r="21" spans="5:5" x14ac:dyDescent="0.2">
      <c r="E21" s="56" t="s">
        <v>154</v>
      </c>
    </row>
    <row r="22" spans="5:5" x14ac:dyDescent="0.2">
      <c r="E22" s="56" t="s">
        <v>159</v>
      </c>
    </row>
    <row r="23" spans="5:5" x14ac:dyDescent="0.2">
      <c r="E23" s="56" t="s">
        <v>206</v>
      </c>
    </row>
    <row r="24" spans="5:5" x14ac:dyDescent="0.2">
      <c r="E24" s="56" t="s">
        <v>209</v>
      </c>
    </row>
    <row r="25" spans="5:5" x14ac:dyDescent="0.2">
      <c r="E25" s="56" t="s">
        <v>219</v>
      </c>
    </row>
    <row r="26" spans="5:5" x14ac:dyDescent="0.2">
      <c r="E26" s="56" t="s">
        <v>220</v>
      </c>
    </row>
    <row r="27" spans="5:5" x14ac:dyDescent="0.2">
      <c r="E27" s="56" t="s">
        <v>221</v>
      </c>
    </row>
    <row r="28" spans="5:5" x14ac:dyDescent="0.2">
      <c r="E28" s="56" t="s">
        <v>251</v>
      </c>
    </row>
    <row r="29" spans="5:5" x14ac:dyDescent="0.2">
      <c r="E29" s="56" t="s">
        <v>256</v>
      </c>
    </row>
    <row r="30" spans="5:5" x14ac:dyDescent="0.2">
      <c r="E30" s="56" t="s">
        <v>222</v>
      </c>
    </row>
  </sheetData>
  <conditionalFormatting sqref="E1">
    <cfRule type="duplicateValues" dxfId="1075" priority="914"/>
    <cfRule type="duplicateValues" dxfId="1074" priority="915"/>
    <cfRule type="duplicateValues" dxfId="1073" priority="916"/>
    <cfRule type="duplicateValues" dxfId="1072" priority="917"/>
    <cfRule type="duplicateValues" dxfId="1071" priority="918"/>
    <cfRule type="duplicateValues" dxfId="1070" priority="919"/>
    <cfRule type="duplicateValues" dxfId="1069" priority="920"/>
    <cfRule type="duplicateValues" dxfId="1068" priority="921"/>
    <cfRule type="duplicateValues" dxfId="1067" priority="922"/>
    <cfRule type="duplicateValues" dxfId="1066" priority="923"/>
    <cfRule type="duplicateValues" dxfId="1065" priority="924"/>
    <cfRule type="duplicateValues" dxfId="1064" priority="925"/>
    <cfRule type="duplicateValues" dxfId="1063" priority="926"/>
    <cfRule type="duplicateValues" dxfId="1062" priority="927"/>
    <cfRule type="duplicateValues" dxfId="1061" priority="928"/>
    <cfRule type="duplicateValues" dxfId="1060" priority="929"/>
    <cfRule type="duplicateValues" dxfId="1059" priority="930"/>
  </conditionalFormatting>
  <conditionalFormatting sqref="E2:E30">
    <cfRule type="duplicateValues" dxfId="1058" priority="1059"/>
  </conditionalFormatting>
  <conditionalFormatting sqref="E4">
    <cfRule type="duplicateValues" dxfId="1057" priority="1"/>
    <cfRule type="duplicateValues" dxfId="1056" priority="2"/>
    <cfRule type="duplicateValues" dxfId="1055" priority="3"/>
    <cfRule type="duplicateValues" dxfId="1054" priority="4"/>
    <cfRule type="duplicateValues" dxfId="1053" priority="5"/>
    <cfRule type="duplicateValues" dxfId="1052" priority="6"/>
    <cfRule type="duplicateValues" dxfId="1051" priority="7"/>
    <cfRule type="duplicateValues" dxfId="1050" priority="8"/>
    <cfRule type="duplicateValues" dxfId="1049" priority="9"/>
    <cfRule type="duplicateValues" dxfId="1048" priority="10"/>
    <cfRule type="duplicateValues" dxfId="1047" priority="11"/>
    <cfRule type="duplicateValues" dxfId="1046" priority="12"/>
    <cfRule type="duplicateValues" dxfId="1045" priority="13"/>
    <cfRule type="duplicateValues" dxfId="1044" priority="14"/>
    <cfRule type="duplicateValues" dxfId="1043" priority="15"/>
    <cfRule type="duplicateValues" dxfId="1042" priority="16"/>
    <cfRule type="duplicateValues" dxfId="1041" priority="17"/>
    <cfRule type="duplicateValues" dxfId="1040" priority="18"/>
    <cfRule type="duplicateValues" dxfId="1039" priority="19"/>
    <cfRule type="duplicateValues" dxfId="1038" priority="20"/>
    <cfRule type="duplicateValues" dxfId="1037" priority="21"/>
    <cfRule type="duplicateValues" dxfId="1036" priority="22"/>
    <cfRule type="duplicateValues" dxfId="1035" priority="23"/>
    <cfRule type="duplicateValues" dxfId="1034" priority="24"/>
    <cfRule type="duplicateValues" dxfId="1033" priority="25"/>
    <cfRule type="duplicateValues" dxfId="1032" priority="26"/>
    <cfRule type="duplicateValues" dxfId="1031" priority="27"/>
    <cfRule type="duplicateValues" dxfId="1030" priority="28"/>
    <cfRule type="duplicateValues" dxfId="1029" priority="29"/>
    <cfRule type="duplicateValues" dxfId="1028" priority="30"/>
    <cfRule type="duplicateValues" dxfId="1027" priority="31"/>
    <cfRule type="duplicateValues" dxfId="1026" priority="32"/>
    <cfRule type="duplicateValues" dxfId="1025" priority="33"/>
    <cfRule type="duplicateValues" dxfId="1024" priority="34"/>
    <cfRule type="duplicateValues" dxfId="1023" priority="35"/>
    <cfRule type="duplicateValues" dxfId="1022" priority="36"/>
    <cfRule type="duplicateValues" dxfId="1021" priority="37"/>
    <cfRule type="duplicateValues" dxfId="1020" priority="38"/>
    <cfRule type="duplicateValues" dxfId="1019" priority="39"/>
    <cfRule type="duplicateValues" dxfId="1018" priority="40"/>
    <cfRule type="duplicateValues" dxfId="1017" priority="41"/>
    <cfRule type="duplicateValues" dxfId="1016" priority="42"/>
    <cfRule type="duplicateValues" dxfId="1015" priority="43"/>
    <cfRule type="duplicateValues" dxfId="1014" priority="44"/>
    <cfRule type="duplicateValues" dxfId="1013" priority="45"/>
    <cfRule type="duplicateValues" dxfId="1012" priority="46"/>
    <cfRule type="duplicateValues" dxfId="1011" priority="47"/>
    <cfRule type="duplicateValues" dxfId="1010" priority="48"/>
    <cfRule type="duplicateValues" dxfId="1009" priority="49"/>
    <cfRule type="duplicateValues" dxfId="1008" priority="50"/>
    <cfRule type="duplicateValues" dxfId="1007" priority="51"/>
    <cfRule type="duplicateValues" dxfId="1006" priority="52"/>
    <cfRule type="duplicateValues" dxfId="1005" priority="53"/>
    <cfRule type="duplicateValues" dxfId="1004" priority="54"/>
    <cfRule type="duplicateValues" dxfId="1003" priority="55"/>
    <cfRule type="duplicateValues" dxfId="1002" priority="56"/>
    <cfRule type="duplicateValues" dxfId="1001" priority="57"/>
    <cfRule type="duplicateValues" dxfId="1000" priority="58"/>
    <cfRule type="duplicateValues" dxfId="999" priority="59"/>
    <cfRule type="duplicateValues" dxfId="998" priority="60"/>
    <cfRule type="duplicateValues" dxfId="997" priority="61"/>
    <cfRule type="duplicateValues" dxfId="996" priority="62"/>
    <cfRule type="duplicateValues" dxfId="995" priority="63"/>
    <cfRule type="duplicateValues" dxfId="994" priority="64"/>
    <cfRule type="duplicateValues" dxfId="993" priority="65"/>
    <cfRule type="duplicateValues" dxfId="992" priority="66"/>
    <cfRule type="duplicateValues" dxfId="991" priority="67"/>
    <cfRule type="duplicateValues" dxfId="990" priority="68"/>
    <cfRule type="duplicateValues" dxfId="989" priority="69"/>
    <cfRule type="duplicateValues" dxfId="988" priority="70"/>
    <cfRule type="duplicateValues" dxfId="987" priority="71"/>
    <cfRule type="duplicateValues" dxfId="986" priority="72"/>
    <cfRule type="duplicateValues" dxfId="985" priority="73"/>
    <cfRule type="duplicateValues" dxfId="984" priority="74"/>
    <cfRule type="duplicateValues" dxfId="983" priority="75"/>
    <cfRule type="duplicateValues" dxfId="982" priority="76"/>
    <cfRule type="duplicateValues" dxfId="981" priority="77"/>
    <cfRule type="duplicateValues" dxfId="980" priority="78"/>
    <cfRule type="duplicateValues" dxfId="979" priority="79"/>
    <cfRule type="duplicateValues" dxfId="978" priority="80"/>
    <cfRule type="duplicateValues" dxfId="977" priority="81"/>
    <cfRule type="duplicateValues" dxfId="976" priority="82"/>
    <cfRule type="duplicateValues" dxfId="975" priority="83"/>
    <cfRule type="duplicateValues" dxfId="974" priority="84"/>
    <cfRule type="duplicateValues" dxfId="973" priority="85"/>
    <cfRule type="duplicateValues" dxfId="972" priority="86"/>
    <cfRule type="duplicateValues" dxfId="971" priority="87"/>
    <cfRule type="duplicateValues" dxfId="970" priority="88"/>
    <cfRule type="duplicateValues" dxfId="969" priority="89"/>
    <cfRule type="duplicateValues" dxfId="968" priority="90"/>
    <cfRule type="duplicateValues" dxfId="967" priority="91"/>
    <cfRule type="duplicateValues" dxfId="966" priority="92"/>
    <cfRule type="duplicateValues" dxfId="965" priority="93"/>
    <cfRule type="duplicateValues" dxfId="964" priority="94"/>
    <cfRule type="duplicateValues" dxfId="963" priority="95"/>
    <cfRule type="duplicateValues" dxfId="962" priority="96"/>
    <cfRule type="duplicateValues" dxfId="961" priority="97"/>
    <cfRule type="duplicateValues" dxfId="960" priority="98"/>
    <cfRule type="duplicateValues" dxfId="959" priority="99"/>
    <cfRule type="duplicateValues" dxfId="958" priority="100"/>
    <cfRule type="duplicateValues" dxfId="957" priority="101"/>
    <cfRule type="duplicateValues" dxfId="956" priority="102"/>
    <cfRule type="duplicateValues" dxfId="955" priority="103"/>
    <cfRule type="duplicateValues" dxfId="954" priority="104"/>
    <cfRule type="duplicateValues" dxfId="953" priority="105"/>
    <cfRule type="duplicateValues" dxfId="952" priority="106"/>
    <cfRule type="duplicateValues" dxfId="951" priority="107"/>
    <cfRule type="duplicateValues" dxfId="950" priority="108"/>
    <cfRule type="duplicateValues" dxfId="949" priority="109"/>
    <cfRule type="duplicateValues" dxfId="948" priority="110"/>
    <cfRule type="duplicateValues" dxfId="947" priority="111"/>
    <cfRule type="duplicateValues" dxfId="946" priority="112"/>
    <cfRule type="duplicateValues" dxfId="945" priority="113"/>
    <cfRule type="duplicateValues" dxfId="944" priority="114"/>
    <cfRule type="duplicateValues" dxfId="943" priority="115"/>
    <cfRule type="duplicateValues" dxfId="942" priority="116"/>
    <cfRule type="duplicateValues" dxfId="941" priority="117"/>
    <cfRule type="duplicateValues" dxfId="940" priority="118"/>
    <cfRule type="duplicateValues" dxfId="939" priority="119"/>
    <cfRule type="duplicateValues" dxfId="938" priority="120"/>
    <cfRule type="duplicateValues" dxfId="937" priority="121"/>
    <cfRule type="duplicateValues" dxfId="936" priority="122"/>
    <cfRule type="duplicateValues" dxfId="935" priority="123"/>
    <cfRule type="duplicateValues" dxfId="934" priority="124"/>
    <cfRule type="duplicateValues" dxfId="933" priority="125"/>
    <cfRule type="duplicateValues" dxfId="932" priority="126"/>
    <cfRule type="duplicateValues" dxfId="931" priority="127"/>
    <cfRule type="duplicateValues" dxfId="930" priority="128"/>
  </conditionalFormatting>
  <conditionalFormatting sqref="E5:E6 E2:E3">
    <cfRule type="duplicateValues" dxfId="929" priority="838"/>
    <cfRule type="duplicateValues" dxfId="928" priority="839"/>
    <cfRule type="duplicateValues" dxfId="927" priority="840"/>
    <cfRule type="duplicateValues" dxfId="926" priority="841"/>
    <cfRule type="duplicateValues" dxfId="925" priority="842"/>
    <cfRule type="duplicateValues" dxfId="924" priority="843"/>
    <cfRule type="duplicateValues" dxfId="923" priority="844"/>
    <cfRule type="duplicateValues" dxfId="922" priority="845"/>
    <cfRule type="duplicateValues" dxfId="921" priority="846"/>
    <cfRule type="duplicateValues" dxfId="920" priority="847"/>
    <cfRule type="duplicateValues" dxfId="919" priority="848"/>
    <cfRule type="duplicateValues" dxfId="918" priority="849"/>
    <cfRule type="duplicateValues" dxfId="917" priority="850"/>
    <cfRule type="duplicateValues" dxfId="916" priority="851"/>
    <cfRule type="duplicateValues" dxfId="915" priority="852"/>
    <cfRule type="duplicateValues" dxfId="914" priority="853"/>
    <cfRule type="duplicateValues" dxfId="913" priority="854"/>
    <cfRule type="duplicateValues" dxfId="912" priority="855"/>
    <cfRule type="duplicateValues" dxfId="911" priority="856"/>
    <cfRule type="duplicateValues" dxfId="910" priority="857"/>
    <cfRule type="duplicateValues" dxfId="909" priority="858"/>
    <cfRule type="duplicateValues" dxfId="908" priority="859"/>
    <cfRule type="duplicateValues" dxfId="907" priority="860"/>
    <cfRule type="duplicateValues" dxfId="906" priority="861"/>
    <cfRule type="duplicateValues" dxfId="905" priority="862"/>
    <cfRule type="duplicateValues" dxfId="904" priority="863"/>
    <cfRule type="duplicateValues" dxfId="903" priority="864"/>
    <cfRule type="duplicateValues" dxfId="902" priority="865"/>
    <cfRule type="duplicateValues" dxfId="901" priority="866"/>
    <cfRule type="duplicateValues" dxfId="900" priority="867"/>
    <cfRule type="duplicateValues" dxfId="899" priority="868"/>
    <cfRule type="duplicateValues" dxfId="898" priority="869"/>
    <cfRule type="duplicateValues" dxfId="897" priority="870"/>
    <cfRule type="duplicateValues" dxfId="896" priority="871"/>
    <cfRule type="duplicateValues" dxfId="895" priority="872"/>
    <cfRule type="duplicateValues" dxfId="894" priority="873"/>
    <cfRule type="duplicateValues" dxfId="893" priority="874"/>
    <cfRule type="duplicateValues" dxfId="892" priority="875"/>
    <cfRule type="duplicateValues" dxfId="891" priority="876"/>
    <cfRule type="duplicateValues" dxfId="890" priority="877"/>
    <cfRule type="duplicateValues" dxfId="889" priority="878"/>
    <cfRule type="duplicateValues" dxfId="888" priority="879"/>
    <cfRule type="duplicateValues" dxfId="887" priority="880"/>
    <cfRule type="duplicateValues" dxfId="886" priority="881"/>
    <cfRule type="duplicateValues" dxfId="885" priority="882"/>
    <cfRule type="duplicateValues" dxfId="884" priority="883"/>
    <cfRule type="duplicateValues" dxfId="883" priority="884"/>
    <cfRule type="duplicateValues" dxfId="882" priority="885"/>
    <cfRule type="duplicateValues" dxfId="881" priority="886"/>
    <cfRule type="duplicateValues" dxfId="880" priority="887"/>
    <cfRule type="duplicateValues" dxfId="879" priority="888"/>
    <cfRule type="duplicateValues" dxfId="878" priority="889"/>
    <cfRule type="duplicateValues" dxfId="877" priority="890"/>
    <cfRule type="duplicateValues" dxfId="876" priority="891"/>
    <cfRule type="duplicateValues" dxfId="875" priority="892"/>
    <cfRule type="duplicateValues" dxfId="874" priority="893"/>
    <cfRule type="duplicateValues" dxfId="873" priority="894"/>
    <cfRule type="duplicateValues" dxfId="872" priority="895"/>
    <cfRule type="duplicateValues" dxfId="871" priority="896"/>
    <cfRule type="duplicateValues" dxfId="870" priority="897"/>
    <cfRule type="duplicateValues" dxfId="869" priority="898"/>
    <cfRule type="duplicateValues" dxfId="868" priority="899"/>
    <cfRule type="duplicateValues" dxfId="867" priority="900"/>
    <cfRule type="duplicateValues" dxfId="866" priority="901"/>
    <cfRule type="duplicateValues" dxfId="865" priority="902"/>
    <cfRule type="duplicateValues" dxfId="864" priority="903"/>
    <cfRule type="duplicateValues" dxfId="863" priority="904"/>
    <cfRule type="duplicateValues" dxfId="862" priority="905"/>
    <cfRule type="duplicateValues" dxfId="861" priority="906"/>
    <cfRule type="duplicateValues" dxfId="860" priority="907"/>
    <cfRule type="duplicateValues" dxfId="859" priority="908"/>
    <cfRule type="duplicateValues" dxfId="858" priority="909"/>
    <cfRule type="duplicateValues" dxfId="857" priority="910"/>
    <cfRule type="duplicateValues" dxfId="856" priority="911"/>
    <cfRule type="duplicateValues" dxfId="855" priority="912"/>
  </conditionalFormatting>
  <conditionalFormatting sqref="E5:E19 E2:E3">
    <cfRule type="duplicateValues" dxfId="854" priority="835"/>
    <cfRule type="duplicateValues" dxfId="853" priority="836"/>
    <cfRule type="duplicateValues" dxfId="852" priority="837"/>
    <cfRule type="duplicateValues" dxfId="851" priority="913"/>
  </conditionalFormatting>
  <conditionalFormatting sqref="E7:E8">
    <cfRule type="duplicateValues" dxfId="850" priority="789"/>
    <cfRule type="duplicateValues" dxfId="849" priority="790"/>
    <cfRule type="duplicateValues" dxfId="848" priority="791"/>
    <cfRule type="duplicateValues" dxfId="847" priority="792"/>
    <cfRule type="duplicateValues" dxfId="846" priority="793"/>
    <cfRule type="duplicateValues" dxfId="845" priority="794"/>
    <cfRule type="duplicateValues" dxfId="844" priority="795"/>
    <cfRule type="duplicateValues" dxfId="843" priority="796"/>
    <cfRule type="duplicateValues" dxfId="842" priority="797"/>
    <cfRule type="duplicateValues" dxfId="841" priority="798"/>
    <cfRule type="duplicateValues" dxfId="840" priority="799"/>
    <cfRule type="duplicateValues" dxfId="839" priority="800"/>
    <cfRule type="duplicateValues" dxfId="838" priority="801"/>
    <cfRule type="duplicateValues" dxfId="837" priority="802"/>
    <cfRule type="duplicateValues" dxfId="836" priority="803"/>
    <cfRule type="duplicateValues" dxfId="835" priority="804"/>
    <cfRule type="duplicateValues" dxfId="834" priority="805"/>
    <cfRule type="duplicateValues" dxfId="833" priority="806"/>
    <cfRule type="duplicateValues" dxfId="832" priority="807"/>
    <cfRule type="duplicateValues" dxfId="831" priority="808"/>
    <cfRule type="duplicateValues" dxfId="830" priority="809"/>
    <cfRule type="duplicateValues" dxfId="829" priority="810"/>
    <cfRule type="duplicateValues" dxfId="828" priority="811"/>
    <cfRule type="duplicateValues" dxfId="827" priority="812"/>
    <cfRule type="duplicateValues" dxfId="826" priority="813"/>
    <cfRule type="duplicateValues" dxfId="825" priority="814"/>
    <cfRule type="duplicateValues" dxfId="824" priority="815"/>
    <cfRule type="duplicateValues" dxfId="823" priority="816"/>
    <cfRule type="duplicateValues" dxfId="822" priority="817"/>
    <cfRule type="duplicateValues" dxfId="821" priority="818"/>
    <cfRule type="duplicateValues" dxfId="820" priority="819"/>
    <cfRule type="duplicateValues" dxfId="819" priority="820"/>
    <cfRule type="duplicateValues" dxfId="818" priority="821"/>
    <cfRule type="duplicateValues" dxfId="817" priority="822"/>
    <cfRule type="duplicateValues" dxfId="816" priority="823"/>
    <cfRule type="duplicateValues" dxfId="815" priority="824"/>
    <cfRule type="duplicateValues" dxfId="814" priority="825"/>
    <cfRule type="duplicateValues" dxfId="813" priority="826"/>
    <cfRule type="duplicateValues" dxfId="812" priority="827"/>
    <cfRule type="duplicateValues" dxfId="811" priority="828"/>
  </conditionalFormatting>
  <conditionalFormatting sqref="E9">
    <cfRule type="duplicateValues" dxfId="810" priority="709"/>
    <cfRule type="duplicateValues" dxfId="809" priority="710"/>
    <cfRule type="duplicateValues" dxfId="808" priority="711"/>
    <cfRule type="duplicateValues" dxfId="807" priority="712"/>
    <cfRule type="duplicateValues" dxfId="806" priority="713"/>
    <cfRule type="duplicateValues" dxfId="805" priority="714"/>
    <cfRule type="duplicateValues" dxfId="804" priority="715"/>
    <cfRule type="duplicateValues" dxfId="803" priority="716"/>
    <cfRule type="duplicateValues" dxfId="802" priority="717"/>
    <cfRule type="duplicateValues" dxfId="801" priority="718"/>
    <cfRule type="duplicateValues" dxfId="800" priority="719"/>
    <cfRule type="duplicateValues" dxfId="799" priority="720"/>
    <cfRule type="duplicateValues" dxfId="798" priority="721"/>
    <cfRule type="duplicateValues" dxfId="797" priority="722"/>
    <cfRule type="duplicateValues" dxfId="796" priority="723"/>
    <cfRule type="duplicateValues" dxfId="795" priority="724"/>
    <cfRule type="duplicateValues" dxfId="794" priority="725"/>
    <cfRule type="duplicateValues" dxfId="793" priority="726"/>
    <cfRule type="duplicateValues" dxfId="792" priority="727"/>
    <cfRule type="duplicateValues" dxfId="791" priority="728"/>
    <cfRule type="duplicateValues" dxfId="790" priority="729"/>
    <cfRule type="duplicateValues" dxfId="789" priority="730"/>
    <cfRule type="duplicateValues" dxfId="788" priority="731"/>
    <cfRule type="duplicateValues" dxfId="787" priority="732"/>
    <cfRule type="duplicateValues" dxfId="786" priority="733"/>
    <cfRule type="duplicateValues" dxfId="785" priority="734"/>
    <cfRule type="duplicateValues" dxfId="784" priority="735"/>
    <cfRule type="duplicateValues" dxfId="783" priority="736"/>
    <cfRule type="duplicateValues" dxfId="782" priority="737"/>
    <cfRule type="duplicateValues" dxfId="781" priority="738"/>
    <cfRule type="duplicateValues" dxfId="780" priority="739"/>
    <cfRule type="duplicateValues" dxfId="779" priority="740"/>
    <cfRule type="duplicateValues" dxfId="778" priority="741"/>
    <cfRule type="duplicateValues" dxfId="777" priority="742"/>
    <cfRule type="duplicateValues" dxfId="776" priority="743"/>
    <cfRule type="duplicateValues" dxfId="775" priority="744"/>
    <cfRule type="duplicateValues" dxfId="774" priority="745"/>
    <cfRule type="duplicateValues" dxfId="773" priority="746"/>
    <cfRule type="duplicateValues" dxfId="772" priority="747"/>
    <cfRule type="duplicateValues" dxfId="771" priority="748"/>
  </conditionalFormatting>
  <conditionalFormatting sqref="E9:E11">
    <cfRule type="duplicateValues" dxfId="770" priority="749"/>
    <cfRule type="duplicateValues" dxfId="769" priority="750"/>
    <cfRule type="duplicateValues" dxfId="768" priority="751"/>
    <cfRule type="duplicateValues" dxfId="767" priority="752"/>
    <cfRule type="duplicateValues" dxfId="766" priority="753"/>
    <cfRule type="duplicateValues" dxfId="765" priority="754"/>
    <cfRule type="duplicateValues" dxfId="764" priority="755"/>
    <cfRule type="duplicateValues" dxfId="763" priority="756"/>
    <cfRule type="duplicateValues" dxfId="762" priority="757"/>
    <cfRule type="duplicateValues" dxfId="761" priority="758"/>
    <cfRule type="duplicateValues" dxfId="760" priority="759"/>
    <cfRule type="duplicateValues" dxfId="759" priority="760"/>
    <cfRule type="duplicateValues" dxfId="758" priority="761"/>
    <cfRule type="duplicateValues" dxfId="757" priority="762"/>
    <cfRule type="duplicateValues" dxfId="756" priority="763"/>
    <cfRule type="duplicateValues" dxfId="755" priority="764"/>
    <cfRule type="duplicateValues" dxfId="754" priority="765"/>
    <cfRule type="duplicateValues" dxfId="753" priority="766"/>
    <cfRule type="duplicateValues" dxfId="752" priority="767"/>
    <cfRule type="duplicateValues" dxfId="751" priority="768"/>
    <cfRule type="duplicateValues" dxfId="750" priority="769"/>
    <cfRule type="duplicateValues" dxfId="749" priority="770"/>
    <cfRule type="duplicateValues" dxfId="748" priority="771"/>
    <cfRule type="duplicateValues" dxfId="747" priority="772"/>
    <cfRule type="duplicateValues" dxfId="746" priority="773"/>
    <cfRule type="duplicateValues" dxfId="745" priority="774"/>
    <cfRule type="duplicateValues" dxfId="744" priority="775"/>
    <cfRule type="duplicateValues" dxfId="743" priority="776"/>
    <cfRule type="duplicateValues" dxfId="742" priority="777"/>
    <cfRule type="duplicateValues" dxfId="741" priority="778"/>
    <cfRule type="duplicateValues" dxfId="740" priority="779"/>
    <cfRule type="duplicateValues" dxfId="739" priority="780"/>
    <cfRule type="duplicateValues" dxfId="738" priority="781"/>
    <cfRule type="duplicateValues" dxfId="737" priority="782"/>
    <cfRule type="duplicateValues" dxfId="736" priority="783"/>
    <cfRule type="duplicateValues" dxfId="735" priority="784"/>
    <cfRule type="duplicateValues" dxfId="734" priority="785"/>
    <cfRule type="duplicateValues" dxfId="733" priority="786"/>
    <cfRule type="duplicateValues" dxfId="732" priority="787"/>
    <cfRule type="duplicateValues" dxfId="731" priority="788"/>
  </conditionalFormatting>
  <conditionalFormatting sqref="E10">
    <cfRule type="duplicateValues" dxfId="730" priority="668"/>
    <cfRule type="duplicateValues" dxfId="729" priority="669"/>
    <cfRule type="duplicateValues" dxfId="728" priority="670"/>
    <cfRule type="duplicateValues" dxfId="727" priority="671"/>
    <cfRule type="duplicateValues" dxfId="726" priority="672"/>
    <cfRule type="duplicateValues" dxfId="725" priority="673"/>
    <cfRule type="duplicateValues" dxfId="724" priority="674"/>
    <cfRule type="duplicateValues" dxfId="723" priority="675"/>
    <cfRule type="duplicateValues" dxfId="722" priority="676"/>
    <cfRule type="duplicateValues" dxfId="721" priority="677"/>
    <cfRule type="duplicateValues" dxfId="720" priority="678"/>
    <cfRule type="duplicateValues" dxfId="719" priority="679"/>
    <cfRule type="duplicateValues" dxfId="718" priority="680"/>
    <cfRule type="duplicateValues" dxfId="717" priority="681"/>
    <cfRule type="duplicateValues" dxfId="716" priority="682"/>
    <cfRule type="duplicateValues" dxfId="715" priority="683"/>
    <cfRule type="duplicateValues" dxfId="714" priority="684"/>
    <cfRule type="duplicateValues" dxfId="713" priority="685"/>
    <cfRule type="duplicateValues" dxfId="712" priority="686"/>
    <cfRule type="duplicateValues" dxfId="711" priority="687"/>
    <cfRule type="duplicateValues" dxfId="710" priority="688"/>
    <cfRule type="duplicateValues" dxfId="709" priority="689"/>
    <cfRule type="duplicateValues" dxfId="708" priority="690"/>
    <cfRule type="duplicateValues" dxfId="707" priority="691"/>
    <cfRule type="duplicateValues" dxfId="706" priority="692"/>
    <cfRule type="duplicateValues" dxfId="705" priority="693"/>
    <cfRule type="duplicateValues" dxfId="704" priority="694"/>
    <cfRule type="duplicateValues" dxfId="703" priority="695"/>
    <cfRule type="duplicateValues" dxfId="702" priority="696"/>
    <cfRule type="duplicateValues" dxfId="701" priority="697"/>
    <cfRule type="duplicateValues" dxfId="700" priority="698"/>
    <cfRule type="duplicateValues" dxfId="699" priority="699"/>
    <cfRule type="duplicateValues" dxfId="698" priority="700"/>
    <cfRule type="duplicateValues" dxfId="697" priority="701"/>
    <cfRule type="duplicateValues" dxfId="696" priority="702"/>
    <cfRule type="duplicateValues" dxfId="695" priority="703"/>
    <cfRule type="duplicateValues" dxfId="694" priority="704"/>
    <cfRule type="duplicateValues" dxfId="693" priority="705"/>
    <cfRule type="duplicateValues" dxfId="692" priority="706"/>
    <cfRule type="duplicateValues" dxfId="691" priority="707"/>
    <cfRule type="duplicateValues" dxfId="690" priority="708"/>
  </conditionalFormatting>
  <conditionalFormatting sqref="E11">
    <cfRule type="duplicateValues" dxfId="689" priority="628"/>
    <cfRule type="duplicateValues" dxfId="688" priority="629"/>
    <cfRule type="duplicateValues" dxfId="687" priority="630"/>
    <cfRule type="duplicateValues" dxfId="686" priority="631"/>
    <cfRule type="duplicateValues" dxfId="685" priority="632"/>
    <cfRule type="duplicateValues" dxfId="684" priority="633"/>
    <cfRule type="duplicateValues" dxfId="683" priority="634"/>
    <cfRule type="duplicateValues" dxfId="682" priority="635"/>
    <cfRule type="duplicateValues" dxfId="681" priority="636"/>
    <cfRule type="duplicateValues" dxfId="680" priority="637"/>
    <cfRule type="duplicateValues" dxfId="679" priority="638"/>
    <cfRule type="duplicateValues" dxfId="678" priority="639"/>
    <cfRule type="duplicateValues" dxfId="677" priority="640"/>
    <cfRule type="duplicateValues" dxfId="676" priority="641"/>
    <cfRule type="duplicateValues" dxfId="675" priority="642"/>
    <cfRule type="duplicateValues" dxfId="674" priority="643"/>
    <cfRule type="duplicateValues" dxfId="673" priority="644"/>
    <cfRule type="duplicateValues" dxfId="672" priority="645"/>
    <cfRule type="duplicateValues" dxfId="671" priority="646"/>
    <cfRule type="duplicateValues" dxfId="670" priority="647"/>
    <cfRule type="duplicateValues" dxfId="669" priority="648"/>
    <cfRule type="duplicateValues" dxfId="668" priority="649"/>
    <cfRule type="duplicateValues" dxfId="667" priority="650"/>
    <cfRule type="duplicateValues" dxfId="666" priority="651"/>
    <cfRule type="duplicateValues" dxfId="665" priority="652"/>
    <cfRule type="duplicateValues" dxfId="664" priority="653"/>
    <cfRule type="duplicateValues" dxfId="663" priority="654"/>
    <cfRule type="duplicateValues" dxfId="662" priority="655"/>
    <cfRule type="duplicateValues" dxfId="661" priority="656"/>
    <cfRule type="duplicateValues" dxfId="660" priority="657"/>
    <cfRule type="duplicateValues" dxfId="659" priority="658"/>
    <cfRule type="duplicateValues" dxfId="658" priority="659"/>
    <cfRule type="duplicateValues" dxfId="657" priority="660"/>
    <cfRule type="duplicateValues" dxfId="656" priority="661"/>
    <cfRule type="duplicateValues" dxfId="655" priority="662"/>
    <cfRule type="duplicateValues" dxfId="654" priority="663"/>
    <cfRule type="duplicateValues" dxfId="653" priority="664"/>
    <cfRule type="duplicateValues" dxfId="652" priority="665"/>
    <cfRule type="duplicateValues" dxfId="651" priority="666"/>
    <cfRule type="duplicateValues" dxfId="650" priority="667"/>
  </conditionalFormatting>
  <conditionalFormatting sqref="E12">
    <cfRule type="duplicateValues" dxfId="649" priority="622"/>
    <cfRule type="duplicateValues" dxfId="648" priority="623"/>
    <cfRule type="duplicateValues" dxfId="647" priority="624"/>
    <cfRule type="duplicateValues" dxfId="646" priority="625"/>
    <cfRule type="duplicateValues" dxfId="645" priority="626"/>
    <cfRule type="duplicateValues" dxfId="644" priority="627"/>
  </conditionalFormatting>
  <conditionalFormatting sqref="E13:E14">
    <cfRule type="duplicateValues" dxfId="643" priority="501"/>
    <cfRule type="duplicateValues" dxfId="642" priority="502"/>
    <cfRule type="duplicateValues" dxfId="641" priority="503"/>
    <cfRule type="duplicateValues" dxfId="640" priority="504"/>
    <cfRule type="duplicateValues" dxfId="639" priority="505"/>
    <cfRule type="duplicateValues" dxfId="638" priority="506"/>
    <cfRule type="duplicateValues" dxfId="637" priority="507"/>
    <cfRule type="duplicateValues" dxfId="636" priority="508"/>
    <cfRule type="duplicateValues" dxfId="635" priority="509"/>
    <cfRule type="duplicateValues" dxfId="634" priority="510"/>
    <cfRule type="duplicateValues" dxfId="633" priority="511"/>
    <cfRule type="duplicateValues" dxfId="632" priority="512"/>
    <cfRule type="duplicateValues" dxfId="631" priority="513"/>
    <cfRule type="duplicateValues" dxfId="630" priority="514"/>
    <cfRule type="duplicateValues" dxfId="629" priority="515"/>
    <cfRule type="duplicateValues" dxfId="628" priority="516"/>
    <cfRule type="duplicateValues" dxfId="627" priority="517"/>
    <cfRule type="duplicateValues" dxfId="626" priority="518"/>
    <cfRule type="duplicateValues" dxfId="625" priority="519"/>
    <cfRule type="duplicateValues" dxfId="624" priority="520"/>
    <cfRule type="duplicateValues" dxfId="623" priority="521"/>
    <cfRule type="duplicateValues" dxfId="622" priority="522"/>
    <cfRule type="duplicateValues" dxfId="621" priority="523"/>
    <cfRule type="duplicateValues" dxfId="620" priority="524"/>
    <cfRule type="duplicateValues" dxfId="619" priority="525"/>
    <cfRule type="duplicateValues" dxfId="618" priority="526"/>
    <cfRule type="duplicateValues" dxfId="617" priority="527"/>
    <cfRule type="duplicateValues" dxfId="616" priority="528"/>
    <cfRule type="duplicateValues" dxfId="615" priority="529"/>
    <cfRule type="duplicateValues" dxfId="614" priority="530"/>
    <cfRule type="duplicateValues" dxfId="613" priority="531"/>
    <cfRule type="duplicateValues" dxfId="612" priority="532"/>
    <cfRule type="duplicateValues" dxfId="611" priority="533"/>
    <cfRule type="duplicateValues" dxfId="610" priority="534"/>
    <cfRule type="duplicateValues" dxfId="609" priority="535"/>
    <cfRule type="duplicateValues" dxfId="608" priority="536"/>
    <cfRule type="duplicateValues" dxfId="607" priority="537"/>
    <cfRule type="duplicateValues" dxfId="606" priority="538"/>
    <cfRule type="duplicateValues" dxfId="605" priority="539"/>
    <cfRule type="duplicateValues" dxfId="604" priority="540"/>
    <cfRule type="duplicateValues" dxfId="603" priority="541"/>
    <cfRule type="duplicateValues" dxfId="602" priority="542"/>
    <cfRule type="duplicateValues" dxfId="601" priority="543"/>
    <cfRule type="duplicateValues" dxfId="600" priority="544"/>
    <cfRule type="duplicateValues" dxfId="599" priority="545"/>
    <cfRule type="duplicateValues" dxfId="598" priority="546"/>
    <cfRule type="duplicateValues" dxfId="597" priority="547"/>
    <cfRule type="duplicateValues" dxfId="596" priority="548"/>
    <cfRule type="duplicateValues" dxfId="595" priority="549"/>
    <cfRule type="duplicateValues" dxfId="594" priority="550"/>
    <cfRule type="duplicateValues" dxfId="593" priority="551"/>
    <cfRule type="duplicateValues" dxfId="592" priority="552"/>
    <cfRule type="duplicateValues" dxfId="591" priority="553"/>
    <cfRule type="duplicateValues" dxfId="590" priority="554"/>
    <cfRule type="duplicateValues" dxfId="589" priority="555"/>
    <cfRule type="duplicateValues" dxfId="588" priority="556"/>
    <cfRule type="duplicateValues" dxfId="587" priority="557"/>
    <cfRule type="duplicateValues" dxfId="586" priority="558"/>
    <cfRule type="duplicateValues" dxfId="585" priority="559"/>
    <cfRule type="duplicateValues" dxfId="584" priority="560"/>
    <cfRule type="duplicateValues" dxfId="583" priority="561"/>
    <cfRule type="duplicateValues" dxfId="582" priority="562"/>
    <cfRule type="duplicateValues" dxfId="581" priority="563"/>
    <cfRule type="duplicateValues" dxfId="580" priority="564"/>
    <cfRule type="duplicateValues" dxfId="579" priority="565"/>
    <cfRule type="duplicateValues" dxfId="578" priority="566"/>
    <cfRule type="duplicateValues" dxfId="577" priority="567"/>
    <cfRule type="duplicateValues" dxfId="576" priority="568"/>
    <cfRule type="duplicateValues" dxfId="575" priority="569"/>
    <cfRule type="duplicateValues" dxfId="574" priority="570"/>
    <cfRule type="duplicateValues" dxfId="573" priority="571"/>
    <cfRule type="duplicateValues" dxfId="572" priority="572"/>
    <cfRule type="duplicateValues" dxfId="571" priority="573"/>
    <cfRule type="duplicateValues" dxfId="570" priority="574"/>
    <cfRule type="duplicateValues" dxfId="569" priority="575"/>
    <cfRule type="duplicateValues" dxfId="568" priority="576"/>
    <cfRule type="duplicateValues" dxfId="567" priority="577"/>
    <cfRule type="duplicateValues" dxfId="566" priority="578"/>
    <cfRule type="duplicateValues" dxfId="565" priority="579"/>
    <cfRule type="duplicateValues" dxfId="564" priority="580"/>
    <cfRule type="duplicateValues" dxfId="563" priority="581"/>
    <cfRule type="duplicateValues" dxfId="562" priority="582"/>
    <cfRule type="duplicateValues" dxfId="561" priority="583"/>
    <cfRule type="duplicateValues" dxfId="560" priority="584"/>
    <cfRule type="duplicateValues" dxfId="559" priority="585"/>
    <cfRule type="duplicateValues" dxfId="558" priority="586"/>
    <cfRule type="duplicateValues" dxfId="557" priority="587"/>
    <cfRule type="duplicateValues" dxfId="556" priority="588"/>
    <cfRule type="duplicateValues" dxfId="555" priority="589"/>
    <cfRule type="duplicateValues" dxfId="554" priority="590"/>
    <cfRule type="duplicateValues" dxfId="553" priority="591"/>
    <cfRule type="duplicateValues" dxfId="552" priority="592"/>
    <cfRule type="duplicateValues" dxfId="551" priority="593"/>
    <cfRule type="duplicateValues" dxfId="550" priority="594"/>
    <cfRule type="duplicateValues" dxfId="549" priority="595"/>
    <cfRule type="duplicateValues" dxfId="548" priority="596"/>
    <cfRule type="duplicateValues" dxfId="547" priority="597"/>
    <cfRule type="duplicateValues" dxfId="546" priority="598"/>
    <cfRule type="duplicateValues" dxfId="545" priority="599"/>
    <cfRule type="duplicateValues" dxfId="544" priority="600"/>
    <cfRule type="duplicateValues" dxfId="543" priority="601"/>
    <cfRule type="duplicateValues" dxfId="542" priority="602"/>
    <cfRule type="duplicateValues" dxfId="541" priority="603"/>
    <cfRule type="duplicateValues" dxfId="540" priority="604"/>
    <cfRule type="duplicateValues" dxfId="539" priority="605"/>
    <cfRule type="duplicateValues" dxfId="538" priority="606"/>
    <cfRule type="duplicateValues" dxfId="537" priority="607"/>
    <cfRule type="duplicateValues" dxfId="536" priority="608"/>
    <cfRule type="duplicateValues" dxfId="535" priority="609"/>
    <cfRule type="duplicateValues" dxfId="534" priority="610"/>
    <cfRule type="duplicateValues" dxfId="533" priority="611"/>
    <cfRule type="duplicateValues" dxfId="532" priority="612"/>
    <cfRule type="duplicateValues" dxfId="531" priority="613"/>
    <cfRule type="duplicateValues" dxfId="530" priority="614"/>
    <cfRule type="duplicateValues" dxfId="529" priority="615"/>
    <cfRule type="duplicateValues" dxfId="528" priority="616"/>
    <cfRule type="duplicateValues" dxfId="527" priority="617"/>
    <cfRule type="duplicateValues" dxfId="526" priority="618"/>
    <cfRule type="duplicateValues" dxfId="525" priority="619"/>
    <cfRule type="duplicateValues" dxfId="524" priority="620"/>
    <cfRule type="duplicateValues" dxfId="523" priority="621"/>
  </conditionalFormatting>
  <conditionalFormatting sqref="E15">
    <cfRule type="duplicateValues" dxfId="522" priority="380"/>
    <cfRule type="duplicateValues" dxfId="521" priority="381"/>
    <cfRule type="duplicateValues" dxfId="520" priority="382"/>
    <cfRule type="duplicateValues" dxfId="519" priority="383"/>
    <cfRule type="duplicateValues" dxfId="518" priority="384"/>
    <cfRule type="duplicateValues" dxfId="517" priority="385"/>
    <cfRule type="duplicateValues" dxfId="516" priority="386"/>
    <cfRule type="duplicateValues" dxfId="515" priority="387"/>
    <cfRule type="duplicateValues" dxfId="514" priority="388"/>
    <cfRule type="duplicateValues" dxfId="513" priority="389"/>
    <cfRule type="duplicateValues" dxfId="512" priority="390"/>
    <cfRule type="duplicateValues" dxfId="511" priority="391"/>
    <cfRule type="duplicateValues" dxfId="510" priority="392"/>
    <cfRule type="duplicateValues" dxfId="509" priority="393"/>
    <cfRule type="duplicateValues" dxfId="508" priority="394"/>
    <cfRule type="duplicateValues" dxfId="507" priority="395"/>
    <cfRule type="duplicateValues" dxfId="506" priority="396"/>
    <cfRule type="duplicateValues" dxfId="505" priority="397"/>
    <cfRule type="duplicateValues" dxfId="504" priority="398"/>
    <cfRule type="duplicateValues" dxfId="503" priority="399"/>
    <cfRule type="duplicateValues" dxfId="502" priority="400"/>
    <cfRule type="duplicateValues" dxfId="501" priority="401"/>
    <cfRule type="duplicateValues" dxfId="500" priority="402"/>
    <cfRule type="duplicateValues" dxfId="499" priority="403"/>
    <cfRule type="duplicateValues" dxfId="498" priority="404"/>
    <cfRule type="duplicateValues" dxfId="497" priority="405"/>
    <cfRule type="duplicateValues" dxfId="496" priority="406"/>
    <cfRule type="duplicateValues" dxfId="495" priority="407"/>
    <cfRule type="duplicateValues" dxfId="494" priority="408"/>
    <cfRule type="duplicateValues" dxfId="493" priority="409"/>
    <cfRule type="duplicateValues" dxfId="492" priority="410"/>
    <cfRule type="duplicateValues" dxfId="491" priority="411"/>
    <cfRule type="duplicateValues" dxfId="490" priority="412"/>
    <cfRule type="duplicateValues" dxfId="489" priority="413"/>
    <cfRule type="duplicateValues" dxfId="488" priority="414"/>
    <cfRule type="duplicateValues" dxfId="487" priority="415"/>
    <cfRule type="duplicateValues" dxfId="486" priority="416"/>
    <cfRule type="duplicateValues" dxfId="485" priority="417"/>
    <cfRule type="duplicateValues" dxfId="484" priority="418"/>
    <cfRule type="duplicateValues" dxfId="483" priority="419"/>
    <cfRule type="duplicateValues" dxfId="482" priority="420"/>
    <cfRule type="duplicateValues" dxfId="481" priority="421"/>
    <cfRule type="duplicateValues" dxfId="480" priority="422"/>
    <cfRule type="duplicateValues" dxfId="479" priority="423"/>
    <cfRule type="duplicateValues" dxfId="478" priority="424"/>
    <cfRule type="duplicateValues" dxfId="477" priority="425"/>
    <cfRule type="duplicateValues" dxfId="476" priority="426"/>
    <cfRule type="duplicateValues" dxfId="475" priority="427"/>
    <cfRule type="duplicateValues" dxfId="474" priority="428"/>
    <cfRule type="duplicateValues" dxfId="473" priority="429"/>
    <cfRule type="duplicateValues" dxfId="472" priority="430"/>
    <cfRule type="duplicateValues" dxfId="471" priority="431"/>
    <cfRule type="duplicateValues" dxfId="470" priority="432"/>
    <cfRule type="duplicateValues" dxfId="469" priority="433"/>
    <cfRule type="duplicateValues" dxfId="468" priority="434"/>
    <cfRule type="duplicateValues" dxfId="467" priority="435"/>
    <cfRule type="duplicateValues" dxfId="466" priority="436"/>
    <cfRule type="duplicateValues" dxfId="465" priority="437"/>
    <cfRule type="duplicateValues" dxfId="464" priority="438"/>
    <cfRule type="duplicateValues" dxfId="463" priority="439"/>
    <cfRule type="duplicateValues" dxfId="462" priority="440"/>
    <cfRule type="duplicateValues" dxfId="461" priority="441"/>
    <cfRule type="duplicateValues" dxfId="460" priority="442"/>
    <cfRule type="duplicateValues" dxfId="459" priority="443"/>
    <cfRule type="duplicateValues" dxfId="458" priority="444"/>
    <cfRule type="duplicateValues" dxfId="457" priority="445"/>
    <cfRule type="duplicateValues" dxfId="456" priority="446"/>
    <cfRule type="duplicateValues" dxfId="455" priority="447"/>
    <cfRule type="duplicateValues" dxfId="454" priority="448"/>
    <cfRule type="duplicateValues" dxfId="453" priority="449"/>
    <cfRule type="duplicateValues" dxfId="452" priority="450"/>
    <cfRule type="duplicateValues" dxfId="451" priority="451"/>
    <cfRule type="duplicateValues" dxfId="450" priority="452"/>
    <cfRule type="duplicateValues" dxfId="449" priority="453"/>
    <cfRule type="duplicateValues" dxfId="448" priority="454"/>
    <cfRule type="duplicateValues" dxfId="447" priority="455"/>
    <cfRule type="duplicateValues" dxfId="446" priority="456"/>
    <cfRule type="duplicateValues" dxfId="445" priority="457"/>
    <cfRule type="duplicateValues" dxfId="444" priority="458"/>
    <cfRule type="duplicateValues" dxfId="443" priority="459"/>
    <cfRule type="duplicateValues" dxfId="442" priority="460"/>
    <cfRule type="duplicateValues" dxfId="441" priority="461"/>
    <cfRule type="duplicateValues" dxfId="440" priority="462"/>
    <cfRule type="duplicateValues" dxfId="439" priority="463"/>
    <cfRule type="duplicateValues" dxfId="438" priority="464"/>
    <cfRule type="duplicateValues" dxfId="437" priority="465"/>
    <cfRule type="duplicateValues" dxfId="436" priority="466"/>
    <cfRule type="duplicateValues" dxfId="435" priority="467"/>
    <cfRule type="duplicateValues" dxfId="434" priority="468"/>
    <cfRule type="duplicateValues" dxfId="433" priority="469"/>
    <cfRule type="duplicateValues" dxfId="432" priority="470"/>
    <cfRule type="duplicateValues" dxfId="431" priority="471"/>
    <cfRule type="duplicateValues" dxfId="430" priority="472"/>
    <cfRule type="duplicateValues" dxfId="429" priority="473"/>
    <cfRule type="duplicateValues" dxfId="428" priority="474"/>
    <cfRule type="duplicateValues" dxfId="427" priority="475"/>
    <cfRule type="duplicateValues" dxfId="426" priority="476"/>
    <cfRule type="duplicateValues" dxfId="425" priority="477"/>
    <cfRule type="duplicateValues" dxfId="424" priority="478"/>
    <cfRule type="duplicateValues" dxfId="423" priority="479"/>
    <cfRule type="duplicateValues" dxfId="422" priority="480"/>
    <cfRule type="duplicateValues" dxfId="421" priority="481"/>
    <cfRule type="duplicateValues" dxfId="420" priority="482"/>
    <cfRule type="duplicateValues" dxfId="419" priority="483"/>
    <cfRule type="duplicateValues" dxfId="418" priority="484"/>
    <cfRule type="duplicateValues" dxfId="417" priority="485"/>
    <cfRule type="duplicateValues" dxfId="416" priority="486"/>
    <cfRule type="duplicateValues" dxfId="415" priority="487"/>
    <cfRule type="duplicateValues" dxfId="414" priority="488"/>
    <cfRule type="duplicateValues" dxfId="413" priority="489"/>
    <cfRule type="duplicateValues" dxfId="412" priority="490"/>
    <cfRule type="duplicateValues" dxfId="411" priority="491"/>
    <cfRule type="duplicateValues" dxfId="410" priority="492"/>
    <cfRule type="duplicateValues" dxfId="409" priority="493"/>
    <cfRule type="duplicateValues" dxfId="408" priority="494"/>
    <cfRule type="duplicateValues" dxfId="407" priority="495"/>
    <cfRule type="duplicateValues" dxfId="406" priority="496"/>
    <cfRule type="duplicateValues" dxfId="405" priority="497"/>
    <cfRule type="duplicateValues" dxfId="404" priority="498"/>
    <cfRule type="duplicateValues" dxfId="403" priority="499"/>
    <cfRule type="duplicateValues" dxfId="402" priority="500"/>
  </conditionalFormatting>
  <conditionalFormatting sqref="E16:E17">
    <cfRule type="duplicateValues" dxfId="401" priority="259"/>
    <cfRule type="duplicateValues" dxfId="400" priority="260"/>
    <cfRule type="duplicateValues" dxfId="399" priority="261"/>
    <cfRule type="duplicateValues" dxfId="398" priority="262"/>
    <cfRule type="duplicateValues" dxfId="397" priority="263"/>
    <cfRule type="duplicateValues" dxfId="396" priority="264"/>
    <cfRule type="duplicateValues" dxfId="395" priority="265"/>
    <cfRule type="duplicateValues" dxfId="394" priority="266"/>
    <cfRule type="duplicateValues" dxfId="393" priority="267"/>
    <cfRule type="duplicateValues" dxfId="392" priority="268"/>
    <cfRule type="duplicateValues" dxfId="391" priority="269"/>
    <cfRule type="duplicateValues" dxfId="390" priority="270"/>
    <cfRule type="duplicateValues" dxfId="389" priority="271"/>
    <cfRule type="duplicateValues" dxfId="388" priority="272"/>
    <cfRule type="duplicateValues" dxfId="387" priority="273"/>
    <cfRule type="duplicateValues" dxfId="386" priority="274"/>
    <cfRule type="duplicateValues" dxfId="385" priority="275"/>
    <cfRule type="duplicateValues" dxfId="384" priority="276"/>
    <cfRule type="duplicateValues" dxfId="383" priority="277"/>
    <cfRule type="duplicateValues" dxfId="382" priority="278"/>
    <cfRule type="duplicateValues" dxfId="381" priority="279"/>
    <cfRule type="duplicateValues" dxfId="380" priority="280"/>
    <cfRule type="duplicateValues" dxfId="379" priority="281"/>
    <cfRule type="duplicateValues" dxfId="378" priority="282"/>
    <cfRule type="duplicateValues" dxfId="377" priority="283"/>
    <cfRule type="duplicateValues" dxfId="376" priority="284"/>
    <cfRule type="duplicateValues" dxfId="375" priority="285"/>
    <cfRule type="duplicateValues" dxfId="374" priority="286"/>
    <cfRule type="duplicateValues" dxfId="373" priority="287"/>
    <cfRule type="duplicateValues" dxfId="372" priority="288"/>
    <cfRule type="duplicateValues" dxfId="371" priority="289"/>
    <cfRule type="duplicateValues" dxfId="370" priority="290"/>
    <cfRule type="duplicateValues" dxfId="369" priority="291"/>
    <cfRule type="duplicateValues" dxfId="368" priority="292"/>
    <cfRule type="duplicateValues" dxfId="367" priority="293"/>
    <cfRule type="duplicateValues" dxfId="366" priority="294"/>
    <cfRule type="duplicateValues" dxfId="365" priority="295"/>
    <cfRule type="duplicateValues" dxfId="364" priority="296"/>
    <cfRule type="duplicateValues" dxfId="363" priority="297"/>
    <cfRule type="duplicateValues" dxfId="362" priority="298"/>
    <cfRule type="duplicateValues" dxfId="361" priority="299"/>
    <cfRule type="duplicateValues" dxfId="360" priority="300"/>
    <cfRule type="duplicateValues" dxfId="359" priority="301"/>
    <cfRule type="duplicateValues" dxfId="358" priority="302"/>
    <cfRule type="duplicateValues" dxfId="357" priority="303"/>
    <cfRule type="duplicateValues" dxfId="356" priority="304"/>
    <cfRule type="duplicateValues" dxfId="355" priority="305"/>
    <cfRule type="duplicateValues" dxfId="354" priority="306"/>
    <cfRule type="duplicateValues" dxfId="353" priority="307"/>
    <cfRule type="duplicateValues" dxfId="352" priority="308"/>
    <cfRule type="duplicateValues" dxfId="351" priority="309"/>
    <cfRule type="duplicateValues" dxfId="350" priority="310"/>
    <cfRule type="duplicateValues" dxfId="349" priority="311"/>
    <cfRule type="duplicateValues" dxfId="348" priority="312"/>
    <cfRule type="duplicateValues" dxfId="347" priority="313"/>
    <cfRule type="duplicateValues" dxfId="346" priority="314"/>
    <cfRule type="duplicateValues" dxfId="345" priority="315"/>
    <cfRule type="duplicateValues" dxfId="344" priority="316"/>
    <cfRule type="duplicateValues" dxfId="343" priority="317"/>
    <cfRule type="duplicateValues" dxfId="342" priority="318"/>
    <cfRule type="duplicateValues" dxfId="341" priority="319"/>
    <cfRule type="duplicateValues" dxfId="340" priority="320"/>
    <cfRule type="duplicateValues" dxfId="339" priority="321"/>
    <cfRule type="duplicateValues" dxfId="338" priority="322"/>
    <cfRule type="duplicateValues" dxfId="337" priority="323"/>
    <cfRule type="duplicateValues" dxfId="336" priority="324"/>
    <cfRule type="duplicateValues" dxfId="335" priority="325"/>
    <cfRule type="duplicateValues" dxfId="334" priority="326"/>
    <cfRule type="duplicateValues" dxfId="333" priority="327"/>
    <cfRule type="duplicateValues" dxfId="332" priority="328"/>
    <cfRule type="duplicateValues" dxfId="331" priority="329"/>
    <cfRule type="duplicateValues" dxfId="330" priority="330"/>
    <cfRule type="duplicateValues" dxfId="329" priority="331"/>
    <cfRule type="duplicateValues" dxfId="328" priority="332"/>
    <cfRule type="duplicateValues" dxfId="327" priority="333"/>
    <cfRule type="duplicateValues" dxfId="326" priority="334"/>
    <cfRule type="duplicateValues" dxfId="325" priority="335"/>
    <cfRule type="duplicateValues" dxfId="324" priority="336"/>
    <cfRule type="duplicateValues" dxfId="323" priority="337"/>
    <cfRule type="duplicateValues" dxfId="322" priority="338"/>
    <cfRule type="duplicateValues" dxfId="321" priority="339"/>
    <cfRule type="duplicateValues" dxfId="320" priority="340"/>
    <cfRule type="duplicateValues" dxfId="319" priority="341"/>
    <cfRule type="duplicateValues" dxfId="318" priority="342"/>
    <cfRule type="duplicateValues" dxfId="317" priority="343"/>
    <cfRule type="duplicateValues" dxfId="316" priority="344"/>
    <cfRule type="duplicateValues" dxfId="315" priority="345"/>
    <cfRule type="duplicateValues" dxfId="314" priority="346"/>
    <cfRule type="duplicateValues" dxfId="313" priority="347"/>
    <cfRule type="duplicateValues" dxfId="312" priority="348"/>
    <cfRule type="duplicateValues" dxfId="311" priority="349"/>
    <cfRule type="duplicateValues" dxfId="310" priority="350"/>
    <cfRule type="duplicateValues" dxfId="309" priority="351"/>
    <cfRule type="duplicateValues" dxfId="308" priority="352"/>
    <cfRule type="duplicateValues" dxfId="307" priority="353"/>
    <cfRule type="duplicateValues" dxfId="306" priority="354"/>
    <cfRule type="duplicateValues" dxfId="305" priority="355"/>
    <cfRule type="duplicateValues" dxfId="304" priority="356"/>
    <cfRule type="duplicateValues" dxfId="303" priority="357"/>
    <cfRule type="duplicateValues" dxfId="302" priority="358"/>
    <cfRule type="duplicateValues" dxfId="301" priority="359"/>
    <cfRule type="duplicateValues" dxfId="300" priority="360"/>
    <cfRule type="duplicateValues" dxfId="299" priority="361"/>
    <cfRule type="duplicateValues" dxfId="298" priority="362"/>
    <cfRule type="duplicateValues" dxfId="297" priority="363"/>
    <cfRule type="duplicateValues" dxfId="296" priority="364"/>
    <cfRule type="duplicateValues" dxfId="295" priority="365"/>
    <cfRule type="duplicateValues" dxfId="294" priority="366"/>
    <cfRule type="duplicateValues" dxfId="293" priority="367"/>
    <cfRule type="duplicateValues" dxfId="292" priority="368"/>
    <cfRule type="duplicateValues" dxfId="291" priority="369"/>
    <cfRule type="duplicateValues" dxfId="290" priority="370"/>
    <cfRule type="duplicateValues" dxfId="289" priority="371"/>
    <cfRule type="duplicateValues" dxfId="288" priority="372"/>
    <cfRule type="duplicateValues" dxfId="287" priority="373"/>
    <cfRule type="duplicateValues" dxfId="286" priority="374"/>
    <cfRule type="duplicateValues" dxfId="285" priority="375"/>
    <cfRule type="duplicateValues" dxfId="284" priority="376"/>
    <cfRule type="duplicateValues" dxfId="283" priority="377"/>
    <cfRule type="duplicateValues" dxfId="282" priority="378"/>
    <cfRule type="duplicateValues" dxfId="281" priority="379"/>
  </conditionalFormatting>
  <conditionalFormatting sqref="E16:E19 E12:E14 E5:E8 E2:E3">
    <cfRule type="duplicateValues" dxfId="280" priority="832"/>
    <cfRule type="duplicateValues" dxfId="279" priority="833"/>
    <cfRule type="duplicateValues" dxfId="278" priority="834"/>
  </conditionalFormatting>
  <conditionalFormatting sqref="E18:E19 E5:E6 E2:E3">
    <cfRule type="duplicateValues" dxfId="277" priority="829"/>
    <cfRule type="duplicateValues" dxfId="276" priority="830"/>
    <cfRule type="duplicateValues" dxfId="275" priority="831"/>
  </conditionalFormatting>
  <conditionalFormatting sqref="E18:E19">
    <cfRule type="duplicateValues" dxfId="274" priority="129"/>
    <cfRule type="duplicateValues" dxfId="273" priority="130"/>
    <cfRule type="duplicateValues" dxfId="272" priority="131"/>
    <cfRule type="duplicateValues" dxfId="271" priority="132"/>
    <cfRule type="duplicateValues" dxfId="270" priority="133"/>
    <cfRule type="duplicateValues" dxfId="269" priority="134"/>
    <cfRule type="duplicateValues" dxfId="268" priority="135"/>
    <cfRule type="duplicateValues" dxfId="267" priority="136"/>
    <cfRule type="duplicateValues" dxfId="266" priority="137"/>
    <cfRule type="duplicateValues" dxfId="265" priority="138"/>
    <cfRule type="duplicateValues" dxfId="264" priority="139"/>
    <cfRule type="duplicateValues" dxfId="263" priority="140"/>
    <cfRule type="duplicateValues" dxfId="262" priority="141"/>
    <cfRule type="duplicateValues" dxfId="261" priority="142"/>
    <cfRule type="duplicateValues" dxfId="260" priority="143"/>
    <cfRule type="duplicateValues" dxfId="259" priority="144"/>
    <cfRule type="duplicateValues" dxfId="258" priority="145"/>
    <cfRule type="duplicateValues" dxfId="257" priority="146"/>
    <cfRule type="duplicateValues" dxfId="256" priority="147"/>
    <cfRule type="duplicateValues" dxfId="255" priority="148"/>
    <cfRule type="duplicateValues" dxfId="254" priority="149"/>
    <cfRule type="duplicateValues" dxfId="253" priority="150"/>
    <cfRule type="duplicateValues" dxfId="252" priority="151"/>
    <cfRule type="duplicateValues" dxfId="251" priority="152"/>
    <cfRule type="duplicateValues" dxfId="250" priority="153"/>
    <cfRule type="duplicateValues" dxfId="249" priority="154"/>
    <cfRule type="duplicateValues" dxfId="248" priority="155"/>
    <cfRule type="duplicateValues" dxfId="247" priority="156"/>
    <cfRule type="duplicateValues" dxfId="246" priority="157"/>
    <cfRule type="duplicateValues" dxfId="245" priority="158"/>
    <cfRule type="duplicateValues" dxfId="244" priority="159"/>
    <cfRule type="duplicateValues" dxfId="243" priority="160"/>
    <cfRule type="duplicateValues" dxfId="242" priority="161"/>
    <cfRule type="duplicateValues" dxfId="241" priority="162"/>
    <cfRule type="duplicateValues" dxfId="240" priority="163"/>
    <cfRule type="duplicateValues" dxfId="239" priority="164"/>
    <cfRule type="duplicateValues" dxfId="238" priority="165"/>
    <cfRule type="duplicateValues" dxfId="237" priority="166"/>
    <cfRule type="duplicateValues" dxfId="236" priority="167"/>
    <cfRule type="duplicateValues" dxfId="235" priority="168"/>
    <cfRule type="duplicateValues" dxfId="234" priority="169"/>
    <cfRule type="duplicateValues" dxfId="233" priority="170"/>
    <cfRule type="duplicateValues" dxfId="232" priority="171"/>
    <cfRule type="duplicateValues" dxfId="231" priority="172"/>
    <cfRule type="duplicateValues" dxfId="230" priority="173"/>
    <cfRule type="duplicateValues" dxfId="229" priority="174"/>
    <cfRule type="duplicateValues" dxfId="228" priority="175"/>
    <cfRule type="duplicateValues" dxfId="227" priority="176"/>
    <cfRule type="duplicateValues" dxfId="226" priority="177"/>
    <cfRule type="duplicateValues" dxfId="225" priority="178"/>
    <cfRule type="duplicateValues" dxfId="224" priority="179"/>
    <cfRule type="duplicateValues" dxfId="223" priority="180"/>
    <cfRule type="duplicateValues" dxfId="222" priority="181"/>
    <cfRule type="duplicateValues" dxfId="221" priority="182"/>
    <cfRule type="duplicateValues" dxfId="220" priority="183"/>
    <cfRule type="duplicateValues" dxfId="219" priority="184"/>
    <cfRule type="duplicateValues" dxfId="218" priority="185"/>
    <cfRule type="duplicateValues" dxfId="217" priority="186"/>
    <cfRule type="duplicateValues" dxfId="216" priority="187"/>
    <cfRule type="duplicateValues" dxfId="215" priority="188"/>
    <cfRule type="duplicateValues" dxfId="214" priority="189"/>
    <cfRule type="duplicateValues" dxfId="213" priority="190"/>
    <cfRule type="duplicateValues" dxfId="212" priority="191"/>
    <cfRule type="duplicateValues" dxfId="211" priority="192"/>
    <cfRule type="duplicateValues" dxfId="210" priority="193"/>
    <cfRule type="duplicateValues" dxfId="209" priority="194"/>
    <cfRule type="duplicateValues" dxfId="208" priority="195"/>
    <cfRule type="duplicateValues" dxfId="207" priority="196"/>
    <cfRule type="duplicateValues" dxfId="206" priority="197"/>
    <cfRule type="duplicateValues" dxfId="205" priority="198"/>
    <cfRule type="duplicateValues" dxfId="204" priority="199"/>
    <cfRule type="duplicateValues" dxfId="203" priority="200"/>
    <cfRule type="duplicateValues" dxfId="202" priority="201"/>
    <cfRule type="duplicateValues" dxfId="201" priority="202"/>
    <cfRule type="duplicateValues" dxfId="200" priority="203"/>
    <cfRule type="duplicateValues" dxfId="199" priority="204"/>
    <cfRule type="duplicateValues" dxfId="198" priority="205"/>
    <cfRule type="duplicateValues" dxfId="197" priority="206"/>
    <cfRule type="duplicateValues" dxfId="196" priority="207"/>
    <cfRule type="duplicateValues" dxfId="195" priority="208"/>
    <cfRule type="duplicateValues" dxfId="194" priority="209"/>
    <cfRule type="duplicateValues" dxfId="193" priority="210"/>
    <cfRule type="duplicateValues" dxfId="192" priority="211"/>
    <cfRule type="duplicateValues" dxfId="191" priority="212"/>
    <cfRule type="duplicateValues" dxfId="190" priority="213"/>
    <cfRule type="duplicateValues" dxfId="189" priority="214"/>
    <cfRule type="duplicateValues" dxfId="188" priority="215"/>
    <cfRule type="duplicateValues" dxfId="187" priority="216"/>
    <cfRule type="duplicateValues" dxfId="186" priority="217"/>
    <cfRule type="duplicateValues" dxfId="185" priority="218"/>
    <cfRule type="duplicateValues" dxfId="184" priority="219"/>
    <cfRule type="duplicateValues" dxfId="183" priority="220"/>
    <cfRule type="duplicateValues" dxfId="182" priority="221"/>
    <cfRule type="duplicateValues" dxfId="181" priority="222"/>
    <cfRule type="duplicateValues" dxfId="180" priority="223"/>
    <cfRule type="duplicateValues" dxfId="179" priority="224"/>
    <cfRule type="duplicateValues" dxfId="178" priority="225"/>
    <cfRule type="duplicateValues" dxfId="177" priority="226"/>
    <cfRule type="duplicateValues" dxfId="176" priority="227"/>
    <cfRule type="duplicateValues" dxfId="175" priority="228"/>
    <cfRule type="duplicateValues" dxfId="174" priority="229"/>
    <cfRule type="duplicateValues" dxfId="173" priority="230"/>
    <cfRule type="duplicateValues" dxfId="172" priority="231"/>
    <cfRule type="duplicateValues" dxfId="171" priority="232"/>
    <cfRule type="duplicateValues" dxfId="170" priority="233"/>
    <cfRule type="duplicateValues" dxfId="169" priority="234"/>
    <cfRule type="duplicateValues" dxfId="168" priority="235"/>
    <cfRule type="duplicateValues" dxfId="167" priority="236"/>
    <cfRule type="duplicateValues" dxfId="166" priority="237"/>
    <cfRule type="duplicateValues" dxfId="165" priority="238"/>
    <cfRule type="duplicateValues" dxfId="164" priority="239"/>
    <cfRule type="duplicateValues" dxfId="163" priority="240"/>
    <cfRule type="duplicateValues" dxfId="162" priority="241"/>
    <cfRule type="duplicateValues" dxfId="161" priority="242"/>
    <cfRule type="duplicateValues" dxfId="160" priority="243"/>
    <cfRule type="duplicateValues" dxfId="159" priority="244"/>
    <cfRule type="duplicateValues" dxfId="158" priority="245"/>
    <cfRule type="duplicateValues" dxfId="157" priority="246"/>
    <cfRule type="duplicateValues" dxfId="156" priority="247"/>
    <cfRule type="duplicateValues" dxfId="155" priority="248"/>
    <cfRule type="duplicateValues" dxfId="154" priority="249"/>
    <cfRule type="duplicateValues" dxfId="153" priority="250"/>
    <cfRule type="duplicateValues" dxfId="152" priority="251"/>
    <cfRule type="duplicateValues" dxfId="151" priority="252"/>
    <cfRule type="duplicateValues" dxfId="150" priority="253"/>
    <cfRule type="duplicateValues" dxfId="149" priority="254"/>
    <cfRule type="duplicateValues" dxfId="148" priority="255"/>
    <cfRule type="duplicateValues" dxfId="147" priority="256"/>
    <cfRule type="duplicateValues" dxfId="146" priority="257"/>
    <cfRule type="duplicateValues" dxfId="145" priority="258"/>
  </conditionalFormatting>
  <conditionalFormatting sqref="E20:E30">
    <cfRule type="duplicateValues" dxfId="144" priority="931"/>
    <cfRule type="duplicateValues" dxfId="143" priority="932"/>
    <cfRule type="duplicateValues" dxfId="142" priority="933"/>
    <cfRule type="duplicateValues" dxfId="141" priority="934"/>
    <cfRule type="duplicateValues" dxfId="140" priority="935"/>
    <cfRule type="duplicateValues" dxfId="139" priority="936"/>
    <cfRule type="duplicateValues" dxfId="138" priority="937"/>
    <cfRule type="duplicateValues" dxfId="137" priority="938"/>
    <cfRule type="duplicateValues" dxfId="136" priority="939"/>
    <cfRule type="duplicateValues" dxfId="135" priority="940"/>
    <cfRule type="duplicateValues" dxfId="134" priority="941"/>
    <cfRule type="duplicateValues" dxfId="133" priority="942"/>
    <cfRule type="duplicateValues" dxfId="132" priority="943"/>
    <cfRule type="duplicateValues" dxfId="131" priority="944"/>
    <cfRule type="duplicateValues" dxfId="130" priority="945"/>
    <cfRule type="duplicateValues" dxfId="129" priority="946"/>
    <cfRule type="duplicateValues" dxfId="128" priority="947"/>
    <cfRule type="duplicateValues" dxfId="127" priority="948"/>
    <cfRule type="duplicateValues" dxfId="126" priority="949"/>
    <cfRule type="duplicateValues" dxfId="125" priority="950"/>
    <cfRule type="duplicateValues" dxfId="124" priority="951"/>
    <cfRule type="duplicateValues" dxfId="123" priority="952"/>
    <cfRule type="duplicateValues" dxfId="122" priority="953"/>
    <cfRule type="duplicateValues" dxfId="121" priority="954"/>
    <cfRule type="duplicateValues" dxfId="120" priority="955"/>
    <cfRule type="duplicateValues" dxfId="119" priority="956"/>
    <cfRule type="duplicateValues" dxfId="118" priority="957"/>
    <cfRule type="duplicateValues" dxfId="117" priority="958"/>
    <cfRule type="duplicateValues" dxfId="116" priority="959"/>
    <cfRule type="duplicateValues" dxfId="115" priority="960"/>
    <cfRule type="duplicateValues" dxfId="114" priority="961"/>
    <cfRule type="duplicateValues" dxfId="113" priority="962"/>
    <cfRule type="duplicateValues" dxfId="112" priority="963"/>
    <cfRule type="duplicateValues" dxfId="111" priority="964"/>
    <cfRule type="duplicateValues" dxfId="110" priority="965"/>
    <cfRule type="duplicateValues" dxfId="109" priority="966"/>
    <cfRule type="duplicateValues" dxfId="108" priority="967"/>
    <cfRule type="duplicateValues" dxfId="107" priority="968"/>
    <cfRule type="duplicateValues" dxfId="106" priority="969"/>
    <cfRule type="duplicateValues" dxfId="105" priority="970"/>
    <cfRule type="duplicateValues" dxfId="104" priority="971"/>
    <cfRule type="duplicateValues" dxfId="103" priority="972"/>
    <cfRule type="duplicateValues" dxfId="102" priority="973"/>
    <cfRule type="duplicateValues" dxfId="101" priority="974"/>
    <cfRule type="duplicateValues" dxfId="100" priority="975"/>
    <cfRule type="duplicateValues" dxfId="99" priority="976"/>
    <cfRule type="duplicateValues" dxfId="98" priority="977"/>
    <cfRule type="duplicateValues" dxfId="97" priority="978"/>
    <cfRule type="duplicateValues" dxfId="96" priority="979"/>
    <cfRule type="duplicateValues" dxfId="95" priority="980"/>
    <cfRule type="duplicateValues" dxfId="94" priority="981"/>
    <cfRule type="duplicateValues" dxfId="93" priority="982"/>
    <cfRule type="duplicateValues" dxfId="92" priority="983"/>
    <cfRule type="duplicateValues" dxfId="91" priority="984"/>
    <cfRule type="duplicateValues" dxfId="90" priority="985"/>
    <cfRule type="duplicateValues" dxfId="89" priority="986"/>
    <cfRule type="duplicateValues" dxfId="88" priority="987"/>
    <cfRule type="duplicateValues" dxfId="87" priority="988"/>
    <cfRule type="duplicateValues" dxfId="86" priority="989"/>
    <cfRule type="duplicateValues" dxfId="85" priority="990"/>
    <cfRule type="duplicateValues" dxfId="84" priority="991"/>
    <cfRule type="duplicateValues" dxfId="83" priority="992"/>
    <cfRule type="duplicateValues" dxfId="82" priority="993"/>
    <cfRule type="duplicateValues" dxfId="81" priority="994"/>
    <cfRule type="duplicateValues" dxfId="80" priority="995"/>
    <cfRule type="duplicateValues" dxfId="79" priority="996"/>
    <cfRule type="duplicateValues" dxfId="78" priority="997"/>
    <cfRule type="duplicateValues" dxfId="77" priority="998"/>
    <cfRule type="duplicateValues" dxfId="76" priority="999"/>
    <cfRule type="duplicateValues" dxfId="75" priority="1000"/>
    <cfRule type="duplicateValues" dxfId="74" priority="1001"/>
    <cfRule type="duplicateValues" dxfId="73" priority="1002"/>
    <cfRule type="duplicateValues" dxfId="72" priority="1003"/>
    <cfRule type="duplicateValues" dxfId="71" priority="1004"/>
    <cfRule type="duplicateValues" dxfId="70" priority="1005"/>
    <cfRule type="duplicateValues" dxfId="69" priority="1006"/>
    <cfRule type="duplicateValues" dxfId="68" priority="1007"/>
    <cfRule type="duplicateValues" dxfId="67" priority="1008"/>
    <cfRule type="duplicateValues" dxfId="66" priority="1009"/>
    <cfRule type="duplicateValues" dxfId="65" priority="1010"/>
    <cfRule type="duplicateValues" dxfId="64" priority="1011"/>
    <cfRule type="duplicateValues" dxfId="63" priority="1012"/>
    <cfRule type="duplicateValues" dxfId="62" priority="1013"/>
    <cfRule type="duplicateValues" dxfId="61" priority="1014"/>
    <cfRule type="duplicateValues" dxfId="60" priority="1015"/>
    <cfRule type="duplicateValues" dxfId="59" priority="1016"/>
    <cfRule type="duplicateValues" dxfId="58" priority="1017"/>
    <cfRule type="duplicateValues" dxfId="57" priority="1018"/>
    <cfRule type="duplicateValues" dxfId="56" priority="1019"/>
    <cfRule type="duplicateValues" dxfId="55" priority="1020"/>
    <cfRule type="duplicateValues" dxfId="54" priority="1021"/>
    <cfRule type="duplicateValues" dxfId="53" priority="1022"/>
    <cfRule type="duplicateValues" dxfId="52" priority="1023"/>
    <cfRule type="duplicateValues" dxfId="51" priority="1024"/>
    <cfRule type="duplicateValues" dxfId="50" priority="1025"/>
    <cfRule type="duplicateValues" dxfId="49" priority="1026"/>
    <cfRule type="duplicateValues" dxfId="48" priority="1027"/>
    <cfRule type="duplicateValues" dxfId="47" priority="1028"/>
    <cfRule type="duplicateValues" dxfId="46" priority="1029"/>
    <cfRule type="duplicateValues" dxfId="45" priority="1030"/>
    <cfRule type="duplicateValues" dxfId="44" priority="1031"/>
    <cfRule type="duplicateValues" dxfId="43" priority="1032"/>
    <cfRule type="duplicateValues" dxfId="42" priority="1033"/>
    <cfRule type="duplicateValues" dxfId="41" priority="1034"/>
    <cfRule type="duplicateValues" dxfId="40" priority="1035"/>
    <cfRule type="duplicateValues" dxfId="39" priority="1036"/>
    <cfRule type="duplicateValues" dxfId="38" priority="1037"/>
    <cfRule type="duplicateValues" dxfId="37" priority="1038"/>
    <cfRule type="duplicateValues" dxfId="36" priority="1039"/>
    <cfRule type="duplicateValues" dxfId="35" priority="1040"/>
    <cfRule type="duplicateValues" dxfId="34" priority="1041"/>
    <cfRule type="duplicateValues" dxfId="33" priority="1042"/>
    <cfRule type="duplicateValues" dxfId="32" priority="1043"/>
    <cfRule type="duplicateValues" dxfId="31" priority="1044"/>
    <cfRule type="duplicateValues" dxfId="30" priority="1045"/>
    <cfRule type="duplicateValues" dxfId="29" priority="1046"/>
    <cfRule type="duplicateValues" dxfId="28" priority="1047"/>
    <cfRule type="duplicateValues" dxfId="27" priority="1048"/>
    <cfRule type="duplicateValues" dxfId="26" priority="1049"/>
    <cfRule type="duplicateValues" dxfId="25" priority="1050"/>
    <cfRule type="duplicateValues" dxfId="24" priority="1051"/>
    <cfRule type="duplicateValues" dxfId="23" priority="1052"/>
    <cfRule type="duplicateValues" dxfId="22" priority="1053"/>
    <cfRule type="duplicateValues" dxfId="21" priority="1054"/>
    <cfRule type="duplicateValues" dxfId="20" priority="1055"/>
    <cfRule type="duplicateValues" dxfId="19" priority="1056"/>
    <cfRule type="duplicateValues" dxfId="18" priority="1057"/>
    <cfRule type="duplicateValues" dxfId="17" priority="105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theme="9" tint="-0.249977111117893"/>
  </sheetPr>
  <dimension ref="A1:CU59"/>
  <sheetViews>
    <sheetView showGridLines="0" zoomScale="40" zoomScaleNormal="40" workbookViewId="0">
      <pane ySplit="18" topLeftCell="A19" activePane="bottomLeft" state="frozen"/>
      <selection pane="bottomLeft" activeCell="C45" sqref="C45"/>
    </sheetView>
  </sheetViews>
  <sheetFormatPr baseColWidth="10" defaultRowHeight="15" x14ac:dyDescent="0.25"/>
  <cols>
    <col min="1" max="1" width="16" style="10" customWidth="1"/>
    <col min="2" max="2" width="53.42578125" style="10" customWidth="1"/>
    <col min="3" max="3" width="94.28515625" style="10" customWidth="1"/>
    <col min="4" max="4" width="23.42578125" style="10" hidden="1" customWidth="1"/>
    <col min="5" max="5" width="57.7109375" style="10" hidden="1" customWidth="1"/>
    <col min="6" max="6" width="23.42578125" style="10" hidden="1" customWidth="1"/>
    <col min="7" max="7" width="38.28515625" style="10" hidden="1" customWidth="1"/>
    <col min="8" max="8" width="23.42578125" style="10" hidden="1" customWidth="1"/>
    <col min="9" max="9" width="33.85546875" style="10" hidden="1" customWidth="1"/>
    <col min="10" max="10" width="35.42578125" style="10" hidden="1" customWidth="1"/>
    <col min="11" max="11" width="36" style="10" hidden="1" customWidth="1"/>
    <col min="12" max="13" width="41.85546875" style="10" hidden="1" customWidth="1"/>
    <col min="14" max="14" width="38.85546875" style="10" hidden="1" customWidth="1"/>
    <col min="15" max="15" width="35.7109375" style="10" customWidth="1"/>
    <col min="16" max="16" width="32.7109375" style="6" customWidth="1"/>
    <col min="17" max="17" width="19.42578125" style="6" bestFit="1" customWidth="1"/>
    <col min="18" max="18" width="30.85546875" style="6" bestFit="1" customWidth="1"/>
    <col min="19" max="19" width="26.7109375" style="6" customWidth="1"/>
    <col min="20" max="20" width="24.85546875" style="6" bestFit="1" customWidth="1"/>
    <col min="21" max="99" width="11.42578125" style="6"/>
    <col min="100" max="16384" width="11.42578125" style="9"/>
  </cols>
  <sheetData>
    <row r="1" spans="1:20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0"/>
      <c r="O1" s="40"/>
    </row>
    <row r="2" spans="1:2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0"/>
      <c r="O2" s="40"/>
    </row>
    <row r="3" spans="1: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0" t="s">
        <v>31</v>
      </c>
      <c r="O3" s="40" t="s">
        <v>33</v>
      </c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0" t="s">
        <v>32</v>
      </c>
      <c r="O4" s="40" t="s">
        <v>34</v>
      </c>
    </row>
    <row r="5" spans="1:2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40"/>
      <c r="O5" s="40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0"/>
      <c r="O6" s="40"/>
    </row>
    <row r="7" spans="1:2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0"/>
      <c r="O7" s="40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20" ht="16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20" ht="57" customHeight="1" x14ac:dyDescent="0.35">
      <c r="A16" s="5"/>
      <c r="B16" s="5"/>
      <c r="C16" s="26" t="s">
        <v>15</v>
      </c>
      <c r="D16" s="142" t="s">
        <v>66</v>
      </c>
      <c r="E16" s="142"/>
      <c r="F16" s="142"/>
      <c r="G16" s="5"/>
      <c r="H16" s="5"/>
      <c r="I16" s="5"/>
      <c r="J16" s="5"/>
      <c r="K16" s="5"/>
      <c r="L16" s="5"/>
      <c r="M16" s="5"/>
      <c r="N16" s="5"/>
      <c r="O16" s="5"/>
      <c r="P16" s="66"/>
      <c r="S16" s="5"/>
      <c r="T16" s="67"/>
    </row>
    <row r="17" spans="1:99" ht="30" customHeight="1" thickBot="1" x14ac:dyDescent="0.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S17" s="5"/>
      <c r="T17" s="67"/>
    </row>
    <row r="18" spans="1:99" ht="64.5" customHeight="1" thickBot="1" x14ac:dyDescent="0.4">
      <c r="A18" s="5"/>
      <c r="B18" s="104" t="s">
        <v>28</v>
      </c>
      <c r="C18" s="105" t="s">
        <v>23</v>
      </c>
      <c r="D18" s="143" t="s">
        <v>16</v>
      </c>
      <c r="E18" s="143"/>
      <c r="F18" s="144" t="s">
        <v>17</v>
      </c>
      <c r="G18" s="144"/>
      <c r="H18" s="145" t="s">
        <v>36</v>
      </c>
      <c r="I18" s="145"/>
      <c r="J18" s="37" t="s">
        <v>12</v>
      </c>
      <c r="K18" s="38" t="s">
        <v>18</v>
      </c>
      <c r="L18" s="39" t="s">
        <v>19</v>
      </c>
      <c r="M18" s="77" t="s">
        <v>33</v>
      </c>
      <c r="N18" s="77" t="s">
        <v>34</v>
      </c>
      <c r="O18" s="68" t="s">
        <v>4</v>
      </c>
      <c r="P18" s="76" t="s">
        <v>20</v>
      </c>
      <c r="Q18" s="139" t="s">
        <v>52</v>
      </c>
      <c r="R18" s="140"/>
      <c r="S18" s="141"/>
      <c r="T18" s="69" t="s">
        <v>9</v>
      </c>
      <c r="U18" s="67"/>
    </row>
    <row r="19" spans="1:99" s="8" customFormat="1" ht="64.5" customHeight="1" thickBot="1" x14ac:dyDescent="0.25">
      <c r="A19" s="24" t="s">
        <v>21</v>
      </c>
      <c r="B19" s="106" t="s">
        <v>28</v>
      </c>
      <c r="C19" s="107" t="s">
        <v>23</v>
      </c>
      <c r="D19" s="41" t="s">
        <v>25</v>
      </c>
      <c r="E19" s="42" t="s">
        <v>6</v>
      </c>
      <c r="F19" s="43" t="s">
        <v>29</v>
      </c>
      <c r="G19" s="44" t="s">
        <v>27</v>
      </c>
      <c r="H19" s="45" t="s">
        <v>35</v>
      </c>
      <c r="I19" s="46" t="s">
        <v>26</v>
      </c>
      <c r="J19" s="18" t="s">
        <v>12</v>
      </c>
      <c r="K19" s="19" t="s">
        <v>18</v>
      </c>
      <c r="L19" s="20" t="s">
        <v>19</v>
      </c>
      <c r="M19" s="20" t="s">
        <v>54</v>
      </c>
      <c r="N19" s="20" t="s">
        <v>55</v>
      </c>
      <c r="O19" s="70" t="s">
        <v>4</v>
      </c>
      <c r="P19" s="71" t="s">
        <v>20</v>
      </c>
      <c r="Q19" s="72" t="s">
        <v>53</v>
      </c>
      <c r="R19" s="72" t="s">
        <v>33</v>
      </c>
      <c r="S19" s="72" t="s">
        <v>34</v>
      </c>
      <c r="T19" s="73" t="s">
        <v>56</v>
      </c>
      <c r="U19" s="74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</row>
    <row r="20" spans="1:99" ht="31.5" x14ac:dyDescent="0.5">
      <c r="A20" s="63">
        <v>1</v>
      </c>
      <c r="B20" s="102" t="s">
        <v>179</v>
      </c>
      <c r="C20" s="127" t="s">
        <v>170</v>
      </c>
      <c r="D20" s="103"/>
      <c r="E20" s="48"/>
      <c r="F20" s="103">
        <v>2</v>
      </c>
      <c r="G20" s="48">
        <f>(Tabla3[[#This Row],[CANT2]]*10000000)</f>
        <v>20000000</v>
      </c>
      <c r="H20" s="103"/>
      <c r="I20" s="48"/>
      <c r="J20" s="49">
        <f>(Tabla3[[#This Row],[MONTO]]+Tabla3[[#This Row],[MONTO2]]+Tabla3[[#This Row],[MONTO3]])</f>
        <v>20000000</v>
      </c>
      <c r="K20" s="50">
        <f t="shared" ref="K20:K31" si="0">J20-(J20*10%)</f>
        <v>18000000</v>
      </c>
      <c r="L20" s="51">
        <f t="shared" ref="L20:L31" si="1">(K20*1%)</f>
        <v>180000</v>
      </c>
      <c r="M20" s="51">
        <f>(Tabla3[[#This Row],[TOTAL -10%]]*Tabla3[[#This Row],[FIDUCIA]])</f>
        <v>0</v>
      </c>
      <c r="N20" s="51">
        <f>(Tabla3[[#This Row],[TOTAL -10%]]*Tabla3[[#This Row],[NUBE]])</f>
        <v>0</v>
      </c>
      <c r="O20" s="79" t="s">
        <v>31</v>
      </c>
      <c r="P20" s="114"/>
      <c r="Q20" s="78">
        <v>0.01</v>
      </c>
      <c r="R20" s="113"/>
      <c r="S20" s="113"/>
      <c r="T20" s="80">
        <f>SUM(Q20:S20)</f>
        <v>0.01</v>
      </c>
      <c r="U20" s="75" t="str">
        <f>IF(T20="","",IF(T20=100%,"OK","ERROR"))</f>
        <v>ERROR</v>
      </c>
    </row>
    <row r="21" spans="1:99" ht="31.5" x14ac:dyDescent="0.5">
      <c r="A21" s="64">
        <f t="shared" ref="A21:A40" si="2">(A20+1)</f>
        <v>2</v>
      </c>
      <c r="B21" s="102">
        <v>1141320170</v>
      </c>
      <c r="C21" s="128" t="s">
        <v>68</v>
      </c>
      <c r="D21" s="103">
        <v>2</v>
      </c>
      <c r="E21" s="48">
        <f>(Tabla3[[#This Row],[CANT]]*5000000)</f>
        <v>10000000</v>
      </c>
      <c r="F21" s="103">
        <v>1</v>
      </c>
      <c r="G21" s="48">
        <f>(Tabla3[[#This Row],[CANT2]]*10000000)</f>
        <v>10000000</v>
      </c>
      <c r="H21" s="103"/>
      <c r="I21" s="48"/>
      <c r="J21" s="49">
        <f>(Tabla3[[#This Row],[MONTO]]+Tabla3[[#This Row],[MONTO2]]+Tabla3[[#This Row],[MONTO3]])</f>
        <v>20000000</v>
      </c>
      <c r="K21" s="50">
        <f t="shared" si="0"/>
        <v>18000000</v>
      </c>
      <c r="L21" s="52">
        <f t="shared" si="1"/>
        <v>180000</v>
      </c>
      <c r="M21" s="52">
        <f>(Tabla3[[#This Row],[TOTAL -10%]]*Tabla3[[#This Row],[FIDUCIA]])</f>
        <v>0</v>
      </c>
      <c r="N21" s="52">
        <f>(Tabla3[[#This Row],[TOTAL -10%]]*Tabla3[[#This Row],[NUBE]])</f>
        <v>0</v>
      </c>
      <c r="O21" s="79" t="s">
        <v>31</v>
      </c>
      <c r="P21" s="114"/>
      <c r="Q21" s="78">
        <v>0.01</v>
      </c>
      <c r="R21" s="113"/>
      <c r="S21" s="113"/>
      <c r="T21" s="80">
        <f t="shared" ref="T21:T34" si="3">SUM(Q21:S21)</f>
        <v>0.01</v>
      </c>
      <c r="U21" s="75" t="str">
        <f t="shared" ref="U21:U40" si="4">IF(T21="","",IF(T21=100%,"OK","ERROR"))</f>
        <v>ERROR</v>
      </c>
    </row>
    <row r="22" spans="1:99" ht="31.5" x14ac:dyDescent="0.5">
      <c r="A22" s="64">
        <f t="shared" si="2"/>
        <v>3</v>
      </c>
      <c r="B22" s="102">
        <v>1065568642</v>
      </c>
      <c r="C22" s="128" t="s">
        <v>168</v>
      </c>
      <c r="D22" s="103">
        <v>2</v>
      </c>
      <c r="E22" s="48">
        <f>(Tabla3[[#This Row],[CANT]]*5000000)</f>
        <v>10000000</v>
      </c>
      <c r="F22" s="103"/>
      <c r="G22" s="48"/>
      <c r="H22" s="103"/>
      <c r="I22" s="48"/>
      <c r="J22" s="49">
        <f>(Tabla3[[#This Row],[MONTO]]+Tabla3[[#This Row],[MONTO2]]+Tabla3[[#This Row],[MONTO3]])</f>
        <v>10000000</v>
      </c>
      <c r="K22" s="50">
        <f t="shared" si="0"/>
        <v>9000000</v>
      </c>
      <c r="L22" s="52">
        <f t="shared" si="1"/>
        <v>90000</v>
      </c>
      <c r="M22" s="52">
        <f>(Tabla3[[#This Row],[TOTAL -10%]]*Tabla3[[#This Row],[FIDUCIA]])</f>
        <v>8910000</v>
      </c>
      <c r="N22" s="52">
        <f>(Tabla3[[#This Row],[TOTAL -10%]]*Tabla3[[#This Row],[NUBE]])</f>
        <v>0</v>
      </c>
      <c r="O22" s="79" t="s">
        <v>31</v>
      </c>
      <c r="P22" s="114" t="s">
        <v>33</v>
      </c>
      <c r="Q22" s="78">
        <v>0.01</v>
      </c>
      <c r="R22" s="113">
        <v>0.99</v>
      </c>
      <c r="S22" s="113"/>
      <c r="T22" s="80">
        <f t="shared" si="3"/>
        <v>1</v>
      </c>
      <c r="U22" s="75" t="str">
        <f t="shared" si="4"/>
        <v>OK</v>
      </c>
    </row>
    <row r="23" spans="1:99" ht="31.5" x14ac:dyDescent="0.5">
      <c r="A23" s="64">
        <f t="shared" si="2"/>
        <v>4</v>
      </c>
      <c r="B23" s="102" t="s">
        <v>179</v>
      </c>
      <c r="C23" s="128" t="s">
        <v>173</v>
      </c>
      <c r="D23" s="103">
        <v>2</v>
      </c>
      <c r="E23" s="48">
        <f>(Tabla3[[#This Row],[CANT]]*5000000)</f>
        <v>10000000</v>
      </c>
      <c r="F23" s="103"/>
      <c r="G23" s="48"/>
      <c r="H23" s="103"/>
      <c r="I23" s="48"/>
      <c r="J23" s="49">
        <f>(Tabla3[[#This Row],[MONTO]]+Tabla3[[#This Row],[MONTO2]]+Tabla3[[#This Row],[MONTO3]])</f>
        <v>10000000</v>
      </c>
      <c r="K23" s="50">
        <f t="shared" si="0"/>
        <v>9000000</v>
      </c>
      <c r="L23" s="52">
        <f t="shared" si="1"/>
        <v>90000</v>
      </c>
      <c r="M23" s="52">
        <f>(Tabla3[[#This Row],[TOTAL -10%]]*Tabla3[[#This Row],[FIDUCIA]])</f>
        <v>0</v>
      </c>
      <c r="N23" s="52">
        <f>(Tabla3[[#This Row],[TOTAL -10%]]*Tabla3[[#This Row],[NUBE]])</f>
        <v>0</v>
      </c>
      <c r="O23" s="79" t="s">
        <v>31</v>
      </c>
      <c r="P23" s="114"/>
      <c r="Q23" s="78">
        <v>0.01</v>
      </c>
      <c r="R23" s="113"/>
      <c r="S23" s="113"/>
      <c r="T23" s="80">
        <f t="shared" si="3"/>
        <v>0.01</v>
      </c>
      <c r="U23" s="75" t="str">
        <f t="shared" si="4"/>
        <v>ERROR</v>
      </c>
    </row>
    <row r="24" spans="1:99" ht="31.5" x14ac:dyDescent="0.5">
      <c r="A24" s="64">
        <f t="shared" si="2"/>
        <v>5</v>
      </c>
      <c r="B24" s="102">
        <v>80025650</v>
      </c>
      <c r="C24" s="128" t="s">
        <v>75</v>
      </c>
      <c r="D24" s="103">
        <v>6</v>
      </c>
      <c r="E24" s="48">
        <f>(Tabla3[[#This Row],[CANT]]*5000000)</f>
        <v>30000000</v>
      </c>
      <c r="F24" s="103">
        <v>8</v>
      </c>
      <c r="G24" s="48">
        <f>(Tabla3[[#This Row],[CANT2]]*10000000)</f>
        <v>80000000</v>
      </c>
      <c r="H24" s="103">
        <v>7</v>
      </c>
      <c r="I24" s="48">
        <f>(Tabla3[[#This Row],[CANT3]]*7500000)</f>
        <v>52500000</v>
      </c>
      <c r="J24" s="49">
        <f>(Tabla3[[#This Row],[MONTO]]+Tabla3[[#This Row],[MONTO2]]+Tabla3[[#This Row],[MONTO3]])</f>
        <v>162500000</v>
      </c>
      <c r="K24" s="50">
        <f t="shared" si="0"/>
        <v>146250000</v>
      </c>
      <c r="L24" s="52">
        <f t="shared" si="1"/>
        <v>1462500</v>
      </c>
      <c r="M24" s="52">
        <f>(Tabla3[[#This Row],[TOTAL -10%]]*Tabla3[[#This Row],[FIDUCIA]])</f>
        <v>0</v>
      </c>
      <c r="N24" s="52">
        <f>(Tabla3[[#This Row],[TOTAL -10%]]*Tabla3[[#This Row],[NUBE]])</f>
        <v>0</v>
      </c>
      <c r="O24" s="79" t="s">
        <v>31</v>
      </c>
      <c r="P24" s="114"/>
      <c r="Q24" s="78">
        <v>0.01</v>
      </c>
      <c r="R24" s="113"/>
      <c r="S24" s="113"/>
      <c r="T24" s="80">
        <f t="shared" si="3"/>
        <v>0.01</v>
      </c>
      <c r="U24" s="75" t="str">
        <f t="shared" si="4"/>
        <v>ERROR</v>
      </c>
    </row>
    <row r="25" spans="1:99" ht="31.5" x14ac:dyDescent="0.5">
      <c r="A25" s="64">
        <f t="shared" si="2"/>
        <v>6</v>
      </c>
      <c r="B25" s="102">
        <v>49746653</v>
      </c>
      <c r="C25" s="128" t="s">
        <v>166</v>
      </c>
      <c r="D25" s="103">
        <v>2</v>
      </c>
      <c r="E25" s="48">
        <f>(Tabla3[[#This Row],[CANT]]*5000000)</f>
        <v>10000000</v>
      </c>
      <c r="F25" s="103"/>
      <c r="G25" s="48"/>
      <c r="H25" s="103"/>
      <c r="I25" s="48"/>
      <c r="J25" s="49">
        <f>(Tabla3[[#This Row],[MONTO]]+Tabla3[[#This Row],[MONTO2]]+Tabla3[[#This Row],[MONTO3]])</f>
        <v>10000000</v>
      </c>
      <c r="K25" s="50">
        <f t="shared" si="0"/>
        <v>9000000</v>
      </c>
      <c r="L25" s="52">
        <f t="shared" si="1"/>
        <v>90000</v>
      </c>
      <c r="M25" s="52">
        <f>(Tabla3[[#This Row],[TOTAL -10%]]*Tabla3[[#This Row],[FIDUCIA]])</f>
        <v>0</v>
      </c>
      <c r="N25" s="52">
        <f>(Tabla3[[#This Row],[TOTAL -10%]]*Tabla3[[#This Row],[NUBE]])</f>
        <v>0</v>
      </c>
      <c r="O25" s="79" t="s">
        <v>31</v>
      </c>
      <c r="P25" s="114"/>
      <c r="Q25" s="78">
        <v>0.01</v>
      </c>
      <c r="R25" s="113"/>
      <c r="S25" s="113"/>
      <c r="T25" s="80">
        <f t="shared" si="3"/>
        <v>0.01</v>
      </c>
      <c r="U25" s="75" t="str">
        <f t="shared" si="4"/>
        <v>ERROR</v>
      </c>
    </row>
    <row r="26" spans="1:99" ht="31.5" x14ac:dyDescent="0.5">
      <c r="A26" s="64">
        <f t="shared" si="2"/>
        <v>7</v>
      </c>
      <c r="B26" s="102">
        <v>22367580</v>
      </c>
      <c r="C26" s="128" t="s">
        <v>85</v>
      </c>
      <c r="D26" s="103"/>
      <c r="E26" s="48"/>
      <c r="F26" s="103">
        <v>1</v>
      </c>
      <c r="G26" s="48">
        <f>(Tabla3[[#This Row],[CANT2]]*10000000)</f>
        <v>10000000</v>
      </c>
      <c r="H26" s="103"/>
      <c r="I26" s="48"/>
      <c r="J26" s="49">
        <f>(Tabla3[[#This Row],[MONTO]]+Tabla3[[#This Row],[MONTO2]]+Tabla3[[#This Row],[MONTO3]])</f>
        <v>10000000</v>
      </c>
      <c r="K26" s="50">
        <f t="shared" si="0"/>
        <v>9000000</v>
      </c>
      <c r="L26" s="52">
        <f t="shared" si="1"/>
        <v>90000</v>
      </c>
      <c r="M26" s="52">
        <f>(Tabla3[[#This Row],[TOTAL -10%]]*Tabla3[[#This Row],[FIDUCIA]])</f>
        <v>8910000</v>
      </c>
      <c r="N26" s="52">
        <f>(Tabla3[[#This Row],[TOTAL -10%]]*Tabla3[[#This Row],[NUBE]])</f>
        <v>0</v>
      </c>
      <c r="O26" s="79" t="s">
        <v>31</v>
      </c>
      <c r="P26" s="114" t="s">
        <v>33</v>
      </c>
      <c r="Q26" s="78">
        <v>0.01</v>
      </c>
      <c r="R26" s="113">
        <v>0.99</v>
      </c>
      <c r="S26" s="113"/>
      <c r="T26" s="80">
        <f t="shared" si="3"/>
        <v>1</v>
      </c>
      <c r="U26" s="75" t="str">
        <f t="shared" si="4"/>
        <v>OK</v>
      </c>
    </row>
    <row r="27" spans="1:99" ht="31.5" x14ac:dyDescent="0.5">
      <c r="A27" s="64">
        <f t="shared" si="2"/>
        <v>8</v>
      </c>
      <c r="B27" s="102" t="s">
        <v>179</v>
      </c>
      <c r="C27" s="128" t="s">
        <v>171</v>
      </c>
      <c r="D27" s="103">
        <v>2</v>
      </c>
      <c r="E27" s="48">
        <f>(Tabla3[[#This Row],[CANT]]*5000000)</f>
        <v>10000000</v>
      </c>
      <c r="F27" s="103"/>
      <c r="G27" s="48"/>
      <c r="H27" s="103"/>
      <c r="I27" s="48"/>
      <c r="J27" s="49">
        <f>(Tabla3[[#This Row],[MONTO]]+Tabla3[[#This Row],[MONTO2]]+Tabla3[[#This Row],[MONTO3]])</f>
        <v>10000000</v>
      </c>
      <c r="K27" s="50">
        <f t="shared" si="0"/>
        <v>9000000</v>
      </c>
      <c r="L27" s="52">
        <f t="shared" si="1"/>
        <v>90000</v>
      </c>
      <c r="M27" s="52">
        <f>(Tabla3[[#This Row],[TOTAL -10%]]*Tabla3[[#This Row],[FIDUCIA]])</f>
        <v>0</v>
      </c>
      <c r="N27" s="52">
        <f>(Tabla3[[#This Row],[TOTAL -10%]]*Tabla3[[#This Row],[NUBE]])</f>
        <v>0</v>
      </c>
      <c r="O27" s="79" t="s">
        <v>31</v>
      </c>
      <c r="P27" s="114"/>
      <c r="Q27" s="78">
        <v>0.01</v>
      </c>
      <c r="R27" s="113"/>
      <c r="S27" s="113"/>
      <c r="T27" s="80">
        <f t="shared" si="3"/>
        <v>0.01</v>
      </c>
      <c r="U27" s="75" t="str">
        <f t="shared" si="4"/>
        <v>ERROR</v>
      </c>
    </row>
    <row r="28" spans="1:99" ht="31.5" x14ac:dyDescent="0.5">
      <c r="A28" s="64">
        <f t="shared" si="2"/>
        <v>9</v>
      </c>
      <c r="B28" s="102">
        <v>1064794667</v>
      </c>
      <c r="C28" s="128" t="s">
        <v>92</v>
      </c>
      <c r="D28" s="103">
        <v>1</v>
      </c>
      <c r="E28" s="48">
        <f>(Tabla3[[#This Row],[CANT]]*5000000)</f>
        <v>5000000</v>
      </c>
      <c r="F28" s="103">
        <v>1</v>
      </c>
      <c r="G28" s="48">
        <f>(Tabla3[[#This Row],[CANT2]]*10000000)</f>
        <v>10000000</v>
      </c>
      <c r="H28" s="103">
        <v>1</v>
      </c>
      <c r="I28" s="48">
        <f>(Tabla3[[#This Row],[CANT3]]*7500000)</f>
        <v>7500000</v>
      </c>
      <c r="J28" s="49">
        <f>(Tabla3[[#This Row],[MONTO]]+Tabla3[[#This Row],[MONTO2]]+Tabla3[[#This Row],[MONTO3]])</f>
        <v>22500000</v>
      </c>
      <c r="K28" s="50">
        <f t="shared" si="0"/>
        <v>20250000</v>
      </c>
      <c r="L28" s="52">
        <f t="shared" si="1"/>
        <v>202500</v>
      </c>
      <c r="M28" s="52">
        <f>(Tabla3[[#This Row],[TOTAL -10%]]*Tabla3[[#This Row],[FIDUCIA]])</f>
        <v>20047500</v>
      </c>
      <c r="N28" s="52">
        <f>(Tabla3[[#This Row],[TOTAL -10%]]*Tabla3[[#This Row],[NUBE]])</f>
        <v>0</v>
      </c>
      <c r="O28" s="79" t="s">
        <v>31</v>
      </c>
      <c r="P28" s="114" t="s">
        <v>33</v>
      </c>
      <c r="Q28" s="78">
        <v>0.01</v>
      </c>
      <c r="R28" s="113">
        <v>0.99</v>
      </c>
      <c r="S28" s="113"/>
      <c r="T28" s="80">
        <f t="shared" si="3"/>
        <v>1</v>
      </c>
      <c r="U28" s="75" t="str">
        <f t="shared" si="4"/>
        <v>OK</v>
      </c>
    </row>
    <row r="29" spans="1:99" ht="31.5" x14ac:dyDescent="0.5">
      <c r="A29" s="64">
        <f t="shared" si="2"/>
        <v>10</v>
      </c>
      <c r="B29" s="111">
        <v>36489475</v>
      </c>
      <c r="C29" s="128" t="s">
        <v>99</v>
      </c>
      <c r="D29" s="103">
        <v>1</v>
      </c>
      <c r="E29" s="48">
        <f>(Tabla3[[#This Row],[CANT]]*5000000)</f>
        <v>5000000</v>
      </c>
      <c r="F29" s="103">
        <v>1</v>
      </c>
      <c r="G29" s="48">
        <f>(Tabla3[[#This Row],[CANT2]]*10000000)</f>
        <v>10000000</v>
      </c>
      <c r="H29" s="103">
        <v>2</v>
      </c>
      <c r="I29" s="48"/>
      <c r="J29" s="49">
        <f>(Tabla3[[#This Row],[MONTO]]+Tabla3[[#This Row],[MONTO2]]+Tabla3[[#This Row],[MONTO3]])</f>
        <v>15000000</v>
      </c>
      <c r="K29" s="50">
        <f t="shared" si="0"/>
        <v>13500000</v>
      </c>
      <c r="L29" s="52">
        <f t="shared" si="1"/>
        <v>135000</v>
      </c>
      <c r="M29" s="52">
        <f>(Tabla3[[#This Row],[TOTAL -10%]]*Tabla3[[#This Row],[FIDUCIA]])</f>
        <v>0</v>
      </c>
      <c r="N29" s="52">
        <f>(Tabla3[[#This Row],[TOTAL -10%]]*Tabla3[[#This Row],[NUBE]])</f>
        <v>0</v>
      </c>
      <c r="O29" s="79" t="s">
        <v>31</v>
      </c>
      <c r="P29" s="114"/>
      <c r="Q29" s="78">
        <v>0.01</v>
      </c>
      <c r="R29" s="113"/>
      <c r="S29" s="113"/>
      <c r="T29" s="80">
        <f t="shared" si="3"/>
        <v>0.01</v>
      </c>
      <c r="U29" s="75" t="str">
        <f t="shared" si="4"/>
        <v>ERROR</v>
      </c>
    </row>
    <row r="30" spans="1:99" ht="31.5" x14ac:dyDescent="0.5">
      <c r="A30" s="64">
        <f t="shared" si="2"/>
        <v>11</v>
      </c>
      <c r="B30" s="111">
        <v>11806832</v>
      </c>
      <c r="C30" s="128" t="s">
        <v>105</v>
      </c>
      <c r="D30" s="103"/>
      <c r="E30" s="48"/>
      <c r="F30" s="103">
        <v>1</v>
      </c>
      <c r="G30" s="48">
        <f>(Tabla3[[#This Row],[CANT2]]*10000000)</f>
        <v>10000000</v>
      </c>
      <c r="H30" s="103"/>
      <c r="I30" s="48"/>
      <c r="J30" s="49">
        <f>(Tabla3[[#This Row],[MONTO]]+Tabla3[[#This Row],[MONTO2]]+Tabla3[[#This Row],[MONTO3]])</f>
        <v>10000000</v>
      </c>
      <c r="K30" s="50">
        <f t="shared" si="0"/>
        <v>9000000</v>
      </c>
      <c r="L30" s="52">
        <f t="shared" si="1"/>
        <v>90000</v>
      </c>
      <c r="M30" s="52">
        <f>(Tabla3[[#This Row],[TOTAL -10%]]*Tabla3[[#This Row],[FIDUCIA]])</f>
        <v>0</v>
      </c>
      <c r="N30" s="52">
        <f>(Tabla3[[#This Row],[TOTAL -10%]]*Tabla3[[#This Row],[NUBE]])</f>
        <v>0</v>
      </c>
      <c r="O30" s="79" t="s">
        <v>31</v>
      </c>
      <c r="P30" s="114"/>
      <c r="Q30" s="78">
        <v>0.01</v>
      </c>
      <c r="R30" s="113"/>
      <c r="S30" s="113"/>
      <c r="T30" s="80">
        <f t="shared" si="3"/>
        <v>0.01</v>
      </c>
      <c r="U30" s="75" t="str">
        <f t="shared" si="4"/>
        <v>ERROR</v>
      </c>
    </row>
    <row r="31" spans="1:99" ht="31.5" x14ac:dyDescent="0.5">
      <c r="A31" s="64">
        <f t="shared" si="2"/>
        <v>12</v>
      </c>
      <c r="B31" s="111">
        <v>5822467</v>
      </c>
      <c r="C31" s="128" t="s">
        <v>113</v>
      </c>
      <c r="D31" s="103">
        <v>1</v>
      </c>
      <c r="E31" s="48">
        <f>(Tabla3[[#This Row],[CANT]]*5000000)</f>
        <v>5000000</v>
      </c>
      <c r="F31" s="103">
        <v>1</v>
      </c>
      <c r="G31" s="48">
        <f>(Tabla3[[#This Row],[CANT2]]*10000000)</f>
        <v>10000000</v>
      </c>
      <c r="H31" s="103">
        <v>1</v>
      </c>
      <c r="I31" s="48">
        <f>(Tabla3[[#This Row],[CANT3]]*7500000)</f>
        <v>7500000</v>
      </c>
      <c r="J31" s="49">
        <f>(Tabla3[[#This Row],[MONTO]]+Tabla3[[#This Row],[MONTO2]]+Tabla3[[#This Row],[MONTO3]])</f>
        <v>22500000</v>
      </c>
      <c r="K31" s="50">
        <f t="shared" si="0"/>
        <v>20250000</v>
      </c>
      <c r="L31" s="52">
        <f t="shared" si="1"/>
        <v>202500</v>
      </c>
      <c r="M31" s="52">
        <f>(Tabla3[[#This Row],[TOTAL -10%]]*Tabla3[[#This Row],[FIDUCIA]])</f>
        <v>0</v>
      </c>
      <c r="N31" s="52">
        <f>(Tabla3[[#This Row],[TOTAL -10%]]*Tabla3[[#This Row],[NUBE]])</f>
        <v>0</v>
      </c>
      <c r="O31" s="79" t="s">
        <v>31</v>
      </c>
      <c r="P31" s="114"/>
      <c r="Q31" s="78">
        <v>0.01</v>
      </c>
      <c r="R31" s="113"/>
      <c r="S31" s="113"/>
      <c r="T31" s="80">
        <f t="shared" si="3"/>
        <v>0.01</v>
      </c>
      <c r="U31" s="75" t="str">
        <f t="shared" si="4"/>
        <v>ERROR</v>
      </c>
    </row>
    <row r="32" spans="1:99" ht="31.5" x14ac:dyDescent="0.5">
      <c r="A32" s="64">
        <f t="shared" si="2"/>
        <v>13</v>
      </c>
      <c r="B32" s="111">
        <v>1007218151</v>
      </c>
      <c r="C32" s="128" t="s">
        <v>119</v>
      </c>
      <c r="D32" s="103">
        <v>2</v>
      </c>
      <c r="E32" s="48">
        <f>(Tabla3[[#This Row],[CANT]]*5000000)</f>
        <v>10000000</v>
      </c>
      <c r="F32" s="103">
        <v>3</v>
      </c>
      <c r="G32" s="48">
        <f>(Tabla3[[#This Row],[CANT2]]*10000000)</f>
        <v>30000000</v>
      </c>
      <c r="H32" s="103">
        <v>2</v>
      </c>
      <c r="I32" s="48">
        <f>(Tabla3[[#This Row],[CANT3]]*7500000)</f>
        <v>15000000</v>
      </c>
      <c r="J32" s="49">
        <f>(Tabla3[[#This Row],[MONTO]]+Tabla3[[#This Row],[MONTO2]]+Tabla3[[#This Row],[MONTO3]])</f>
        <v>55000000</v>
      </c>
      <c r="K32" s="62">
        <f t="shared" ref="K32:K34" si="5">J32-(J32*10%)</f>
        <v>49500000</v>
      </c>
      <c r="L32" s="52">
        <f t="shared" ref="L32:L34" si="6">(K32*1%)</f>
        <v>495000</v>
      </c>
      <c r="M32" s="52">
        <f>(Tabla3[[#This Row],[TOTAL -10%]]*Tabla3[[#This Row],[FIDUCIA]])</f>
        <v>49005000</v>
      </c>
      <c r="N32" s="52">
        <f>(Tabla3[[#This Row],[TOTAL -10%]]*Tabla3[[#This Row],[NUBE]])</f>
        <v>0</v>
      </c>
      <c r="O32" s="79" t="s">
        <v>31</v>
      </c>
      <c r="P32" s="114" t="s">
        <v>33</v>
      </c>
      <c r="Q32" s="78">
        <v>0.01</v>
      </c>
      <c r="R32" s="113">
        <v>0.99</v>
      </c>
      <c r="S32" s="113"/>
      <c r="T32" s="80">
        <f t="shared" si="3"/>
        <v>1</v>
      </c>
      <c r="U32" s="75" t="str">
        <f t="shared" si="4"/>
        <v>OK</v>
      </c>
    </row>
    <row r="33" spans="1:21" ht="31.5" x14ac:dyDescent="0.5">
      <c r="A33" s="64">
        <f t="shared" si="2"/>
        <v>14</v>
      </c>
      <c r="B33" s="111">
        <v>52842631</v>
      </c>
      <c r="C33" s="128" t="s">
        <v>125</v>
      </c>
      <c r="D33" s="103">
        <v>1</v>
      </c>
      <c r="E33" s="48">
        <f>(Tabla3[[#This Row],[CANT]]*5000000)</f>
        <v>5000000</v>
      </c>
      <c r="F33" s="103">
        <v>1</v>
      </c>
      <c r="G33" s="48">
        <f>(Tabla3[[#This Row],[CANT2]]*10000000)</f>
        <v>10000000</v>
      </c>
      <c r="H33" s="103">
        <v>2</v>
      </c>
      <c r="I33" s="48">
        <f>(Tabla3[[#This Row],[CANT3]]*7500000)</f>
        <v>15000000</v>
      </c>
      <c r="J33" s="49">
        <f>(Tabla3[[#This Row],[MONTO]]+Tabla3[[#This Row],[MONTO2]]+Tabla3[[#This Row],[MONTO3]])</f>
        <v>30000000</v>
      </c>
      <c r="K33" s="62">
        <f t="shared" si="5"/>
        <v>27000000</v>
      </c>
      <c r="L33" s="52">
        <f t="shared" si="6"/>
        <v>270000</v>
      </c>
      <c r="M33" s="52">
        <f>(Tabla3[[#This Row],[TOTAL -10%]]*Tabla3[[#This Row],[FIDUCIA]])</f>
        <v>0</v>
      </c>
      <c r="N33" s="52">
        <f>(Tabla3[[#This Row],[TOTAL -10%]]*Tabla3[[#This Row],[NUBE]])</f>
        <v>0</v>
      </c>
      <c r="O33" s="79" t="s">
        <v>31</v>
      </c>
      <c r="P33" s="114"/>
      <c r="Q33" s="78">
        <v>0.01</v>
      </c>
      <c r="R33" s="113"/>
      <c r="S33" s="113"/>
      <c r="T33" s="80">
        <f t="shared" si="3"/>
        <v>0.01</v>
      </c>
      <c r="U33" s="75" t="str">
        <f t="shared" si="4"/>
        <v>ERROR</v>
      </c>
    </row>
    <row r="34" spans="1:21" ht="31.5" x14ac:dyDescent="0.5">
      <c r="A34" s="64">
        <f t="shared" si="2"/>
        <v>15</v>
      </c>
      <c r="B34" s="111">
        <v>12565504</v>
      </c>
      <c r="C34" s="128" t="s">
        <v>130</v>
      </c>
      <c r="D34" s="112">
        <v>2</v>
      </c>
      <c r="E34" s="48">
        <f>(Tabla3[[#This Row],[CANT]]*5000000)</f>
        <v>10000000</v>
      </c>
      <c r="F34" s="112">
        <v>1</v>
      </c>
      <c r="G34" s="48">
        <f>(Tabla3[[#This Row],[CANT2]]*10000000)</f>
        <v>10000000</v>
      </c>
      <c r="H34" s="112"/>
      <c r="I34" s="48"/>
      <c r="J34" s="49">
        <f>(Tabla3[[#This Row],[MONTO]]+Tabla3[[#This Row],[MONTO2]]+Tabla3[[#This Row],[MONTO3]])</f>
        <v>20000000</v>
      </c>
      <c r="K34" s="62">
        <f t="shared" si="5"/>
        <v>18000000</v>
      </c>
      <c r="L34" s="52">
        <f t="shared" si="6"/>
        <v>180000</v>
      </c>
      <c r="M34" s="52">
        <f>(Tabla3[[#This Row],[TOTAL -10%]]*Tabla3[[#This Row],[FIDUCIA]])</f>
        <v>0</v>
      </c>
      <c r="N34" s="52">
        <f>(Tabla3[[#This Row],[TOTAL -10%]]*Tabla3[[#This Row],[NUBE]])</f>
        <v>0</v>
      </c>
      <c r="O34" s="79" t="s">
        <v>31</v>
      </c>
      <c r="P34" s="114"/>
      <c r="Q34" s="78">
        <v>0.01</v>
      </c>
      <c r="R34" s="113"/>
      <c r="S34" s="113"/>
      <c r="T34" s="80">
        <f t="shared" si="3"/>
        <v>0.01</v>
      </c>
      <c r="U34" s="75" t="str">
        <f t="shared" si="4"/>
        <v>ERROR</v>
      </c>
    </row>
    <row r="35" spans="1:21" ht="31.5" x14ac:dyDescent="0.5">
      <c r="A35" s="64">
        <f t="shared" si="2"/>
        <v>16</v>
      </c>
      <c r="B35" s="122">
        <v>55301171</v>
      </c>
      <c r="C35" s="129" t="s">
        <v>169</v>
      </c>
      <c r="D35" s="123">
        <v>2</v>
      </c>
      <c r="E35" s="48">
        <f>(Tabla3[[#This Row],[CANT]]*5000000)</f>
        <v>10000000</v>
      </c>
      <c r="F35" s="123"/>
      <c r="G35" s="48"/>
      <c r="H35" s="123"/>
      <c r="I35" s="48"/>
      <c r="J35" s="49">
        <f>(Tabla3[[#This Row],[MONTO]]+Tabla3[[#This Row],[MONTO2]]+Tabla3[[#This Row],[MONTO3]])</f>
        <v>10000000</v>
      </c>
      <c r="K35" s="62">
        <f t="shared" ref="K35:K40" si="7">J35-(J35*10%)</f>
        <v>9000000</v>
      </c>
      <c r="L35" s="52">
        <f t="shared" ref="L35:L40" si="8">(K35*1%)</f>
        <v>90000</v>
      </c>
      <c r="M35" s="52">
        <f>(Tabla3[[#This Row],[TOTAL -10%]]*Tabla3[[#This Row],[FIDUCIA]])</f>
        <v>8910000</v>
      </c>
      <c r="N35" s="52">
        <f>(Tabla3[[#This Row],[TOTAL -10%]]*Tabla3[[#This Row],[NUBE]])</f>
        <v>0</v>
      </c>
      <c r="O35" s="79" t="s">
        <v>31</v>
      </c>
      <c r="P35" s="114" t="s">
        <v>33</v>
      </c>
      <c r="Q35" s="78">
        <v>0.01</v>
      </c>
      <c r="R35" s="113">
        <v>0.99</v>
      </c>
      <c r="S35" s="125"/>
      <c r="T35" s="126">
        <f t="shared" ref="T35:T40" si="9">SUM(Q35:S35)</f>
        <v>1</v>
      </c>
      <c r="U35" s="75" t="str">
        <f t="shared" si="4"/>
        <v>OK</v>
      </c>
    </row>
    <row r="36" spans="1:21" ht="31.5" x14ac:dyDescent="0.5">
      <c r="A36" s="64">
        <f t="shared" si="2"/>
        <v>17</v>
      </c>
      <c r="B36" s="122">
        <v>49744118</v>
      </c>
      <c r="C36" s="129" t="s">
        <v>137</v>
      </c>
      <c r="D36" s="123">
        <v>2</v>
      </c>
      <c r="E36" s="48">
        <f>(Tabla3[[#This Row],[CANT]]*5000000)</f>
        <v>10000000</v>
      </c>
      <c r="F36" s="123">
        <v>1</v>
      </c>
      <c r="G36" s="48">
        <f>(Tabla3[[#This Row],[CANT2]]*10000000)</f>
        <v>10000000</v>
      </c>
      <c r="H36" s="123"/>
      <c r="I36" s="48"/>
      <c r="J36" s="49">
        <f>(Tabla3[[#This Row],[MONTO]]+Tabla3[[#This Row],[MONTO2]]+Tabla3[[#This Row],[MONTO3]])</f>
        <v>20000000</v>
      </c>
      <c r="K36" s="62">
        <f t="shared" si="7"/>
        <v>18000000</v>
      </c>
      <c r="L36" s="52">
        <f t="shared" si="8"/>
        <v>180000</v>
      </c>
      <c r="M36" s="124">
        <f>(Tabla3[[#This Row],[TOTAL -10%]]*Tabla3[[#This Row],[FIDUCIA]])</f>
        <v>0</v>
      </c>
      <c r="N36" s="52">
        <f>(Tabla3[[#This Row],[TOTAL -10%]]*Tabla3[[#This Row],[NUBE]])</f>
        <v>0</v>
      </c>
      <c r="O36" s="79" t="s">
        <v>31</v>
      </c>
      <c r="P36" s="114"/>
      <c r="Q36" s="78">
        <v>0.01</v>
      </c>
      <c r="R36" s="125"/>
      <c r="S36" s="125"/>
      <c r="T36" s="126">
        <f t="shared" si="9"/>
        <v>0.01</v>
      </c>
      <c r="U36" s="75" t="str">
        <f t="shared" si="4"/>
        <v>ERROR</v>
      </c>
    </row>
    <row r="37" spans="1:21" ht="31.5" x14ac:dyDescent="0.5">
      <c r="A37" s="64">
        <f t="shared" si="2"/>
        <v>18</v>
      </c>
      <c r="B37" s="122">
        <v>12584024</v>
      </c>
      <c r="C37" s="129" t="s">
        <v>142</v>
      </c>
      <c r="D37" s="123">
        <v>2</v>
      </c>
      <c r="E37" s="48">
        <f>(Tabla3[[#This Row],[CANT]]*5000000)</f>
        <v>10000000</v>
      </c>
      <c r="F37" s="123">
        <v>1</v>
      </c>
      <c r="G37" s="48">
        <f>(Tabla3[[#This Row],[CANT2]]*10000000)</f>
        <v>10000000</v>
      </c>
      <c r="H37" s="123"/>
      <c r="I37" s="48"/>
      <c r="J37" s="49">
        <f>(Tabla3[[#This Row],[MONTO]]+Tabla3[[#This Row],[MONTO2]]+Tabla3[[#This Row],[MONTO3]])</f>
        <v>20000000</v>
      </c>
      <c r="K37" s="62">
        <f t="shared" si="7"/>
        <v>18000000</v>
      </c>
      <c r="L37" s="52">
        <f t="shared" si="8"/>
        <v>180000</v>
      </c>
      <c r="M37" s="124">
        <f>(Tabla3[[#This Row],[TOTAL -10%]]*Tabla3[[#This Row],[FIDUCIA]])</f>
        <v>0</v>
      </c>
      <c r="N37" s="52">
        <f>(Tabla3[[#This Row],[TOTAL -10%]]*Tabla3[[#This Row],[NUBE]])</f>
        <v>0</v>
      </c>
      <c r="O37" s="79" t="s">
        <v>31</v>
      </c>
      <c r="P37" s="114"/>
      <c r="Q37" s="78">
        <v>0.01</v>
      </c>
      <c r="R37" s="125"/>
      <c r="S37" s="125"/>
      <c r="T37" s="126">
        <f t="shared" si="9"/>
        <v>0.01</v>
      </c>
      <c r="U37" s="75" t="str">
        <f t="shared" si="4"/>
        <v>ERROR</v>
      </c>
    </row>
    <row r="38" spans="1:21" ht="31.5" x14ac:dyDescent="0.5">
      <c r="A38" s="64">
        <f t="shared" si="2"/>
        <v>19</v>
      </c>
      <c r="B38" s="122">
        <v>49736536</v>
      </c>
      <c r="C38" s="129" t="s">
        <v>147</v>
      </c>
      <c r="D38" s="123">
        <v>3</v>
      </c>
      <c r="E38" s="48">
        <f>(Tabla3[[#This Row],[CANT]]*5000000)</f>
        <v>15000000</v>
      </c>
      <c r="F38" s="123"/>
      <c r="G38" s="48"/>
      <c r="H38" s="123">
        <v>8</v>
      </c>
      <c r="I38" s="48">
        <f>(Tabla3[[#This Row],[CANT3]]*7500000)</f>
        <v>60000000</v>
      </c>
      <c r="J38" s="49">
        <f>(Tabla3[[#This Row],[MONTO]]+Tabla3[[#This Row],[MONTO2]]+Tabla3[[#This Row],[MONTO3]])</f>
        <v>75000000</v>
      </c>
      <c r="K38" s="62">
        <f t="shared" si="7"/>
        <v>67500000</v>
      </c>
      <c r="L38" s="52">
        <f t="shared" si="8"/>
        <v>675000</v>
      </c>
      <c r="M38" s="124">
        <f>(Tabla3[[#This Row],[TOTAL -10%]]*Tabla3[[#This Row],[FIDUCIA]])</f>
        <v>0</v>
      </c>
      <c r="N38" s="52">
        <f>(Tabla3[[#This Row],[TOTAL -10%]]*Tabla3[[#This Row],[NUBE]])</f>
        <v>0</v>
      </c>
      <c r="O38" s="79" t="s">
        <v>31</v>
      </c>
      <c r="P38" s="114"/>
      <c r="Q38" s="78">
        <v>0.01</v>
      </c>
      <c r="R38" s="125"/>
      <c r="S38" s="125"/>
      <c r="T38" s="126">
        <f t="shared" si="9"/>
        <v>0.01</v>
      </c>
      <c r="U38" s="75" t="str">
        <f t="shared" si="4"/>
        <v>ERROR</v>
      </c>
    </row>
    <row r="39" spans="1:21" ht="31.5" x14ac:dyDescent="0.5">
      <c r="A39" s="64">
        <f t="shared" si="2"/>
        <v>20</v>
      </c>
      <c r="B39" s="122">
        <v>1128442528</v>
      </c>
      <c r="C39" s="129" t="s">
        <v>154</v>
      </c>
      <c r="D39" s="123">
        <v>1</v>
      </c>
      <c r="E39" s="48">
        <f>(Tabla3[[#This Row],[CANT]]*5000000)</f>
        <v>5000000</v>
      </c>
      <c r="F39" s="123">
        <v>1</v>
      </c>
      <c r="G39" s="48">
        <f>(Tabla3[[#This Row],[CANT2]]*10000000)</f>
        <v>10000000</v>
      </c>
      <c r="H39" s="123">
        <v>1</v>
      </c>
      <c r="I39" s="48">
        <f>(Tabla3[[#This Row],[CANT3]]*7500000)</f>
        <v>7500000</v>
      </c>
      <c r="J39" s="49">
        <f>(Tabla3[[#This Row],[MONTO]]+Tabla3[[#This Row],[MONTO2]]+Tabla3[[#This Row],[MONTO3]])</f>
        <v>22500000</v>
      </c>
      <c r="K39" s="62">
        <f t="shared" si="7"/>
        <v>20250000</v>
      </c>
      <c r="L39" s="52">
        <f t="shared" si="8"/>
        <v>202500</v>
      </c>
      <c r="M39" s="124">
        <f>(Tabla3[[#This Row],[TOTAL -10%]]*Tabla3[[#This Row],[FIDUCIA]])</f>
        <v>20047500</v>
      </c>
      <c r="N39" s="52">
        <f>(Tabla3[[#This Row],[TOTAL -10%]]*Tabla3[[#This Row],[NUBE]])</f>
        <v>0</v>
      </c>
      <c r="O39" s="79" t="s">
        <v>31</v>
      </c>
      <c r="P39" s="114" t="s">
        <v>33</v>
      </c>
      <c r="Q39" s="78">
        <v>0.01</v>
      </c>
      <c r="R39" s="113">
        <v>0.99</v>
      </c>
      <c r="S39" s="125"/>
      <c r="T39" s="126">
        <f t="shared" si="9"/>
        <v>1</v>
      </c>
      <c r="U39" s="75" t="str">
        <f t="shared" si="4"/>
        <v>OK</v>
      </c>
    </row>
    <row r="40" spans="1:21" ht="31.5" x14ac:dyDescent="0.5">
      <c r="A40" s="64">
        <f t="shared" si="2"/>
        <v>21</v>
      </c>
      <c r="B40" s="122">
        <v>5013580</v>
      </c>
      <c r="C40" s="129" t="s">
        <v>159</v>
      </c>
      <c r="D40" s="123">
        <v>1</v>
      </c>
      <c r="E40" s="48">
        <f>(Tabla3[[#This Row],[CANT]]*5000000)</f>
        <v>5000000</v>
      </c>
      <c r="F40" s="123">
        <v>1</v>
      </c>
      <c r="G40" s="48">
        <f>(Tabla3[[#This Row],[CANT2]]*10000000)</f>
        <v>10000000</v>
      </c>
      <c r="H40" s="123">
        <v>1</v>
      </c>
      <c r="I40" s="48">
        <f>(Tabla3[[#This Row],[CANT3]]*7500000)</f>
        <v>7500000</v>
      </c>
      <c r="J40" s="49">
        <f>(Tabla3[[#This Row],[MONTO]]+Tabla3[[#This Row],[MONTO2]]+Tabla3[[#This Row],[MONTO3]])</f>
        <v>22500000</v>
      </c>
      <c r="K40" s="62">
        <f t="shared" si="7"/>
        <v>20250000</v>
      </c>
      <c r="L40" s="52">
        <f t="shared" si="8"/>
        <v>202500</v>
      </c>
      <c r="M40" s="124">
        <f>(Tabla3[[#This Row],[TOTAL -10%]]*Tabla3[[#This Row],[FIDUCIA]])</f>
        <v>20047500</v>
      </c>
      <c r="N40" s="52">
        <f>(Tabla3[[#This Row],[TOTAL -10%]]*Tabla3[[#This Row],[NUBE]])</f>
        <v>0</v>
      </c>
      <c r="O40" s="79" t="s">
        <v>31</v>
      </c>
      <c r="P40" s="114" t="s">
        <v>33</v>
      </c>
      <c r="Q40" s="78">
        <v>0.01</v>
      </c>
      <c r="R40" s="113">
        <v>0.99</v>
      </c>
      <c r="S40" s="125"/>
      <c r="T40" s="126">
        <f t="shared" si="9"/>
        <v>1</v>
      </c>
      <c r="U40" s="75" t="str">
        <f t="shared" si="4"/>
        <v>OK</v>
      </c>
    </row>
    <row r="41" spans="1:21" x14ac:dyDescent="0.25">
      <c r="P41" s="10"/>
    </row>
    <row r="42" spans="1:21" x14ac:dyDescent="0.25">
      <c r="P42" s="10"/>
    </row>
    <row r="43" spans="1:21" x14ac:dyDescent="0.25">
      <c r="P43" s="10"/>
    </row>
    <row r="44" spans="1:21" x14ac:dyDescent="0.25">
      <c r="P44" s="10"/>
    </row>
    <row r="45" spans="1:21" x14ac:dyDescent="0.25">
      <c r="P45" s="10"/>
    </row>
    <row r="46" spans="1:21" x14ac:dyDescent="0.25">
      <c r="P46" s="10"/>
    </row>
    <row r="47" spans="1:21" x14ac:dyDescent="0.25">
      <c r="P47" s="10"/>
    </row>
    <row r="48" spans="1:21" x14ac:dyDescent="0.25">
      <c r="P48" s="10"/>
    </row>
    <row r="49" spans="16:16" x14ac:dyDescent="0.25">
      <c r="P49" s="10"/>
    </row>
    <row r="50" spans="16:16" x14ac:dyDescent="0.25">
      <c r="P50" s="10"/>
    </row>
    <row r="51" spans="16:16" x14ac:dyDescent="0.25">
      <c r="P51" s="10"/>
    </row>
    <row r="52" spans="16:16" x14ac:dyDescent="0.25">
      <c r="P52" s="10"/>
    </row>
    <row r="53" spans="16:16" x14ac:dyDescent="0.25">
      <c r="P53" s="10"/>
    </row>
    <row r="54" spans="16:16" x14ac:dyDescent="0.25">
      <c r="P54" s="10"/>
    </row>
    <row r="55" spans="16:16" x14ac:dyDescent="0.25">
      <c r="P55" s="10"/>
    </row>
    <row r="56" spans="16:16" x14ac:dyDescent="0.25">
      <c r="P56" s="10"/>
    </row>
    <row r="57" spans="16:16" x14ac:dyDescent="0.25">
      <c r="P57" s="10"/>
    </row>
    <row r="58" spans="16:16" x14ac:dyDescent="0.25">
      <c r="P58" s="10"/>
    </row>
    <row r="59" spans="16:16" x14ac:dyDescent="0.25">
      <c r="P59" s="10"/>
    </row>
  </sheetData>
  <mergeCells count="5">
    <mergeCell ref="Q18:S18"/>
    <mergeCell ref="D16:F16"/>
    <mergeCell ref="D18:E18"/>
    <mergeCell ref="F18:G18"/>
    <mergeCell ref="H18:I18"/>
  </mergeCells>
  <phoneticPr fontId="59" type="noConversion"/>
  <conditionalFormatting sqref="B18:B19 B41:B189">
    <cfRule type="containsText" dxfId="16" priority="214" operator="containsText" text="PENDIENTE">
      <formula>NOT(ISERROR(SEARCH("PENDIENTE",B18)))</formula>
    </cfRule>
    <cfRule type="containsText" dxfId="15" priority="217" operator="containsText" text="PENDIENTE">
      <formula>NOT(ISERROR(SEARCH("PENDIENTE",B18)))</formula>
    </cfRule>
  </conditionalFormatting>
  <conditionalFormatting sqref="B20:B40">
    <cfRule type="containsText" dxfId="14" priority="1" operator="containsText" text="PENDIENTE">
      <formula>NOT(ISERROR(SEARCH("PENDIENTE",B20)))</formula>
    </cfRule>
  </conditionalFormatting>
  <conditionalFormatting sqref="C20">
    <cfRule type="duplicateValues" dxfId="13" priority="2"/>
  </conditionalFormatting>
  <conditionalFormatting sqref="C21:C40">
    <cfRule type="duplicateValues" dxfId="12" priority="3"/>
  </conditionalFormatting>
  <conditionalFormatting sqref="P16:P17 S35:T35 R36:T38 S39:T40">
    <cfRule type="containsText" dxfId="11" priority="457" operator="containsText" text="SI APLICA">
      <formula>NOT(ISERROR(SEARCH("SI APLICA",P16)))</formula>
    </cfRule>
  </conditionalFormatting>
  <conditionalFormatting sqref="Q20:S40">
    <cfRule type="containsText" dxfId="10" priority="434" operator="containsText" text="NO APLICA">
      <formula>NOT(ISERROR(SEARCH("NO APLICA",Q20)))</formula>
    </cfRule>
    <cfRule type="containsText" dxfId="9" priority="435" operator="containsText" text="SI APLICA">
      <formula>NOT(ISERROR(SEARCH("SI APLICA",Q20)))</formula>
    </cfRule>
  </conditionalFormatting>
  <conditionalFormatting sqref="S16:S17">
    <cfRule type="containsText" dxfId="8" priority="454" operator="containsText" text="NO APLICA">
      <formula>NOT(ISERROR(SEARCH("NO APLICA",S16)))</formula>
    </cfRule>
    <cfRule type="containsText" dxfId="7" priority="455" operator="containsText" text="SI APLICA">
      <formula>NOT(ISERROR(SEARCH("SI APLICA",S16)))</formula>
    </cfRule>
  </conditionalFormatting>
  <conditionalFormatting sqref="S35:T35 R36:T38 S39:T40 P16:P17">
    <cfRule type="containsText" dxfId="6" priority="456" operator="containsText" text="NO APLICA">
      <formula>NOT(ISERROR(SEARCH("NO APLICA",P16)))</formula>
    </cfRule>
  </conditionalFormatting>
  <conditionalFormatting sqref="T16:T17">
    <cfRule type="containsText" dxfId="5" priority="450" operator="containsText" text="ERROR">
      <formula>NOT(ISERROR(SEARCH("ERROR",T16)))</formula>
    </cfRule>
    <cfRule type="containsText" dxfId="4" priority="451" operator="containsText" text="ERROR">
      <formula>NOT(ISERROR(SEARCH("ERROR",T16)))</formula>
    </cfRule>
  </conditionalFormatting>
  <conditionalFormatting sqref="T18:T34">
    <cfRule type="containsText" dxfId="3" priority="440" operator="containsText" text="NO APLICA">
      <formula>NOT(ISERROR(SEARCH("NO APLICA",T18)))</formula>
    </cfRule>
    <cfRule type="containsText" dxfId="2" priority="441" operator="containsText" text="SI APLICA">
      <formula>NOT(ISERROR(SEARCH("SI APLICA",T18)))</formula>
    </cfRule>
  </conditionalFormatting>
  <conditionalFormatting sqref="U18:U40">
    <cfRule type="containsText" dxfId="1" priority="436" operator="containsText" text="ERROR">
      <formula>NOT(ISERROR(SEARCH("ERROR",U18)))</formula>
    </cfRule>
    <cfRule type="containsText" dxfId="0" priority="437" operator="containsText" text="ERROR">
      <formula>NOT(ISERROR(SEARCH("ERROR",U18)))</formula>
    </cfRule>
  </conditionalFormatting>
  <dataValidations count="2">
    <dataValidation type="list" allowBlank="1" showInputMessage="1" showErrorMessage="1" sqref="P20:P40" xr:uid="{7F6ADCEB-924F-41E6-A19F-40129A6BAA3D}">
      <formula1>"FIDUCIA/NUBE, FIDUCIA, NUBE"</formula1>
    </dataValidation>
    <dataValidation type="list" allowBlank="1" showInputMessage="1" showErrorMessage="1" sqref="O20:O40" xr:uid="{D8F9D9F6-1A76-4FEF-96A6-1B5EE97DDCA1}">
      <formula1>$O$3:$O$4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/>
  <dimension ref="A1:R31"/>
  <sheetViews>
    <sheetView showGridLines="0" zoomScale="70" zoomScaleNormal="70" workbookViewId="0">
      <selection activeCell="M26" sqref="M26"/>
    </sheetView>
  </sheetViews>
  <sheetFormatPr baseColWidth="10" defaultRowHeight="12.75" x14ac:dyDescent="0.2"/>
  <cols>
    <col min="3" max="3" width="3.85546875" customWidth="1"/>
    <col min="4" max="4" width="3.5703125" customWidth="1"/>
    <col min="5" max="5" width="35.7109375" bestFit="1" customWidth="1"/>
    <col min="6" max="6" width="17" customWidth="1"/>
    <col min="7" max="7" width="63.28515625" customWidth="1"/>
    <col min="8" max="8" width="2.42578125" customWidth="1"/>
    <col min="9" max="9" width="36.5703125" customWidth="1"/>
    <col min="10" max="10" width="3" customWidth="1"/>
    <col min="11" max="11" width="6" customWidth="1"/>
    <col min="12" max="12" width="14" bestFit="1" customWidth="1"/>
    <col min="13" max="14" width="14" customWidth="1"/>
    <col min="15" max="15" width="19.7109375" customWidth="1"/>
    <col min="16" max="16" width="22" customWidth="1"/>
    <col min="17" max="17" width="19.5703125" customWidth="1"/>
    <col min="18" max="18" width="12.140625" customWidth="1"/>
    <col min="19" max="19" width="11.28515625" customWidth="1"/>
  </cols>
  <sheetData>
    <row r="1" spans="1:18" ht="93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47" t="s">
        <v>8</v>
      </c>
      <c r="P3" s="147"/>
    </row>
    <row r="4" spans="1:18" ht="21" x14ac:dyDescent="0.35">
      <c r="A4" s="25"/>
      <c r="B4" s="25"/>
      <c r="C4" s="25"/>
      <c r="D4" s="5"/>
      <c r="E4" s="5"/>
      <c r="F4" s="5"/>
      <c r="G4" s="5"/>
      <c r="H4" s="5"/>
      <c r="I4" s="5"/>
      <c r="J4" s="5"/>
      <c r="K4" s="5"/>
      <c r="L4" s="25"/>
      <c r="M4" s="25"/>
      <c r="N4" s="25"/>
      <c r="O4" s="146">
        <f ca="1">TODAY()</f>
        <v>46289</v>
      </c>
      <c r="P4" s="146"/>
    </row>
    <row r="5" spans="1:18" ht="34.5" customHeight="1" thickBot="1" x14ac:dyDescent="0.3">
      <c r="A5" s="25"/>
      <c r="B5" s="25"/>
      <c r="C5" s="25"/>
      <c r="D5" s="5"/>
      <c r="E5" s="26" t="s">
        <v>15</v>
      </c>
      <c r="F5" s="148" t="str">
        <f>('MATRIZ LISTADO'!D16)</f>
        <v>ROSE MARY GUERRA</v>
      </c>
      <c r="G5" s="148"/>
      <c r="H5" s="148"/>
      <c r="I5" s="5"/>
      <c r="J5" s="5"/>
      <c r="K5" s="5"/>
      <c r="L5" s="2"/>
      <c r="M5" s="2"/>
      <c r="N5" s="2"/>
      <c r="O5" s="152" t="s">
        <v>59</v>
      </c>
      <c r="P5" s="152"/>
      <c r="Q5" s="96" t="s">
        <v>58</v>
      </c>
      <c r="R5" s="2"/>
    </row>
    <row r="6" spans="1:18" ht="27" thickBot="1" x14ac:dyDescent="0.35">
      <c r="A6" s="25"/>
      <c r="B6" s="25"/>
      <c r="C6" s="25"/>
      <c r="D6" s="5"/>
      <c r="E6" s="5"/>
      <c r="F6" s="5"/>
      <c r="G6" s="5"/>
      <c r="H6" s="5"/>
      <c r="I6" s="5"/>
      <c r="J6" s="5"/>
      <c r="K6" s="5"/>
      <c r="L6" s="3"/>
      <c r="M6" s="3"/>
      <c r="N6" s="3"/>
      <c r="O6" s="100">
        <v>3053.48</v>
      </c>
      <c r="P6" s="4"/>
      <c r="Q6" s="2"/>
      <c r="R6" s="2"/>
    </row>
    <row r="7" spans="1:18" ht="36" x14ac:dyDescent="0.55000000000000004">
      <c r="A7" s="25"/>
      <c r="B7" s="25"/>
      <c r="C7" s="25"/>
      <c r="D7" s="5"/>
      <c r="E7" s="22" t="s">
        <v>23</v>
      </c>
      <c r="F7" s="149" t="str">
        <f>IFERROR(VLOOKUP(F8,'MATRIZ LISTADO'!B19:C40,2,0),"")</f>
        <v>CITRE ORTIZ MEJIA</v>
      </c>
      <c r="G7" s="150"/>
      <c r="H7" s="150"/>
      <c r="I7" s="55"/>
      <c r="J7" s="55"/>
      <c r="K7" s="5"/>
      <c r="L7" s="153" t="str">
        <f>('RESUMEN INDIVIDUAL'!F7)</f>
        <v>CITRE ORTIZ MEJIA</v>
      </c>
      <c r="M7" s="153"/>
      <c r="N7" s="153"/>
      <c r="O7" s="153"/>
      <c r="P7" s="153"/>
      <c r="Q7" s="153"/>
      <c r="R7" s="2"/>
    </row>
    <row r="8" spans="1:18" ht="34.5" thickBot="1" x14ac:dyDescent="0.55000000000000004">
      <c r="A8" s="25"/>
      <c r="B8" s="25"/>
      <c r="C8" s="25"/>
      <c r="D8" s="5"/>
      <c r="E8" s="23" t="s">
        <v>24</v>
      </c>
      <c r="F8" s="151">
        <v>1065568642</v>
      </c>
      <c r="G8" s="151"/>
      <c r="H8" s="151"/>
      <c r="I8" s="17"/>
      <c r="J8" s="17"/>
      <c r="K8" s="5"/>
      <c r="L8" s="155" t="s">
        <v>61</v>
      </c>
      <c r="M8" s="155"/>
      <c r="N8" s="155"/>
      <c r="O8" s="155"/>
      <c r="P8" s="154" t="s">
        <v>13</v>
      </c>
      <c r="Q8" s="154"/>
      <c r="R8" s="154"/>
    </row>
    <row r="9" spans="1:18" ht="28.5" customHeight="1" x14ac:dyDescent="0.55000000000000004">
      <c r="A9" s="25"/>
      <c r="B9" s="25"/>
      <c r="C9" s="25"/>
      <c r="D9" s="5"/>
      <c r="E9" s="23"/>
      <c r="F9" s="36"/>
      <c r="G9" s="36"/>
      <c r="H9" s="17"/>
      <c r="I9" s="17"/>
      <c r="J9" s="17"/>
      <c r="K9" s="5"/>
      <c r="L9" s="157" t="s">
        <v>14</v>
      </c>
      <c r="M9" s="157"/>
      <c r="N9" s="157"/>
      <c r="O9" s="97">
        <v>-0.1</v>
      </c>
      <c r="P9" s="164">
        <f>(G20*O6)</f>
        <v>27481320000</v>
      </c>
      <c r="Q9" s="165"/>
      <c r="R9" s="166"/>
    </row>
    <row r="10" spans="1:18" ht="30" customHeight="1" x14ac:dyDescent="0.5">
      <c r="A10" s="25"/>
      <c r="B10" s="25"/>
      <c r="C10" s="25"/>
      <c r="D10" s="27"/>
      <c r="E10" s="15"/>
      <c r="F10" s="16"/>
      <c r="G10" s="16"/>
      <c r="H10" s="16"/>
      <c r="I10" s="16"/>
      <c r="J10" s="21"/>
      <c r="K10" s="5"/>
      <c r="L10" s="156">
        <v>0.01</v>
      </c>
      <c r="M10" s="156"/>
      <c r="N10" s="156"/>
      <c r="O10" s="98" t="s">
        <v>53</v>
      </c>
      <c r="P10" s="161">
        <f>(I14*O6)</f>
        <v>274813200</v>
      </c>
      <c r="Q10" s="162"/>
      <c r="R10" s="163"/>
    </row>
    <row r="11" spans="1:18" ht="33.75" x14ac:dyDescent="0.5">
      <c r="A11" s="25"/>
      <c r="B11" s="25"/>
      <c r="C11" s="25"/>
      <c r="D11" s="27"/>
      <c r="E11" s="15"/>
      <c r="F11" s="93" t="s">
        <v>25</v>
      </c>
      <c r="G11" s="93" t="s">
        <v>30</v>
      </c>
      <c r="H11" s="21"/>
      <c r="I11" s="87" t="s">
        <v>57</v>
      </c>
      <c r="J11" s="21"/>
      <c r="K11" s="5"/>
      <c r="L11" s="156">
        <f>IFERROR(VLOOKUP(F8,'MATRIZ LISTADO'!B19:T40,17,0),"")</f>
        <v>0.99</v>
      </c>
      <c r="M11" s="156"/>
      <c r="N11" s="156"/>
      <c r="O11" s="98" t="s">
        <v>33</v>
      </c>
      <c r="P11" s="161">
        <f>(I18*O6)</f>
        <v>27206506800</v>
      </c>
      <c r="Q11" s="162"/>
      <c r="R11" s="163"/>
    </row>
    <row r="12" spans="1:18" ht="34.5" thickBot="1" x14ac:dyDescent="0.55000000000000004">
      <c r="A12" s="25"/>
      <c r="B12" s="25"/>
      <c r="C12" s="25"/>
      <c r="D12" s="27"/>
      <c r="E12" s="33" t="s">
        <v>10</v>
      </c>
      <c r="F12" s="29">
        <f>IFERROR(VLOOKUP($F$8,Tabla3[[#All],[CC-ID-DNI]:[CANT]],3,0),"")</f>
        <v>2</v>
      </c>
      <c r="G12" s="30">
        <f>IFERROR(VLOOKUP($F$8,Tabla3[[#All],[CC-ID-DNI]:[1% PAGO INICIAL]],4,0),"")</f>
        <v>10000000</v>
      </c>
      <c r="H12" s="21"/>
      <c r="I12" s="94" t="s">
        <v>60</v>
      </c>
      <c r="J12" s="21"/>
      <c r="K12" s="5"/>
      <c r="L12" s="156">
        <f>IFERROR(VLOOKUP(F8,'MATRIZ LISTADO'!B19:T40,18,0),"")</f>
        <v>0</v>
      </c>
      <c r="M12" s="156"/>
      <c r="N12" s="156"/>
      <c r="O12" s="99" t="s">
        <v>34</v>
      </c>
      <c r="P12" s="158">
        <f>(I22*O6)</f>
        <v>0</v>
      </c>
      <c r="Q12" s="159"/>
      <c r="R12" s="160"/>
    </row>
    <row r="13" spans="1:18" ht="9.75" customHeight="1" thickBot="1" x14ac:dyDescent="0.3">
      <c r="A13" s="25"/>
      <c r="B13" s="25"/>
      <c r="C13" s="25"/>
      <c r="D13" s="27"/>
      <c r="E13" s="34"/>
      <c r="F13" s="28"/>
      <c r="G13" s="16"/>
      <c r="H13" s="21"/>
      <c r="I13" s="21"/>
      <c r="J13" s="21"/>
      <c r="K13" s="5"/>
      <c r="L13" s="25"/>
      <c r="M13" s="25"/>
      <c r="N13" s="25"/>
      <c r="O13" s="25"/>
    </row>
    <row r="14" spans="1:18" ht="34.5" thickBot="1" x14ac:dyDescent="0.55000000000000004">
      <c r="A14" s="25"/>
      <c r="B14" s="25"/>
      <c r="C14" s="25"/>
      <c r="D14" s="27"/>
      <c r="E14" s="33" t="s">
        <v>22</v>
      </c>
      <c r="F14" s="29">
        <f>IFERROR(VLOOKUP($F$8,Tabla3[[CC-ID-DNI]:[1% PAGO INICIAL]],5,0),"")</f>
        <v>0</v>
      </c>
      <c r="G14" s="30">
        <f>IFERROR(VLOOKUP($F$8,Tabla3[[#All],[CC-ID-DNI]:[1% PAGO INICIAL]],6,0),"")</f>
        <v>0</v>
      </c>
      <c r="H14" s="21"/>
      <c r="I14" s="81">
        <f>(G20*1%)</f>
        <v>90000</v>
      </c>
      <c r="J14" s="21"/>
      <c r="K14" s="5"/>
      <c r="L14" s="25"/>
      <c r="M14" s="25"/>
      <c r="N14" s="25"/>
      <c r="O14" s="25"/>
    </row>
    <row r="15" spans="1:18" ht="9.75" customHeight="1" x14ac:dyDescent="0.25">
      <c r="A15" s="25"/>
      <c r="B15" s="25"/>
      <c r="C15" s="25"/>
      <c r="D15" s="27"/>
      <c r="E15" s="34"/>
      <c r="F15" s="28"/>
      <c r="G15" s="16"/>
      <c r="H15" s="21"/>
      <c r="I15" s="16"/>
      <c r="J15" s="21"/>
      <c r="K15" s="5"/>
      <c r="L15" s="25"/>
      <c r="M15" s="25"/>
      <c r="N15" s="25"/>
      <c r="O15" s="25"/>
    </row>
    <row r="16" spans="1:18" ht="31.5" x14ac:dyDescent="0.5">
      <c r="A16" s="25"/>
      <c r="B16" s="25"/>
      <c r="C16" s="25"/>
      <c r="D16" s="27"/>
      <c r="E16" s="33" t="s">
        <v>11</v>
      </c>
      <c r="F16" s="29">
        <f>IFERROR(VLOOKUP($F$8,Tabla3[[CC-ID-DNI]:[1% PAGO INICIAL]],7,0),"")</f>
        <v>0</v>
      </c>
      <c r="G16" s="30">
        <f>IFERROR(VLOOKUP($F$8,Tabla3[[#All],[CC-ID-DNI]:[1% PAGO INICIAL]],8,0),"")</f>
        <v>0</v>
      </c>
      <c r="H16" s="21"/>
      <c r="I16" s="95" t="s">
        <v>33</v>
      </c>
      <c r="J16" s="21"/>
      <c r="K16" s="5"/>
      <c r="L16" s="25"/>
      <c r="M16" s="25"/>
      <c r="N16" s="25"/>
      <c r="O16" s="25"/>
    </row>
    <row r="17" spans="1:15" ht="9.75" customHeight="1" thickBot="1" x14ac:dyDescent="0.4">
      <c r="A17" s="25"/>
      <c r="B17" s="25"/>
      <c r="C17" s="25"/>
      <c r="D17" s="27"/>
      <c r="E17" s="34"/>
      <c r="F17" s="28"/>
      <c r="G17" s="16"/>
      <c r="H17" s="21"/>
      <c r="I17" s="31"/>
      <c r="J17" s="21"/>
      <c r="K17" s="5"/>
      <c r="L17" s="25"/>
      <c r="M17" s="25"/>
      <c r="N17" s="25"/>
      <c r="O17" s="25"/>
    </row>
    <row r="18" spans="1:15" ht="34.5" thickBot="1" x14ac:dyDescent="0.55000000000000004">
      <c r="A18" s="25"/>
      <c r="B18" s="25"/>
      <c r="C18" s="25"/>
      <c r="D18" s="27"/>
      <c r="E18" s="88" t="s">
        <v>9</v>
      </c>
      <c r="F18" s="65"/>
      <c r="G18" s="91" t="s">
        <v>18</v>
      </c>
      <c r="H18" s="21"/>
      <c r="I18" s="82">
        <f>IFERROR(VLOOKUP(F8,Tabla3[[#All],[CC-ID-DNI]:[% NUBE]],12,0),"")</f>
        <v>8910000</v>
      </c>
      <c r="J18" s="21"/>
      <c r="K18" s="5"/>
      <c r="L18" s="25"/>
      <c r="M18" s="25"/>
      <c r="N18" s="25"/>
      <c r="O18" s="25"/>
    </row>
    <row r="19" spans="1:15" ht="9.75" customHeight="1" x14ac:dyDescent="0.45">
      <c r="A19" s="25"/>
      <c r="B19" s="25"/>
      <c r="C19" s="25"/>
      <c r="D19" s="27"/>
      <c r="E19" s="21"/>
      <c r="F19" s="83"/>
      <c r="G19" s="89"/>
      <c r="H19" s="32"/>
      <c r="I19" s="27"/>
      <c r="J19" s="21"/>
      <c r="K19" s="5"/>
      <c r="L19" s="25"/>
      <c r="M19" s="25"/>
      <c r="N19" s="25"/>
      <c r="O19" s="25"/>
    </row>
    <row r="20" spans="1:15" ht="34.5" thickBot="1" x14ac:dyDescent="0.55000000000000004">
      <c r="A20" s="25"/>
      <c r="B20" s="25"/>
      <c r="C20" s="25"/>
      <c r="D20" s="27"/>
      <c r="E20" s="90">
        <f>SUM(G12:G16)</f>
        <v>10000000</v>
      </c>
      <c r="F20" s="65"/>
      <c r="G20" s="92">
        <f>E20-(E20*10%)</f>
        <v>9000000</v>
      </c>
      <c r="H20" s="16"/>
      <c r="I20" s="95" t="s">
        <v>34</v>
      </c>
      <c r="J20" s="21"/>
      <c r="K20" s="5"/>
      <c r="L20" s="25"/>
      <c r="M20" s="25"/>
      <c r="N20" s="25"/>
      <c r="O20" s="25"/>
    </row>
    <row r="21" spans="1:15" ht="9.75" customHeight="1" thickBot="1" x14ac:dyDescent="0.5">
      <c r="A21" s="25"/>
      <c r="B21" s="25"/>
      <c r="C21" s="25"/>
      <c r="D21" s="27"/>
      <c r="E21" s="117"/>
      <c r="F21" s="83"/>
      <c r="G21" s="27"/>
      <c r="H21" s="32"/>
      <c r="I21" s="31"/>
      <c r="J21" s="21"/>
      <c r="K21" s="5"/>
      <c r="L21" s="25"/>
      <c r="M21" s="25"/>
      <c r="N21" s="25"/>
      <c r="O21" s="25"/>
    </row>
    <row r="22" spans="1:15" ht="32.25" thickBot="1" x14ac:dyDescent="0.55000000000000004">
      <c r="A22" s="25"/>
      <c r="B22" s="25"/>
      <c r="C22" s="25"/>
      <c r="D22" s="27"/>
      <c r="E22" s="115"/>
      <c r="F22" s="65"/>
      <c r="G22" s="116"/>
      <c r="H22" s="16"/>
      <c r="I22" s="82">
        <f>IFERROR(VLOOKUP(F8,Tabla3[[#All],[CC-ID-DNI]:[% NUBE]],13,0),"")</f>
        <v>0</v>
      </c>
      <c r="J22" s="21"/>
      <c r="K22" s="5"/>
      <c r="L22" s="25"/>
      <c r="M22" s="25"/>
      <c r="N22" s="25"/>
      <c r="O22" s="25"/>
    </row>
    <row r="23" spans="1:15" ht="9.75" customHeight="1" x14ac:dyDescent="0.45">
      <c r="A23" s="25"/>
      <c r="B23" s="25"/>
      <c r="C23" s="25"/>
      <c r="D23" s="27"/>
      <c r="E23" s="117"/>
      <c r="F23" s="83"/>
      <c r="G23" s="27"/>
      <c r="H23" s="35"/>
      <c r="I23" s="21"/>
      <c r="J23" s="21"/>
      <c r="K23" s="5"/>
      <c r="L23" s="25"/>
      <c r="M23" s="25"/>
      <c r="N23" s="25"/>
      <c r="O23" s="25"/>
    </row>
    <row r="24" spans="1:15" ht="31.5" x14ac:dyDescent="0.5">
      <c r="A24" s="25"/>
      <c r="B24" s="25"/>
      <c r="C24" s="25"/>
      <c r="D24" s="118"/>
      <c r="E24" s="119"/>
      <c r="F24" s="120"/>
      <c r="G24" s="84"/>
      <c r="H24" s="118"/>
      <c r="I24" s="85"/>
      <c r="J24" s="121"/>
      <c r="K24" s="5"/>
      <c r="L24" s="25"/>
      <c r="M24" s="25"/>
      <c r="N24" s="25"/>
      <c r="O24" s="25"/>
    </row>
    <row r="25" spans="1:15" ht="9.75" customHeight="1" x14ac:dyDescent="0.25">
      <c r="A25" s="25"/>
      <c r="B25" s="25"/>
      <c r="C25" s="25"/>
      <c r="D25" s="118"/>
      <c r="E25" s="85"/>
      <c r="F25" s="85"/>
      <c r="G25" s="85"/>
      <c r="H25" s="118"/>
      <c r="I25" s="85"/>
      <c r="J25" s="121"/>
      <c r="K25" s="5"/>
      <c r="L25" s="25"/>
      <c r="M25" s="25"/>
      <c r="N25" s="25"/>
      <c r="O25" s="25"/>
    </row>
    <row r="26" spans="1:15" ht="35.25" customHeight="1" x14ac:dyDescent="0.25">
      <c r="A26" s="25"/>
      <c r="B26" s="25"/>
      <c r="C26" s="25"/>
      <c r="D26" s="118"/>
      <c r="E26" s="85"/>
      <c r="F26" s="85"/>
      <c r="G26" s="85"/>
      <c r="H26" s="86"/>
      <c r="I26" s="85"/>
      <c r="J26" s="86"/>
      <c r="K26" s="5"/>
      <c r="L26" s="25"/>
      <c r="M26" s="25"/>
      <c r="N26" s="25"/>
      <c r="O26" s="25"/>
    </row>
    <row r="27" spans="1:15" ht="12.75" customHeight="1" x14ac:dyDescent="0.25">
      <c r="A27" s="25"/>
      <c r="B27" s="25"/>
      <c r="C27" s="25"/>
      <c r="D27" s="85"/>
      <c r="E27" s="85"/>
      <c r="F27" s="85"/>
      <c r="G27" s="85"/>
      <c r="H27" s="86"/>
      <c r="I27" s="86"/>
      <c r="J27" s="86"/>
      <c r="K27" s="25"/>
      <c r="L27" s="25"/>
      <c r="M27" s="25"/>
      <c r="N27" s="25"/>
      <c r="O27" s="25"/>
    </row>
    <row r="28" spans="1:15" ht="36" customHeight="1" x14ac:dyDescent="0.25">
      <c r="A28" s="25"/>
      <c r="B28" s="25"/>
      <c r="C28" s="25"/>
      <c r="D28" s="85"/>
      <c r="E28" s="85"/>
      <c r="F28" s="85"/>
      <c r="G28" s="85"/>
      <c r="H28" s="86"/>
      <c r="I28" s="85"/>
      <c r="J28" s="86"/>
      <c r="K28" s="25"/>
      <c r="L28" s="25"/>
      <c r="M28" s="25"/>
      <c r="N28" s="25"/>
      <c r="O28" s="25"/>
    </row>
    <row r="29" spans="1:15" ht="12.75" customHeight="1" x14ac:dyDescent="0.25">
      <c r="D29" s="85"/>
      <c r="E29" s="85"/>
      <c r="F29" s="85"/>
      <c r="G29" s="85"/>
      <c r="H29" s="86"/>
      <c r="I29" s="85"/>
      <c r="J29" s="86"/>
      <c r="K29" s="25"/>
      <c r="L29" s="25"/>
      <c r="M29" s="25"/>
      <c r="N29" s="25"/>
      <c r="O29" s="25"/>
    </row>
    <row r="30" spans="1:15" ht="30.75" customHeight="1" x14ac:dyDescent="0.25">
      <c r="E30" s="86"/>
      <c r="F30" s="86"/>
      <c r="G30" s="86"/>
      <c r="H30" s="86"/>
      <c r="I30" s="85"/>
      <c r="J30" s="86"/>
    </row>
    <row r="31" spans="1:15" ht="26.25" customHeight="1" x14ac:dyDescent="0.5">
      <c r="E31" s="86"/>
      <c r="F31" s="86"/>
      <c r="G31" s="86"/>
      <c r="H31" s="86"/>
      <c r="I31" s="84"/>
      <c r="J31" s="86"/>
    </row>
  </sheetData>
  <mergeCells count="17">
    <mergeCell ref="L11:N11"/>
    <mergeCell ref="L9:N9"/>
    <mergeCell ref="L12:N12"/>
    <mergeCell ref="L10:N10"/>
    <mergeCell ref="P12:R12"/>
    <mergeCell ref="P11:R11"/>
    <mergeCell ref="P10:R10"/>
    <mergeCell ref="P9:R9"/>
    <mergeCell ref="O4:P4"/>
    <mergeCell ref="O3:P3"/>
    <mergeCell ref="F5:H5"/>
    <mergeCell ref="F7:H7"/>
    <mergeCell ref="F8:H8"/>
    <mergeCell ref="O5:P5"/>
    <mergeCell ref="L7:Q7"/>
    <mergeCell ref="P8:R8"/>
    <mergeCell ref="L8:O8"/>
  </mergeCells>
  <hyperlinks>
    <hyperlink ref="Q5" r:id="rId1" xr:uid="{A581DF91-83CF-4D86-861B-B025E71568D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EC89-E83F-4A8F-99C8-96C19943B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GENERALES</vt:lpstr>
      <vt:lpstr>Hoja1</vt:lpstr>
      <vt:lpstr>MATRIZ LISTADO</vt:lpstr>
      <vt:lpstr>RESUMEN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2026-09-24T21:51:40Z</dcterms:modified>
</cp:coreProperties>
</file>