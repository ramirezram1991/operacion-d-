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1. NEGOCIOS\2. OPERACION DRAGON\2. GESTIÓN DOCUMENTAL\1. GRUPO 1\MATRICES\"/>
    </mc:Choice>
  </mc:AlternateContent>
  <xr:revisionPtr revIDLastSave="0" documentId="13_ncr:1_{9908AA9F-1B79-4E34-AC4D-F152E8B72396}" xr6:coauthVersionLast="47" xr6:coauthVersionMax="47" xr10:uidLastSave="{00000000-0000-0000-0000-000000000000}"/>
  <bookViews>
    <workbookView xWindow="-120" yWindow="-120" windowWidth="29040" windowHeight="15720" xr2:uid="{48824FEC-42D6-4632-9118-8ADC756F6732}"/>
  </bookViews>
  <sheets>
    <sheet name="DATOS GENERALES" sheetId="6" r:id="rId1"/>
    <sheet name="MATRIZ LISTADO" sheetId="3" r:id="rId2"/>
    <sheet name="RESUMEN INDIVIDUAL" sheetId="4" r:id="rId3"/>
    <sheet name="RESUMEN GENERAL" sheetId="8" r:id="rId4"/>
  </sheets>
  <definedNames>
    <definedName name="_xlnm._FilterDatabase" localSheetId="0" hidden="1">'DATOS GENERALES'!$A$1:$T$473</definedName>
    <definedName name="_xlnm._FilterDatabase" localSheetId="1" hidden="1">'MATRIZ LISTADO'!$A$19:$DC$19</definedName>
    <definedName name="_Hlk231065246" localSheetId="0">'DATOS GENERALES'!$H$165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1" i="3" l="1"/>
  <c r="I101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I63" i="3"/>
  <c r="G63" i="3"/>
  <c r="E29" i="3"/>
  <c r="G29" i="3"/>
  <c r="AB29" i="3"/>
  <c r="AC29" i="3" s="1"/>
  <c r="F13" i="8"/>
  <c r="G13" i="8" s="1"/>
  <c r="G21" i="8"/>
  <c r="G19" i="8"/>
  <c r="Q72" i="3"/>
  <c r="F17" i="8"/>
  <c r="G17" i="8" s="1"/>
  <c r="F15" i="8"/>
  <c r="G15" i="8" s="1"/>
  <c r="F11" i="8"/>
  <c r="G11" i="8" s="1"/>
  <c r="F9" i="8"/>
  <c r="G9" i="8" s="1"/>
  <c r="F7" i="8"/>
  <c r="G7" i="8" s="1"/>
  <c r="F3" i="8"/>
  <c r="G52" i="3"/>
  <c r="I52" i="3"/>
  <c r="O33" i="3"/>
  <c r="O111" i="3"/>
  <c r="O72" i="3"/>
  <c r="O45" i="3"/>
  <c r="R29" i="3" l="1"/>
  <c r="S29" i="3" s="1"/>
  <c r="U29" i="3" s="1"/>
  <c r="E25" i="8"/>
  <c r="G25" i="8" s="1"/>
  <c r="I25" i="8" s="1"/>
  <c r="L11" i="4"/>
  <c r="K51" i="3"/>
  <c r="I127" i="3"/>
  <c r="E144" i="3"/>
  <c r="L12" i="4"/>
  <c r="F7" i="4"/>
  <c r="L7" i="4" s="1"/>
  <c r="R144" i="3"/>
  <c r="S144" i="3" s="1"/>
  <c r="AB144" i="3"/>
  <c r="AC144" i="3" s="1"/>
  <c r="O4" i="4"/>
  <c r="T29" i="3" l="1"/>
  <c r="V29" i="3"/>
  <c r="V144" i="3"/>
  <c r="T144" i="3"/>
  <c r="U144" i="3"/>
  <c r="M45" i="3"/>
  <c r="K114" i="3"/>
  <c r="K112" i="3"/>
  <c r="K111" i="3"/>
  <c r="K106" i="3"/>
  <c r="K72" i="3"/>
  <c r="K68" i="3"/>
  <c r="K58" i="3"/>
  <c r="K47" i="3"/>
  <c r="K40" i="3"/>
  <c r="K33" i="3"/>
  <c r="K31" i="3"/>
  <c r="K22" i="3"/>
  <c r="I21" i="3"/>
  <c r="I22" i="3"/>
  <c r="I23" i="3"/>
  <c r="I30" i="3"/>
  <c r="I31" i="3"/>
  <c r="I32" i="3"/>
  <c r="I33" i="3"/>
  <c r="I34" i="3"/>
  <c r="I35" i="3"/>
  <c r="I37" i="3"/>
  <c r="I39" i="3"/>
  <c r="I40" i="3"/>
  <c r="I41" i="3"/>
  <c r="I42" i="3"/>
  <c r="I46" i="3"/>
  <c r="I48" i="3"/>
  <c r="I51" i="3"/>
  <c r="I53" i="3"/>
  <c r="I61" i="3"/>
  <c r="I64" i="3"/>
  <c r="I65" i="3"/>
  <c r="I68" i="3"/>
  <c r="I70" i="3"/>
  <c r="I72" i="3"/>
  <c r="I74" i="3"/>
  <c r="I76" i="3"/>
  <c r="I77" i="3"/>
  <c r="I85" i="3"/>
  <c r="I87" i="3"/>
  <c r="I95" i="3"/>
  <c r="I96" i="3"/>
  <c r="I104" i="3"/>
  <c r="I105" i="3"/>
  <c r="I106" i="3"/>
  <c r="I111" i="3"/>
  <c r="I114" i="3"/>
  <c r="I116" i="3"/>
  <c r="I119" i="3"/>
  <c r="I121" i="3"/>
  <c r="I122" i="3"/>
  <c r="I123" i="3"/>
  <c r="I128" i="3"/>
  <c r="I131" i="3"/>
  <c r="I135" i="3"/>
  <c r="I136" i="3"/>
  <c r="I137" i="3"/>
  <c r="I138" i="3"/>
  <c r="I139" i="3"/>
  <c r="I140" i="3"/>
  <c r="I141" i="3"/>
  <c r="I142" i="3"/>
  <c r="I20" i="3"/>
  <c r="G22" i="3"/>
  <c r="G23" i="3"/>
  <c r="G26" i="3"/>
  <c r="G27" i="3"/>
  <c r="G31" i="3"/>
  <c r="G32" i="3"/>
  <c r="G33" i="3"/>
  <c r="G34" i="3"/>
  <c r="G35" i="3"/>
  <c r="G36" i="3"/>
  <c r="G37" i="3"/>
  <c r="G39" i="3"/>
  <c r="G40" i="3"/>
  <c r="G41" i="3"/>
  <c r="G45" i="3"/>
  <c r="G46" i="3"/>
  <c r="G48" i="3"/>
  <c r="G49" i="3"/>
  <c r="G51" i="3"/>
  <c r="G53" i="3"/>
  <c r="G55" i="3"/>
  <c r="G56" i="3"/>
  <c r="G57" i="3"/>
  <c r="G59" i="3"/>
  <c r="G61" i="3"/>
  <c r="G62" i="3"/>
  <c r="G64" i="3"/>
  <c r="G68" i="3"/>
  <c r="G70" i="3"/>
  <c r="G71" i="3"/>
  <c r="G72" i="3"/>
  <c r="G74" i="3"/>
  <c r="G76" i="3"/>
  <c r="G77" i="3"/>
  <c r="G78" i="3"/>
  <c r="G80" i="3"/>
  <c r="G81" i="3"/>
  <c r="G87" i="3"/>
  <c r="G89" i="3"/>
  <c r="G91" i="3"/>
  <c r="G92" i="3"/>
  <c r="G95" i="3"/>
  <c r="G96" i="3"/>
  <c r="G101" i="3"/>
  <c r="G104" i="3"/>
  <c r="G105" i="3"/>
  <c r="G106" i="3"/>
  <c r="G111" i="3"/>
  <c r="G112" i="3"/>
  <c r="G114" i="3"/>
  <c r="G116" i="3"/>
  <c r="G117" i="3"/>
  <c r="G118" i="3"/>
  <c r="G119" i="3"/>
  <c r="G121" i="3"/>
  <c r="G122" i="3"/>
  <c r="G123" i="3"/>
  <c r="G125" i="3"/>
  <c r="G126" i="3"/>
  <c r="G127" i="3"/>
  <c r="G128" i="3"/>
  <c r="G131" i="3"/>
  <c r="G133" i="3"/>
  <c r="G138" i="3"/>
  <c r="G139" i="3"/>
  <c r="G140" i="3"/>
  <c r="G142" i="3"/>
  <c r="G20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21" i="3"/>
  <c r="E22" i="3"/>
  <c r="E23" i="3"/>
  <c r="E24" i="3"/>
  <c r="E25" i="3"/>
  <c r="E26" i="3"/>
  <c r="E27" i="3"/>
  <c r="E28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20" i="3"/>
  <c r="AB110" i="3"/>
  <c r="AC110" i="3" s="1"/>
  <c r="AB111" i="3"/>
  <c r="AC111" i="3" s="1"/>
  <c r="AB112" i="3"/>
  <c r="AC112" i="3" s="1"/>
  <c r="AB113" i="3"/>
  <c r="AC113" i="3" s="1"/>
  <c r="AB114" i="3"/>
  <c r="AC114" i="3" s="1"/>
  <c r="AB115" i="3"/>
  <c r="AC115" i="3" s="1"/>
  <c r="AB116" i="3"/>
  <c r="AC116" i="3" s="1"/>
  <c r="AB117" i="3"/>
  <c r="AC117" i="3" s="1"/>
  <c r="AB118" i="3"/>
  <c r="AC118" i="3" s="1"/>
  <c r="AB119" i="3"/>
  <c r="AC119" i="3" s="1"/>
  <c r="AB120" i="3"/>
  <c r="AC120" i="3" s="1"/>
  <c r="AB121" i="3"/>
  <c r="AC121" i="3" s="1"/>
  <c r="AB122" i="3"/>
  <c r="AC122" i="3" s="1"/>
  <c r="AB123" i="3"/>
  <c r="AC123" i="3" s="1"/>
  <c r="AB124" i="3"/>
  <c r="AC124" i="3" s="1"/>
  <c r="AB125" i="3"/>
  <c r="AC125" i="3" s="1"/>
  <c r="AB126" i="3"/>
  <c r="AC126" i="3" s="1"/>
  <c r="AB127" i="3"/>
  <c r="AC127" i="3" s="1"/>
  <c r="AB128" i="3"/>
  <c r="AC128" i="3" s="1"/>
  <c r="AB129" i="3"/>
  <c r="AC129" i="3" s="1"/>
  <c r="AB130" i="3"/>
  <c r="AC130" i="3" s="1"/>
  <c r="AB131" i="3"/>
  <c r="AC131" i="3" s="1"/>
  <c r="AB132" i="3"/>
  <c r="AC132" i="3" s="1"/>
  <c r="AB133" i="3"/>
  <c r="AC133" i="3" s="1"/>
  <c r="AB134" i="3"/>
  <c r="AC134" i="3" s="1"/>
  <c r="AB135" i="3"/>
  <c r="AC135" i="3" s="1"/>
  <c r="AB136" i="3"/>
  <c r="AC136" i="3" s="1"/>
  <c r="AB137" i="3"/>
  <c r="AC137" i="3" s="1"/>
  <c r="AB138" i="3"/>
  <c r="AC138" i="3" s="1"/>
  <c r="AB139" i="3"/>
  <c r="AC139" i="3" s="1"/>
  <c r="AB140" i="3"/>
  <c r="AC140" i="3" s="1"/>
  <c r="AB141" i="3"/>
  <c r="AC141" i="3" s="1"/>
  <c r="AB142" i="3"/>
  <c r="AC142" i="3" s="1"/>
  <c r="AB143" i="3"/>
  <c r="AC143" i="3" s="1"/>
  <c r="M46" i="3"/>
  <c r="F24" i="4"/>
  <c r="F22" i="4"/>
  <c r="F20" i="4"/>
  <c r="G20" i="4"/>
  <c r="G24" i="4"/>
  <c r="G22" i="4"/>
  <c r="A21" i="3"/>
  <c r="A22" i="3" s="1"/>
  <c r="A23" i="3" s="1"/>
  <c r="A24" i="3" s="1"/>
  <c r="A25" i="3" s="1"/>
  <c r="A26" i="3" s="1"/>
  <c r="A27" i="3" s="1"/>
  <c r="A28" i="3" s="1"/>
  <c r="AB35" i="3"/>
  <c r="AC35" i="3" s="1"/>
  <c r="AB36" i="3"/>
  <c r="AC36" i="3" s="1"/>
  <c r="AB37" i="3"/>
  <c r="AC37" i="3" s="1"/>
  <c r="AB38" i="3"/>
  <c r="AC38" i="3" s="1"/>
  <c r="AB39" i="3"/>
  <c r="AC39" i="3" s="1"/>
  <c r="AB40" i="3"/>
  <c r="AC40" i="3" s="1"/>
  <c r="AB41" i="3"/>
  <c r="AC41" i="3" s="1"/>
  <c r="AB42" i="3"/>
  <c r="AC42" i="3" s="1"/>
  <c r="AB43" i="3"/>
  <c r="AC43" i="3" s="1"/>
  <c r="AB44" i="3"/>
  <c r="AC44" i="3" s="1"/>
  <c r="AB45" i="3"/>
  <c r="AC45" i="3" s="1"/>
  <c r="AB46" i="3"/>
  <c r="AC46" i="3" s="1"/>
  <c r="AB47" i="3"/>
  <c r="AC47" i="3" s="1"/>
  <c r="AB48" i="3"/>
  <c r="AC48" i="3" s="1"/>
  <c r="AB49" i="3"/>
  <c r="AC49" i="3" s="1"/>
  <c r="AB50" i="3"/>
  <c r="AC50" i="3" s="1"/>
  <c r="AB51" i="3"/>
  <c r="AC51" i="3" s="1"/>
  <c r="AB52" i="3"/>
  <c r="AC52" i="3" s="1"/>
  <c r="AB53" i="3"/>
  <c r="AC53" i="3" s="1"/>
  <c r="AB54" i="3"/>
  <c r="AC54" i="3" s="1"/>
  <c r="AB55" i="3"/>
  <c r="AC55" i="3" s="1"/>
  <c r="AB56" i="3"/>
  <c r="AC56" i="3" s="1"/>
  <c r="AB57" i="3"/>
  <c r="AC57" i="3" s="1"/>
  <c r="AB58" i="3"/>
  <c r="AC58" i="3" s="1"/>
  <c r="AB59" i="3"/>
  <c r="AC59" i="3" s="1"/>
  <c r="AB60" i="3"/>
  <c r="AC60" i="3" s="1"/>
  <c r="AB61" i="3"/>
  <c r="AC61" i="3" s="1"/>
  <c r="AB62" i="3"/>
  <c r="AC62" i="3" s="1"/>
  <c r="AB63" i="3"/>
  <c r="AC63" i="3" s="1"/>
  <c r="AB64" i="3"/>
  <c r="AC64" i="3" s="1"/>
  <c r="AB65" i="3"/>
  <c r="AC65" i="3" s="1"/>
  <c r="AB66" i="3"/>
  <c r="AC66" i="3" s="1"/>
  <c r="AB67" i="3"/>
  <c r="AC67" i="3" s="1"/>
  <c r="AB68" i="3"/>
  <c r="AC68" i="3" s="1"/>
  <c r="AB69" i="3"/>
  <c r="AC69" i="3" s="1"/>
  <c r="AB70" i="3"/>
  <c r="AC70" i="3" s="1"/>
  <c r="AB71" i="3"/>
  <c r="AC71" i="3" s="1"/>
  <c r="AB72" i="3"/>
  <c r="AC72" i="3" s="1"/>
  <c r="AB73" i="3"/>
  <c r="AC73" i="3" s="1"/>
  <c r="AB74" i="3"/>
  <c r="AC74" i="3" s="1"/>
  <c r="AB75" i="3"/>
  <c r="AC75" i="3" s="1"/>
  <c r="AB76" i="3"/>
  <c r="AC76" i="3" s="1"/>
  <c r="AB77" i="3"/>
  <c r="AC77" i="3" s="1"/>
  <c r="AB78" i="3"/>
  <c r="AC78" i="3" s="1"/>
  <c r="AB79" i="3"/>
  <c r="AC79" i="3" s="1"/>
  <c r="AB80" i="3"/>
  <c r="AC80" i="3" s="1"/>
  <c r="AB81" i="3"/>
  <c r="AC81" i="3" s="1"/>
  <c r="AB82" i="3"/>
  <c r="AC82" i="3" s="1"/>
  <c r="AB83" i="3"/>
  <c r="AC83" i="3" s="1"/>
  <c r="AB84" i="3"/>
  <c r="AC84" i="3" s="1"/>
  <c r="AB85" i="3"/>
  <c r="AC85" i="3" s="1"/>
  <c r="AB86" i="3"/>
  <c r="AC86" i="3" s="1"/>
  <c r="AB87" i="3"/>
  <c r="AC87" i="3" s="1"/>
  <c r="AB88" i="3"/>
  <c r="AC88" i="3" s="1"/>
  <c r="AB89" i="3"/>
  <c r="AC89" i="3" s="1"/>
  <c r="AB90" i="3"/>
  <c r="AC90" i="3" s="1"/>
  <c r="AB91" i="3"/>
  <c r="AC91" i="3" s="1"/>
  <c r="AB92" i="3"/>
  <c r="AC92" i="3" s="1"/>
  <c r="AB93" i="3"/>
  <c r="AC93" i="3" s="1"/>
  <c r="AB94" i="3"/>
  <c r="AC94" i="3" s="1"/>
  <c r="AB95" i="3"/>
  <c r="AC95" i="3" s="1"/>
  <c r="AB96" i="3"/>
  <c r="AC96" i="3" s="1"/>
  <c r="AB97" i="3"/>
  <c r="AC97" i="3" s="1"/>
  <c r="AB98" i="3"/>
  <c r="AC98" i="3" s="1"/>
  <c r="AB99" i="3"/>
  <c r="AC99" i="3" s="1"/>
  <c r="AB100" i="3"/>
  <c r="AC100" i="3" s="1"/>
  <c r="AB101" i="3"/>
  <c r="AC101" i="3" s="1"/>
  <c r="AB102" i="3"/>
  <c r="AC102" i="3" s="1"/>
  <c r="AB103" i="3"/>
  <c r="AC103" i="3" s="1"/>
  <c r="AB104" i="3"/>
  <c r="AC104" i="3" s="1"/>
  <c r="AB105" i="3"/>
  <c r="AC105" i="3" s="1"/>
  <c r="AB106" i="3"/>
  <c r="AC106" i="3" s="1"/>
  <c r="AB107" i="3"/>
  <c r="AC107" i="3" s="1"/>
  <c r="AB108" i="3"/>
  <c r="AC108" i="3" s="1"/>
  <c r="AB109" i="3"/>
  <c r="AC109" i="3" s="1"/>
  <c r="A30" i="3" l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29" i="3"/>
  <c r="R115" i="3"/>
  <c r="S115" i="3" s="1"/>
  <c r="U115" i="3" s="1"/>
  <c r="R20" i="3"/>
  <c r="S20" i="3" s="1"/>
  <c r="V20" i="3" s="1"/>
  <c r="R95" i="3"/>
  <c r="S95" i="3" s="1"/>
  <c r="V95" i="3" s="1"/>
  <c r="R83" i="3"/>
  <c r="S83" i="3" s="1"/>
  <c r="U83" i="3" s="1"/>
  <c r="R93" i="3"/>
  <c r="S93" i="3" s="1"/>
  <c r="U93" i="3" s="1"/>
  <c r="R69" i="3"/>
  <c r="S69" i="3" s="1"/>
  <c r="U69" i="3" s="1"/>
  <c r="R58" i="3"/>
  <c r="S58" i="3" s="1"/>
  <c r="T58" i="3" s="1"/>
  <c r="R46" i="3"/>
  <c r="S46" i="3" s="1"/>
  <c r="U46" i="3" s="1"/>
  <c r="R75" i="3"/>
  <c r="S75" i="3" s="1"/>
  <c r="U75" i="3" s="1"/>
  <c r="R132" i="3"/>
  <c r="S132" i="3" s="1"/>
  <c r="U132" i="3" s="1"/>
  <c r="R48" i="3"/>
  <c r="S48" i="3" s="1"/>
  <c r="V48" i="3" s="1"/>
  <c r="R23" i="3"/>
  <c r="S23" i="3" s="1"/>
  <c r="T23" i="3" s="1"/>
  <c r="R140" i="3"/>
  <c r="S140" i="3" s="1"/>
  <c r="T140" i="3" s="1"/>
  <c r="R118" i="3"/>
  <c r="S118" i="3" s="1"/>
  <c r="T118" i="3" s="1"/>
  <c r="R32" i="3"/>
  <c r="S32" i="3" s="1"/>
  <c r="U32" i="3" s="1"/>
  <c r="R143" i="3"/>
  <c r="S143" i="3" s="1"/>
  <c r="T143" i="3" s="1"/>
  <c r="R121" i="3"/>
  <c r="S121" i="3" s="1"/>
  <c r="T121" i="3" s="1"/>
  <c r="R86" i="3"/>
  <c r="S86" i="3" s="1"/>
  <c r="U86" i="3" s="1"/>
  <c r="R39" i="3"/>
  <c r="S39" i="3" s="1"/>
  <c r="U39" i="3" s="1"/>
  <c r="R66" i="3"/>
  <c r="S66" i="3" s="1"/>
  <c r="V66" i="3" s="1"/>
  <c r="R85" i="3"/>
  <c r="S85" i="3" s="1"/>
  <c r="U85" i="3" s="1"/>
  <c r="R50" i="3"/>
  <c r="S50" i="3" s="1"/>
  <c r="U50" i="3" s="1"/>
  <c r="R36" i="3"/>
  <c r="S36" i="3" s="1"/>
  <c r="V36" i="3" s="1"/>
  <c r="R59" i="3"/>
  <c r="S59" i="3" s="1"/>
  <c r="V59" i="3" s="1"/>
  <c r="R22" i="3"/>
  <c r="S22" i="3" s="1"/>
  <c r="U22" i="3" s="1"/>
  <c r="R117" i="3"/>
  <c r="S117" i="3" s="1"/>
  <c r="T117" i="3" s="1"/>
  <c r="R105" i="3"/>
  <c r="S105" i="3" s="1"/>
  <c r="T105" i="3" s="1"/>
  <c r="R81" i="3"/>
  <c r="S81" i="3" s="1"/>
  <c r="U81" i="3" s="1"/>
  <c r="R25" i="3"/>
  <c r="S25" i="3" s="1"/>
  <c r="U25" i="3" s="1"/>
  <c r="R37" i="3"/>
  <c r="S37" i="3" s="1"/>
  <c r="U37" i="3" s="1"/>
  <c r="R24" i="3"/>
  <c r="S24" i="3" s="1"/>
  <c r="T24" i="3" s="1"/>
  <c r="R49" i="3"/>
  <c r="S49" i="3" s="1"/>
  <c r="U49" i="3" s="1"/>
  <c r="R35" i="3"/>
  <c r="S35" i="3" s="1"/>
  <c r="V35" i="3" s="1"/>
  <c r="R127" i="3"/>
  <c r="S127" i="3" s="1"/>
  <c r="U127" i="3" s="1"/>
  <c r="R92" i="3"/>
  <c r="S92" i="3" s="1"/>
  <c r="T92" i="3" s="1"/>
  <c r="R40" i="3"/>
  <c r="S40" i="3" s="1"/>
  <c r="V40" i="3" s="1"/>
  <c r="R138" i="3"/>
  <c r="S138" i="3" s="1"/>
  <c r="V138" i="3" s="1"/>
  <c r="R61" i="3"/>
  <c r="S61" i="3" s="1"/>
  <c r="T61" i="3" s="1"/>
  <c r="R104" i="3"/>
  <c r="S104" i="3" s="1"/>
  <c r="U104" i="3" s="1"/>
  <c r="R129" i="3"/>
  <c r="S129" i="3" s="1"/>
  <c r="T129" i="3" s="1"/>
  <c r="R60" i="3"/>
  <c r="S60" i="3" s="1"/>
  <c r="T60" i="3" s="1"/>
  <c r="R135" i="3"/>
  <c r="S135" i="3" s="1"/>
  <c r="T135" i="3" s="1"/>
  <c r="R125" i="3"/>
  <c r="S125" i="3" s="1"/>
  <c r="U125" i="3" s="1"/>
  <c r="R78" i="3"/>
  <c r="S78" i="3" s="1"/>
  <c r="U78" i="3" s="1"/>
  <c r="R73" i="3"/>
  <c r="S73" i="3" s="1"/>
  <c r="T73" i="3" s="1"/>
  <c r="R62" i="3"/>
  <c r="S62" i="3" s="1"/>
  <c r="V62" i="3" s="1"/>
  <c r="R82" i="3"/>
  <c r="S82" i="3" s="1"/>
  <c r="U82" i="3" s="1"/>
  <c r="R27" i="3"/>
  <c r="S27" i="3" s="1"/>
  <c r="U27" i="3" s="1"/>
  <c r="R90" i="3"/>
  <c r="S90" i="3" s="1"/>
  <c r="U90" i="3" s="1"/>
  <c r="R113" i="3"/>
  <c r="S113" i="3" s="1"/>
  <c r="T113" i="3" s="1"/>
  <c r="R38" i="3"/>
  <c r="S38" i="3" s="1"/>
  <c r="V38" i="3" s="1"/>
  <c r="R103" i="3"/>
  <c r="S103" i="3" s="1"/>
  <c r="U103" i="3" s="1"/>
  <c r="R67" i="3"/>
  <c r="S67" i="3" s="1"/>
  <c r="T67" i="3" s="1"/>
  <c r="R137" i="3"/>
  <c r="S137" i="3" s="1"/>
  <c r="T137" i="3" s="1"/>
  <c r="R136" i="3"/>
  <c r="S136" i="3" s="1"/>
  <c r="T136" i="3" s="1"/>
  <c r="R79" i="3"/>
  <c r="S79" i="3" s="1"/>
  <c r="V79" i="3" s="1"/>
  <c r="R64" i="3"/>
  <c r="S64" i="3" s="1"/>
  <c r="T64" i="3" s="1"/>
  <c r="R134" i="3"/>
  <c r="S134" i="3" s="1"/>
  <c r="U134" i="3" s="1"/>
  <c r="R124" i="3"/>
  <c r="S124" i="3" s="1"/>
  <c r="T124" i="3" s="1"/>
  <c r="R112" i="3"/>
  <c r="S112" i="3" s="1"/>
  <c r="T112" i="3" s="1"/>
  <c r="R89" i="3"/>
  <c r="S89" i="3" s="1"/>
  <c r="U89" i="3" s="1"/>
  <c r="R77" i="3"/>
  <c r="S77" i="3" s="1"/>
  <c r="U77" i="3" s="1"/>
  <c r="R80" i="3"/>
  <c r="S80" i="3" s="1"/>
  <c r="U80" i="3" s="1"/>
  <c r="R131" i="3"/>
  <c r="S131" i="3" s="1"/>
  <c r="T131" i="3" s="1"/>
  <c r="R98" i="3"/>
  <c r="S98" i="3" s="1"/>
  <c r="V98" i="3" s="1"/>
  <c r="R126" i="3"/>
  <c r="S126" i="3" s="1"/>
  <c r="V126" i="3" s="1"/>
  <c r="R102" i="3"/>
  <c r="S102" i="3" s="1"/>
  <c r="U102" i="3" s="1"/>
  <c r="R111" i="3"/>
  <c r="S111" i="3" s="1"/>
  <c r="T111" i="3" s="1"/>
  <c r="R88" i="3"/>
  <c r="S88" i="3" s="1"/>
  <c r="U88" i="3" s="1"/>
  <c r="R42" i="3"/>
  <c r="S42" i="3" s="1"/>
  <c r="V42" i="3" s="1"/>
  <c r="R55" i="3"/>
  <c r="S55" i="3" s="1"/>
  <c r="V55" i="3" s="1"/>
  <c r="R43" i="3"/>
  <c r="S43" i="3" s="1"/>
  <c r="T43" i="3" s="1"/>
  <c r="R142" i="3"/>
  <c r="S142" i="3" s="1"/>
  <c r="V142" i="3" s="1"/>
  <c r="R130" i="3"/>
  <c r="S130" i="3" s="1"/>
  <c r="T130" i="3" s="1"/>
  <c r="R120" i="3"/>
  <c r="S120" i="3" s="1"/>
  <c r="T120" i="3" s="1"/>
  <c r="R108" i="3"/>
  <c r="S108" i="3" s="1"/>
  <c r="V108" i="3" s="1"/>
  <c r="R97" i="3"/>
  <c r="S97" i="3" s="1"/>
  <c r="U97" i="3" s="1"/>
  <c r="R110" i="3"/>
  <c r="S110" i="3" s="1"/>
  <c r="T110" i="3" s="1"/>
  <c r="R54" i="3"/>
  <c r="S54" i="3" s="1"/>
  <c r="U54" i="3" s="1"/>
  <c r="R30" i="3"/>
  <c r="S30" i="3" s="1"/>
  <c r="V30" i="3" s="1"/>
  <c r="R107" i="3"/>
  <c r="S107" i="3" s="1"/>
  <c r="V107" i="3" s="1"/>
  <c r="R96" i="3"/>
  <c r="S96" i="3" s="1"/>
  <c r="U96" i="3" s="1"/>
  <c r="R72" i="3"/>
  <c r="S72" i="3" s="1"/>
  <c r="U72" i="3" s="1"/>
  <c r="R123" i="3"/>
  <c r="S123" i="3" s="1"/>
  <c r="V123" i="3" s="1"/>
  <c r="R100" i="3"/>
  <c r="S100" i="3" s="1"/>
  <c r="U100" i="3" s="1"/>
  <c r="R76" i="3"/>
  <c r="S76" i="3" s="1"/>
  <c r="U76" i="3" s="1"/>
  <c r="R57" i="3"/>
  <c r="S57" i="3" s="1"/>
  <c r="T57" i="3" s="1"/>
  <c r="R122" i="3"/>
  <c r="S122" i="3" s="1"/>
  <c r="T122" i="3" s="1"/>
  <c r="R99" i="3"/>
  <c r="S99" i="3" s="1"/>
  <c r="U99" i="3" s="1"/>
  <c r="R56" i="3"/>
  <c r="S56" i="3" s="1"/>
  <c r="U56" i="3" s="1"/>
  <c r="R44" i="3"/>
  <c r="S44" i="3" s="1"/>
  <c r="T44" i="3" s="1"/>
  <c r="R109" i="3"/>
  <c r="S109" i="3" s="1"/>
  <c r="U109" i="3" s="1"/>
  <c r="R41" i="3"/>
  <c r="S41" i="3" s="1"/>
  <c r="U41" i="3" s="1"/>
  <c r="R28" i="3"/>
  <c r="S28" i="3" s="1"/>
  <c r="T28" i="3" s="1"/>
  <c r="R70" i="3"/>
  <c r="S70" i="3" s="1"/>
  <c r="V70" i="3" s="1"/>
  <c r="R65" i="3"/>
  <c r="S65" i="3" s="1"/>
  <c r="U65" i="3" s="1"/>
  <c r="R45" i="3"/>
  <c r="S45" i="3" s="1"/>
  <c r="V45" i="3" s="1"/>
  <c r="R34" i="3"/>
  <c r="S34" i="3" s="1"/>
  <c r="T34" i="3" s="1"/>
  <c r="R53" i="3"/>
  <c r="S53" i="3" s="1"/>
  <c r="U53" i="3" s="1"/>
  <c r="R71" i="3"/>
  <c r="S71" i="3" s="1"/>
  <c r="V71" i="3" s="1"/>
  <c r="R91" i="3"/>
  <c r="S91" i="3" s="1"/>
  <c r="T91" i="3" s="1"/>
  <c r="R116" i="3"/>
  <c r="S116" i="3" s="1"/>
  <c r="T116" i="3" s="1"/>
  <c r="R141" i="3"/>
  <c r="S141" i="3" s="1"/>
  <c r="T141" i="3" s="1"/>
  <c r="R33" i="3"/>
  <c r="S33" i="3" s="1"/>
  <c r="U33" i="3" s="1"/>
  <c r="R51" i="3"/>
  <c r="S51" i="3" s="1"/>
  <c r="V51" i="3" s="1"/>
  <c r="R68" i="3"/>
  <c r="S68" i="3" s="1"/>
  <c r="V68" i="3" s="1"/>
  <c r="R74" i="3"/>
  <c r="S74" i="3" s="1"/>
  <c r="U74" i="3" s="1"/>
  <c r="R101" i="3"/>
  <c r="S101" i="3" s="1"/>
  <c r="T101" i="3" s="1"/>
  <c r="R106" i="3"/>
  <c r="S106" i="3" s="1"/>
  <c r="V106" i="3" s="1"/>
  <c r="R128" i="3"/>
  <c r="S128" i="3" s="1"/>
  <c r="U128" i="3" s="1"/>
  <c r="R133" i="3"/>
  <c r="S133" i="3" s="1"/>
  <c r="T133" i="3" s="1"/>
  <c r="R139" i="3"/>
  <c r="S139" i="3" s="1"/>
  <c r="U139" i="3" s="1"/>
  <c r="R114" i="3"/>
  <c r="S114" i="3" s="1"/>
  <c r="T114" i="3" s="1"/>
  <c r="R119" i="3"/>
  <c r="S119" i="3" s="1"/>
  <c r="T119" i="3" s="1"/>
  <c r="R47" i="3"/>
  <c r="S47" i="3" s="1"/>
  <c r="V47" i="3" s="1"/>
  <c r="V115" i="3"/>
  <c r="R63" i="3"/>
  <c r="S63" i="3" s="1"/>
  <c r="T63" i="3" s="1"/>
  <c r="R31" i="3"/>
  <c r="S31" i="3" s="1"/>
  <c r="T31" i="3" s="1"/>
  <c r="R87" i="3"/>
  <c r="S87" i="3" s="1"/>
  <c r="U87" i="3" s="1"/>
  <c r="R94" i="3"/>
  <c r="S94" i="3" s="1"/>
  <c r="U94" i="3" s="1"/>
  <c r="R52" i="3"/>
  <c r="S52" i="3" s="1"/>
  <c r="U52" i="3" s="1"/>
  <c r="R84" i="3"/>
  <c r="S84" i="3" s="1"/>
  <c r="T84" i="3" s="1"/>
  <c r="R26" i="3"/>
  <c r="S26" i="3" s="1"/>
  <c r="T26" i="3" s="1"/>
  <c r="R21" i="3"/>
  <c r="S21" i="3" s="1"/>
  <c r="V21" i="3" s="1"/>
  <c r="V83" i="3"/>
  <c r="T83" i="3"/>
  <c r="V129" i="3" l="1"/>
  <c r="T115" i="3"/>
  <c r="T40" i="3"/>
  <c r="T81" i="3"/>
  <c r="T77" i="3"/>
  <c r="V113" i="3"/>
  <c r="T93" i="3"/>
  <c r="V93" i="3"/>
  <c r="U105" i="3"/>
  <c r="V143" i="3"/>
  <c r="V105" i="3"/>
  <c r="U143" i="3"/>
  <c r="T86" i="3"/>
  <c r="V134" i="3"/>
  <c r="V86" i="3"/>
  <c r="T46" i="3"/>
  <c r="U121" i="3"/>
  <c r="V121" i="3"/>
  <c r="V50" i="3"/>
  <c r="U38" i="3"/>
  <c r="T50" i="3"/>
  <c r="U36" i="3"/>
  <c r="V132" i="3"/>
  <c r="T132" i="3"/>
  <c r="V58" i="3"/>
  <c r="U58" i="3"/>
  <c r="V73" i="3"/>
  <c r="T75" i="3"/>
  <c r="T36" i="3"/>
  <c r="T85" i="3"/>
  <c r="V85" i="3"/>
  <c r="T39" i="3"/>
  <c r="V39" i="3"/>
  <c r="V37" i="3"/>
  <c r="T37" i="3"/>
  <c r="V75" i="3"/>
  <c r="V46" i="3"/>
  <c r="V118" i="3"/>
  <c r="V104" i="3"/>
  <c r="U118" i="3"/>
  <c r="V49" i="3"/>
  <c r="T82" i="3"/>
  <c r="T134" i="3"/>
  <c r="U48" i="3"/>
  <c r="T42" i="3"/>
  <c r="T107" i="3"/>
  <c r="T48" i="3"/>
  <c r="V140" i="3"/>
  <c r="V127" i="3"/>
  <c r="U107" i="3"/>
  <c r="U42" i="3"/>
  <c r="U140" i="3"/>
  <c r="U138" i="3"/>
  <c r="V96" i="3"/>
  <c r="T69" i="3"/>
  <c r="U95" i="3"/>
  <c r="T138" i="3"/>
  <c r="V69" i="3"/>
  <c r="T95" i="3"/>
  <c r="U60" i="3"/>
  <c r="U51" i="3"/>
  <c r="V82" i="3"/>
  <c r="T66" i="3"/>
  <c r="U66" i="3"/>
  <c r="U64" i="3"/>
  <c r="U59" i="3"/>
  <c r="V88" i="3"/>
  <c r="V87" i="3"/>
  <c r="T62" i="3"/>
  <c r="U111" i="3"/>
  <c r="I18" i="4" s="1"/>
  <c r="P11" i="4" s="1"/>
  <c r="V81" i="3"/>
  <c r="T59" i="3"/>
  <c r="T109" i="3"/>
  <c r="T103" i="3"/>
  <c r="V109" i="3"/>
  <c r="V137" i="3"/>
  <c r="U62" i="3"/>
  <c r="U35" i="3"/>
  <c r="T102" i="3"/>
  <c r="U137" i="3"/>
  <c r="U92" i="3"/>
  <c r="T87" i="3"/>
  <c r="V44" i="3"/>
  <c r="U130" i="3"/>
  <c r="T35" i="3"/>
  <c r="T127" i="3"/>
  <c r="U73" i="3"/>
  <c r="U47" i="3"/>
  <c r="V111" i="3"/>
  <c r="U44" i="3"/>
  <c r="T90" i="3"/>
  <c r="T41" i="3"/>
  <c r="V117" i="3"/>
  <c r="V92" i="3"/>
  <c r="V41" i="3"/>
  <c r="U40" i="3"/>
  <c r="U117" i="3"/>
  <c r="T49" i="3"/>
  <c r="U79" i="3"/>
  <c r="V64" i="3"/>
  <c r="V60" i="3"/>
  <c r="U129" i="3"/>
  <c r="V89" i="3"/>
  <c r="V90" i="3"/>
  <c r="V124" i="3"/>
  <c r="U131" i="3"/>
  <c r="U135" i="3"/>
  <c r="U61" i="3"/>
  <c r="U98" i="3"/>
  <c r="V135" i="3"/>
  <c r="T76" i="3"/>
  <c r="V101" i="3"/>
  <c r="V125" i="3"/>
  <c r="V103" i="3"/>
  <c r="V76" i="3"/>
  <c r="T98" i="3"/>
  <c r="U113" i="3"/>
  <c r="V61" i="3"/>
  <c r="U124" i="3"/>
  <c r="T38" i="3"/>
  <c r="T104" i="3"/>
  <c r="T89" i="3"/>
  <c r="T125" i="3"/>
  <c r="V67" i="3"/>
  <c r="U101" i="3"/>
  <c r="T88" i="3"/>
  <c r="U67" i="3"/>
  <c r="T78" i="3"/>
  <c r="U126" i="3"/>
  <c r="V78" i="3"/>
  <c r="T126" i="3"/>
  <c r="T99" i="3"/>
  <c r="T79" i="3"/>
  <c r="T55" i="3"/>
  <c r="V99" i="3"/>
  <c r="V112" i="3"/>
  <c r="U112" i="3"/>
  <c r="U106" i="3"/>
  <c r="T47" i="3"/>
  <c r="V80" i="3"/>
  <c r="V54" i="3"/>
  <c r="V136" i="3"/>
  <c r="U136" i="3"/>
  <c r="V110" i="3"/>
  <c r="T108" i="3"/>
  <c r="T80" i="3"/>
  <c r="T106" i="3"/>
  <c r="V77" i="3"/>
  <c r="V100" i="3"/>
  <c r="U110" i="3"/>
  <c r="T128" i="3"/>
  <c r="U142" i="3"/>
  <c r="T56" i="3"/>
  <c r="T100" i="3"/>
  <c r="U123" i="3"/>
  <c r="T142" i="3"/>
  <c r="V57" i="3"/>
  <c r="T54" i="3"/>
  <c r="T123" i="3"/>
  <c r="V131" i="3"/>
  <c r="V130" i="3"/>
  <c r="U120" i="3"/>
  <c r="U108" i="3"/>
  <c r="U55" i="3"/>
  <c r="U114" i="3"/>
  <c r="V97" i="3"/>
  <c r="T97" i="3"/>
  <c r="U70" i="3"/>
  <c r="V43" i="3"/>
  <c r="T70" i="3"/>
  <c r="U43" i="3"/>
  <c r="T74" i="3"/>
  <c r="V133" i="3"/>
  <c r="V24" i="3"/>
  <c r="V65" i="3"/>
  <c r="T72" i="3"/>
  <c r="U57" i="3"/>
  <c r="V56" i="3"/>
  <c r="U71" i="3"/>
  <c r="V102" i="3"/>
  <c r="U133" i="3"/>
  <c r="V122" i="3"/>
  <c r="V116" i="3"/>
  <c r="V72" i="3"/>
  <c r="U122" i="3"/>
  <c r="V120" i="3"/>
  <c r="T96" i="3"/>
  <c r="U116" i="3"/>
  <c r="V91" i="3"/>
  <c r="T139" i="3"/>
  <c r="V119" i="3"/>
  <c r="U119" i="3"/>
  <c r="V141" i="3"/>
  <c r="U141" i="3"/>
  <c r="V94" i="3"/>
  <c r="V114" i="3"/>
  <c r="T65" i="3"/>
  <c r="V63" i="3"/>
  <c r="U45" i="3"/>
  <c r="T51" i="3"/>
  <c r="T45" i="3"/>
  <c r="U91" i="3"/>
  <c r="V128" i="3"/>
  <c r="T71" i="3"/>
  <c r="V74" i="3"/>
  <c r="V53" i="3"/>
  <c r="T53" i="3"/>
  <c r="T68" i="3"/>
  <c r="U68" i="3"/>
  <c r="V139" i="3"/>
  <c r="U63" i="3"/>
  <c r="T52" i="3"/>
  <c r="U24" i="3"/>
  <c r="T94" i="3"/>
  <c r="V52" i="3"/>
  <c r="U84" i="3"/>
  <c r="V84" i="3"/>
  <c r="U23" i="3"/>
  <c r="V23" i="3"/>
  <c r="T25" i="3"/>
  <c r="T21" i="3"/>
  <c r="V25" i="3"/>
  <c r="U20" i="3"/>
  <c r="T20" i="3"/>
  <c r="U34" i="3"/>
  <c r="V31" i="3"/>
  <c r="U31" i="3"/>
  <c r="V34" i="3"/>
  <c r="V28" i="3"/>
  <c r="U21" i="3"/>
  <c r="T32" i="3"/>
  <c r="T33" i="3"/>
  <c r="V33" i="3"/>
  <c r="V26" i="3"/>
  <c r="V22" i="3"/>
  <c r="U28" i="3"/>
  <c r="V32" i="3"/>
  <c r="T22" i="3"/>
  <c r="U30" i="3"/>
  <c r="T27" i="3"/>
  <c r="T30" i="3"/>
  <c r="V27" i="3"/>
  <c r="U26" i="3"/>
  <c r="I22" i="4" l="1"/>
  <c r="P12" i="4" s="1"/>
  <c r="AB34" i="3"/>
  <c r="AC34" i="3" s="1"/>
  <c r="AB33" i="3"/>
  <c r="AC33" i="3" s="1"/>
  <c r="AB32" i="3"/>
  <c r="AC32" i="3" s="1"/>
  <c r="AB31" i="3"/>
  <c r="AC31" i="3" s="1"/>
  <c r="AB30" i="3"/>
  <c r="AC30" i="3" s="1"/>
  <c r="AB28" i="3"/>
  <c r="AC28" i="3" s="1"/>
  <c r="AB27" i="3"/>
  <c r="AC27" i="3" s="1"/>
  <c r="AB26" i="3"/>
  <c r="AC26" i="3" s="1"/>
  <c r="AB25" i="3"/>
  <c r="AC25" i="3" s="1"/>
  <c r="AB24" i="3"/>
  <c r="AC24" i="3" s="1"/>
  <c r="AB23" i="3"/>
  <c r="AC23" i="3" s="1"/>
  <c r="AB22" i="3"/>
  <c r="AC22" i="3" s="1"/>
  <c r="AB21" i="3"/>
  <c r="AC21" i="3" s="1"/>
  <c r="AB20" i="3"/>
  <c r="AC20" i="3" s="1"/>
  <c r="G18" i="4" l="1"/>
  <c r="F5" i="4"/>
  <c r="F18" i="4"/>
  <c r="G16" i="4"/>
  <c r="G14" i="4"/>
  <c r="G12" i="4"/>
  <c r="F16" i="4"/>
  <c r="F14" i="4"/>
  <c r="F12" i="4"/>
  <c r="E28" i="4" l="1"/>
  <c r="G28" i="4" s="1"/>
  <c r="I14" i="4" s="1"/>
  <c r="P10" i="4" s="1"/>
  <c r="P9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726A43-A817-49FD-8E53-B3A636B494F2}" keepAlive="1" name="Consulta - Tabla 1" description="Conexión a la consulta 'Tabla 1' en el libro." type="5" refreshedVersion="0" background="1">
    <dbPr connection="Provider=Microsoft.Mashup.OleDb.1;Data Source=$Workbook$;Location=&quot;Tabla 1&quot;;Extended Properties=&quot;&quot;" command="SELECT * FROM [Tabla 1]"/>
  </connection>
</connections>
</file>

<file path=xl/sharedStrings.xml><?xml version="1.0" encoding="utf-8"?>
<sst xmlns="http://schemas.openxmlformats.org/spreadsheetml/2006/main" count="7669" uniqueCount="1385">
  <si>
    <t>ENVIADO</t>
  </si>
  <si>
    <t>BANCOLOMBIA</t>
  </si>
  <si>
    <t>2Q</t>
  </si>
  <si>
    <t>NEQUI</t>
  </si>
  <si>
    <t>10Q</t>
  </si>
  <si>
    <t>6Q</t>
  </si>
  <si>
    <t>1Q+1N+2V</t>
  </si>
  <si>
    <t>BOLD</t>
  </si>
  <si>
    <t>1Q</t>
  </si>
  <si>
    <t>SKR SI/NO</t>
  </si>
  <si>
    <t>LIDER</t>
  </si>
  <si>
    <t>MONTO</t>
  </si>
  <si>
    <t>NOMBRE COMPLETO</t>
  </si>
  <si>
    <t>FECHA</t>
  </si>
  <si>
    <t>TOTAL</t>
  </si>
  <si>
    <t>QUINTILLION</t>
  </si>
  <si>
    <t>VIGINTILLION</t>
  </si>
  <si>
    <t>USD</t>
  </si>
  <si>
    <t>PESOS COLOMBIANOS</t>
  </si>
  <si>
    <t>PAGO TOTAL</t>
  </si>
  <si>
    <t xml:space="preserve">LIDER: </t>
  </si>
  <si>
    <t>QUINTILLION 5M</t>
  </si>
  <si>
    <t>NONGENTILLION 10M</t>
  </si>
  <si>
    <t>TOTAL -10%</t>
  </si>
  <si>
    <t>1% PAGO INICIAL</t>
  </si>
  <si>
    <t>FIDUCIA/NUBE</t>
  </si>
  <si>
    <t>25 SEP - 4 NOV</t>
  </si>
  <si>
    <t>LISTA</t>
  </si>
  <si>
    <t>NONGENTILLION</t>
  </si>
  <si>
    <t>MONEDA DE ZIM</t>
  </si>
  <si>
    <t>NOMBRE</t>
  </si>
  <si>
    <t>CC/ID/DNI</t>
  </si>
  <si>
    <t>CANT</t>
  </si>
  <si>
    <t>MONTO3</t>
  </si>
  <si>
    <t>MONTO2</t>
  </si>
  <si>
    <t>MONTO4</t>
  </si>
  <si>
    <t>CC-ID-DNI</t>
  </si>
  <si>
    <t>CANT2</t>
  </si>
  <si>
    <t>CANT4</t>
  </si>
  <si>
    <t>PAGO</t>
  </si>
  <si>
    <t>SI</t>
  </si>
  <si>
    <t>NO</t>
  </si>
  <si>
    <t>FIDUCIA</t>
  </si>
  <si>
    <t>NUBE</t>
  </si>
  <si>
    <t>CANT3</t>
  </si>
  <si>
    <t>VIGINTILLION 7,5M</t>
  </si>
  <si>
    <t>MONEDA ZIMBABWE 500k</t>
  </si>
  <si>
    <t>5Q+2N</t>
  </si>
  <si>
    <t>2Q+3N+5V</t>
  </si>
  <si>
    <t>3ZIMCOIN</t>
  </si>
  <si>
    <t>USDT</t>
  </si>
  <si>
    <t>2V</t>
  </si>
  <si>
    <t xml:space="preserve">BANCOLOMBIA </t>
  </si>
  <si>
    <t>WOMPI</t>
  </si>
  <si>
    <t>ID/CC/DNI</t>
  </si>
  <si>
    <t>PASAPORTE</t>
  </si>
  <si>
    <t>PAIS</t>
  </si>
  <si>
    <t>ESTADO</t>
  </si>
  <si>
    <t>CIUDAD</t>
  </si>
  <si>
    <t>DIRECCION</t>
  </si>
  <si>
    <t>COD POSTAL</t>
  </si>
  <si>
    <t>CORREO</t>
  </si>
  <si>
    <t xml:space="preserve">TELEFONO </t>
  </si>
  <si>
    <t>REF</t>
  </si>
  <si>
    <t>CIS/ MANDATE</t>
  </si>
  <si>
    <t>COLOMBIA</t>
  </si>
  <si>
    <t>VALLE DEL CAUCA</t>
  </si>
  <si>
    <t>CARTAGO</t>
  </si>
  <si>
    <t>N/A</t>
  </si>
  <si>
    <t>CALI</t>
  </si>
  <si>
    <t>COFRE</t>
  </si>
  <si>
    <t>CUNDINAMARCA</t>
  </si>
  <si>
    <t>BOGOTA D.C</t>
  </si>
  <si>
    <t>SANTANDER</t>
  </si>
  <si>
    <t>2N</t>
  </si>
  <si>
    <t>QUINDIO</t>
  </si>
  <si>
    <t>ARMENIA</t>
  </si>
  <si>
    <t>BANK</t>
  </si>
  <si>
    <t>VIGENTE</t>
  </si>
  <si>
    <t>1N</t>
  </si>
  <si>
    <t>REFERIDOS</t>
  </si>
  <si>
    <t>GIRO RULETA</t>
  </si>
  <si>
    <t>3N+3V</t>
  </si>
  <si>
    <t>4Q+6N+4V</t>
  </si>
  <si>
    <t>1V</t>
  </si>
  <si>
    <t>1ZIMCOIN</t>
  </si>
  <si>
    <t>6Q+6N</t>
  </si>
  <si>
    <t xml:space="preserve">PORCENTAJES </t>
  </si>
  <si>
    <t>BANCO</t>
  </si>
  <si>
    <t>% FIDUCIA</t>
  </si>
  <si>
    <t>% NUBE</t>
  </si>
  <si>
    <t>100%</t>
  </si>
  <si>
    <t>ORDEN DE PAGOS</t>
  </si>
  <si>
    <t>https://www.dolar-colombia.com/</t>
  </si>
  <si>
    <t>Consulta  con el valor del dólar (TRM) Aquí</t>
  </si>
  <si>
    <t>1% PAGO BANCO</t>
  </si>
  <si>
    <t>PAGO CON DESCUENTOS</t>
  </si>
  <si>
    <t>PEREIRA</t>
  </si>
  <si>
    <t>RISARALDA</t>
  </si>
  <si>
    <t>ESPAÑA</t>
  </si>
  <si>
    <t>HUILA</t>
  </si>
  <si>
    <t>NEIVA</t>
  </si>
  <si>
    <t>2Q+3N+2V</t>
  </si>
  <si>
    <t>DOSQUEBRADAS</t>
  </si>
  <si>
    <t>5Q</t>
  </si>
  <si>
    <t>3Q+1V</t>
  </si>
  <si>
    <t>REDEBAN</t>
  </si>
  <si>
    <t>2Q+1V</t>
  </si>
  <si>
    <t>2Q+2N</t>
  </si>
  <si>
    <t>DAVIPLATA</t>
  </si>
  <si>
    <t>ANTIOQUIA</t>
  </si>
  <si>
    <t>MEDELLIN</t>
  </si>
  <si>
    <t>COMODIN</t>
  </si>
  <si>
    <t>2Q+5N+2V</t>
  </si>
  <si>
    <t>DAVIVIENDA</t>
  </si>
  <si>
    <t>2Q+3N</t>
  </si>
  <si>
    <t>12Q</t>
  </si>
  <si>
    <t>3Q+4N+3V</t>
  </si>
  <si>
    <t>ECUADOR</t>
  </si>
  <si>
    <t>TOLIMA</t>
  </si>
  <si>
    <t>IBAGUE</t>
  </si>
  <si>
    <t>//</t>
  </si>
  <si>
    <t>PALMA DE MALLORCA</t>
  </si>
  <si>
    <t>WESTERN UNION</t>
  </si>
  <si>
    <t xml:space="preserve">VALLE DEL CAUCA </t>
  </si>
  <si>
    <t>1Q+1N+1V</t>
  </si>
  <si>
    <t>SUPREMO</t>
  </si>
  <si>
    <t xml:space="preserve">NO IDENTIFICADO </t>
  </si>
  <si>
    <t>GUARNE</t>
  </si>
  <si>
    <t>CESAR</t>
  </si>
  <si>
    <t>4Q+3N</t>
  </si>
  <si>
    <t>PERU</t>
  </si>
  <si>
    <t>20Q</t>
  </si>
  <si>
    <t>20MHK</t>
  </si>
  <si>
    <t>COMISION</t>
  </si>
  <si>
    <t>VALLE DE TENZA</t>
  </si>
  <si>
    <t>5ZIMCOIN</t>
  </si>
  <si>
    <t>META 1X10</t>
  </si>
  <si>
    <t>ESTADOS UNIDOS</t>
  </si>
  <si>
    <t xml:space="preserve">ECUADOR </t>
  </si>
  <si>
    <t xml:space="preserve">20MHK </t>
  </si>
  <si>
    <t>MONTO5</t>
  </si>
  <si>
    <t>BILLETE DE ZIMBABWE 12,5M</t>
  </si>
  <si>
    <t>AGROCHEQUE50M</t>
  </si>
  <si>
    <t xml:space="preserve">OTROS 
</t>
  </si>
  <si>
    <t>CANT5</t>
  </si>
  <si>
    <t>CANT6</t>
  </si>
  <si>
    <t>MONTO6</t>
  </si>
  <si>
    <t>CANT7</t>
  </si>
  <si>
    <t>MONTO7</t>
  </si>
  <si>
    <t>BILLETE DE ZIMBABWE</t>
  </si>
  <si>
    <t>AGROCHEQUE ZIM</t>
  </si>
  <si>
    <t>OTROS</t>
  </si>
  <si>
    <t>JOHANA CASTAÑEDA</t>
  </si>
  <si>
    <t>M06861842</t>
  </si>
  <si>
    <t>ramirezpallaresmariamercedes@gmail.com</t>
  </si>
  <si>
    <t>TRANSVERSAL 6 #11A-35</t>
  </si>
  <si>
    <t>LA JAGUA DE IBIRICO</t>
  </si>
  <si>
    <t>BD634363</t>
  </si>
  <si>
    <t>TROOMU3LLDEC</t>
  </si>
  <si>
    <t>(+57) 3043350061</t>
  </si>
  <si>
    <t>yuli2738@gmail.com</t>
  </si>
  <si>
    <t>VEREDA SILOE CAJIBÍO</t>
  </si>
  <si>
    <t>CAJIBIO</t>
  </si>
  <si>
    <t xml:space="preserve">CAUCA </t>
  </si>
  <si>
    <t>YULIETH CATALINA SÁNCHEZ CHÁVEZ</t>
  </si>
  <si>
    <t>M05232271</t>
  </si>
  <si>
    <t>(+57) 3206324781</t>
  </si>
  <si>
    <t>yrrb07@hotmail.com</t>
  </si>
  <si>
    <t xml:space="preserve">CALLE 19N # 15-66 BL 1 APT 104 CONJUNTO RESIDENCIAL LAS TORRES DE LAURELES </t>
  </si>
  <si>
    <t>BD075810</t>
  </si>
  <si>
    <t>YOHANNA ROSANA  REDONDO BONIVENTO</t>
  </si>
  <si>
    <t>M26538697</t>
  </si>
  <si>
    <t>915325</t>
  </si>
  <si>
    <t>(+57) 3116480855</t>
  </si>
  <si>
    <t>jenifre1112@gmail.com</t>
  </si>
  <si>
    <t>CALLE 10 CALLEJÓN EL CARMEN PRIMER PISO</t>
  </si>
  <si>
    <t>YENIFER CAROLINA SAAVEDRA SALAZAR</t>
  </si>
  <si>
    <t>27f55bf6-943d-43cb-99ab-6c719425b66c</t>
  </si>
  <si>
    <t>TRu9XkS4tQEC</t>
  </si>
  <si>
    <t>COMP. QUINTILLION</t>
  </si>
  <si>
    <t>(+57) 3157296980</t>
  </si>
  <si>
    <t>Mwrafael12@gmail.com</t>
  </si>
  <si>
    <t>MANZANA H CASA 5 ALAMEDA CUBA</t>
  </si>
  <si>
    <t xml:space="preserve">WILSON JAVIER PARDO SAMBONI </t>
  </si>
  <si>
    <t>0000093817</t>
  </si>
  <si>
    <t>(+57) 3148907010</t>
  </si>
  <si>
    <t>wilsoncamargo1951@gmail.com</t>
  </si>
  <si>
    <t>CALLE 12 30-80 CASASA PEREIRA</t>
  </si>
  <si>
    <t>BE036404</t>
  </si>
  <si>
    <t>WILSON CAMARGO HERRERA</t>
  </si>
  <si>
    <t>M12009883</t>
  </si>
  <si>
    <t>M18382621</t>
  </si>
  <si>
    <t xml:space="preserve">NEQUI </t>
  </si>
  <si>
    <t>M24883529</t>
  </si>
  <si>
    <t>M24723748</t>
  </si>
  <si>
    <t>M23783862</t>
  </si>
  <si>
    <t>1Q+5N+1V</t>
  </si>
  <si>
    <t>M23673206</t>
  </si>
  <si>
    <t>M12971313</t>
  </si>
  <si>
    <t>M10223294</t>
  </si>
  <si>
    <t>M11133677</t>
  </si>
  <si>
    <t>M1582271</t>
  </si>
  <si>
    <t>(+57) 3113716800</t>
  </si>
  <si>
    <t>VIVILILOPEZCAMACHO@GMAIL.COM</t>
  </si>
  <si>
    <t>CRA 6 # 26AN31 APTO 301</t>
  </si>
  <si>
    <t>POPAYAN</t>
  </si>
  <si>
    <t>VIVIANA LIZETTE LOPEZ CAMACHO</t>
  </si>
  <si>
    <t>0000092049</t>
  </si>
  <si>
    <t>946976</t>
  </si>
  <si>
    <t>(+57) 3154632508</t>
  </si>
  <si>
    <t>arbelaezflorezviviana@gmail.com</t>
  </si>
  <si>
    <t>AV 6B #35N 35 PORTAL ESTACIÓN 3</t>
  </si>
  <si>
    <t>VIVIANA ARBELAEZ FLOREZ</t>
  </si>
  <si>
    <t>M16821261</t>
  </si>
  <si>
    <t>10Q+5N+2V</t>
  </si>
  <si>
    <t>(+57) 3165711080</t>
  </si>
  <si>
    <t>valenbautistao38@gmail.com</t>
  </si>
  <si>
    <t>VALENTINA BAUTISTA OVIEDO</t>
  </si>
  <si>
    <t>M02607551</t>
  </si>
  <si>
    <t>(+57) 3208508557</t>
  </si>
  <si>
    <t>taniamariaarriaga09@gmail.com</t>
  </si>
  <si>
    <t xml:space="preserve">KARRERA 6 # 9-258 TORRE 7 APTO 101 CONJUNTO RESIDENCIAL CANARIAS CAJICA </t>
  </si>
  <si>
    <t>CAJICA</t>
  </si>
  <si>
    <t>AU179224</t>
  </si>
  <si>
    <t>TANIA MARIA ARRIAGA SALAS</t>
  </si>
  <si>
    <t>M11397405</t>
  </si>
  <si>
    <t>M05372288</t>
  </si>
  <si>
    <t>M01822654</t>
  </si>
  <si>
    <t>M21648709</t>
  </si>
  <si>
    <t>M02704620</t>
  </si>
  <si>
    <t>M4009903</t>
  </si>
  <si>
    <t>BANCO POPULAR</t>
  </si>
  <si>
    <t>(+57) 3176390719</t>
  </si>
  <si>
    <t>personal.seag28@gmail.com</t>
  </si>
  <si>
    <t>CALLE 38 44-18</t>
  </si>
  <si>
    <t>PALMIRA</t>
  </si>
  <si>
    <t>AY898331</t>
  </si>
  <si>
    <t>SOCORRO EUGENIA ALVARADO GIRON</t>
  </si>
  <si>
    <t>CNPSULMAKTZUM</t>
  </si>
  <si>
    <t>POR PAGINA</t>
  </si>
  <si>
    <t>107</t>
  </si>
  <si>
    <t>DAVIPLATA COMPARTIDO</t>
  </si>
  <si>
    <t>18Q</t>
  </si>
  <si>
    <t>5a28ef41d16ef0dee110cabdca 0aeb1e8314e18f011651eccbb0 1db009982119</t>
  </si>
  <si>
    <t>(+593) 968874307</t>
  </si>
  <si>
    <t>sineyyamilriveraparedes@gmail.com</t>
  </si>
  <si>
    <t>SAN MATEO " LA VICTORIA"</t>
  </si>
  <si>
    <t>ESMERALDAS</t>
  </si>
  <si>
    <t>B0850216</t>
  </si>
  <si>
    <t>SIDNEY YAMIL RIVERA PAREDES</t>
  </si>
  <si>
    <t>a9ccfa8a85af3efcf6190de29b0 841a580524267b10b65114c4b 84dfcc9259f7</t>
  </si>
  <si>
    <t>(+593) 991115236</t>
  </si>
  <si>
    <t>segundomartinez1965@gmail.com</t>
  </si>
  <si>
    <t>080102</t>
  </si>
  <si>
    <t>LOS ALMENDRO MS36 SL16 GENERAL RUMIÑAHUI PROCIO #4</t>
  </si>
  <si>
    <t xml:space="preserve">ESMERALDAS </t>
  </si>
  <si>
    <t>A8793384</t>
  </si>
  <si>
    <t>0801065434</t>
  </si>
  <si>
    <t xml:space="preserve">SEGUNDO JUVENCIO  MARTINEZ BATALLA </t>
  </si>
  <si>
    <t>(+593) 999532245</t>
  </si>
  <si>
    <t>donaldcastle0051@gmail.com</t>
  </si>
  <si>
    <t>URBANIZACIÓN LAS MERCEDES. MANZANA G-21. CALLE ELIAS AGUIRRE #174</t>
  </si>
  <si>
    <t>PIURA</t>
  </si>
  <si>
    <t>02866769</t>
  </si>
  <si>
    <t>SEGUNDO DONALDO CASTILLO ALAMA</t>
  </si>
  <si>
    <t>M17548106</t>
  </si>
  <si>
    <t>M14656570</t>
  </si>
  <si>
    <t>M12765583</t>
  </si>
  <si>
    <t>M14866224</t>
  </si>
  <si>
    <t>0000055095</t>
  </si>
  <si>
    <t>0000059949</t>
  </si>
  <si>
    <t>M8828539</t>
  </si>
  <si>
    <t>0000040170</t>
  </si>
  <si>
    <t>M19021237</t>
  </si>
  <si>
    <t>(+57) 3124327255</t>
  </si>
  <si>
    <t>santospolania777@hotmail.com</t>
  </si>
  <si>
    <t xml:space="preserve">CRA 18B 7 62 </t>
  </si>
  <si>
    <t>AY 389253</t>
  </si>
  <si>
    <t>SANTOS POLANIA PERALTA</t>
  </si>
  <si>
    <t>M22328401</t>
  </si>
  <si>
    <t>M12172748</t>
  </si>
  <si>
    <t>M10362232</t>
  </si>
  <si>
    <t>AY389253</t>
  </si>
  <si>
    <t>M15280264</t>
  </si>
  <si>
    <t>(+57) 3052379492</t>
  </si>
  <si>
    <t>Santiagobetancur81@gmail.com</t>
  </si>
  <si>
    <t>AZ697553</t>
  </si>
  <si>
    <t>SANTIAGO ANDRES BETANCUR FRANCO</t>
  </si>
  <si>
    <t>DAVIVIENDA BIUCHER COMPARTIDO</t>
  </si>
  <si>
    <t>440271</t>
  </si>
  <si>
    <t>(+57) 3106723798</t>
  </si>
  <si>
    <t>samymarin2808@gmail.com</t>
  </si>
  <si>
    <t>MANIZALES</t>
  </si>
  <si>
    <t>CALDAS</t>
  </si>
  <si>
    <t>SANDRA MILENA MARIN GOMEZ</t>
  </si>
  <si>
    <t>M1708985</t>
  </si>
  <si>
    <t>(+57) 3008921027</t>
  </si>
  <si>
    <t>lilyzuluaga27@gmail.com</t>
  </si>
  <si>
    <t>SANDRA LILIANA SOLANO ZULUAGA</t>
  </si>
  <si>
    <t>355508</t>
  </si>
  <si>
    <t>(+57) 3186363778</t>
  </si>
  <si>
    <t>sanly9174@gmail.com</t>
  </si>
  <si>
    <t>QUINTAS DE ARAGÓN MZ 4 CASA 2</t>
  </si>
  <si>
    <t>SANDRA LILIANA CARMONA CARMONA</t>
  </si>
  <si>
    <t>(+593) 0959705122</t>
  </si>
  <si>
    <t>fdemerastopper@gmail.com</t>
  </si>
  <si>
    <t>B1026813</t>
  </si>
  <si>
    <t>ROQUE FIDEL DEMERA STOPPER</t>
  </si>
  <si>
    <t>CNPGEU2I3ZDLO</t>
  </si>
  <si>
    <t>(+57) 3003588506</t>
  </si>
  <si>
    <t>olozano_cas@hotmaiul.com</t>
  </si>
  <si>
    <t>A C 147 # 7 - 20     APTO  402</t>
  </si>
  <si>
    <t>ORLANDO ANTONIO LOZANO CASTILLO</t>
  </si>
  <si>
    <t>647319</t>
  </si>
  <si>
    <t>CNPRSLOHIM9ZI</t>
  </si>
  <si>
    <t>M3877876</t>
  </si>
  <si>
    <t>M16601652</t>
  </si>
  <si>
    <t>(+57) 3015789922</t>
  </si>
  <si>
    <t>comisionadofuvida@gmail.com</t>
  </si>
  <si>
    <t>COMPRADERA DE CAJICA T14 AP401</t>
  </si>
  <si>
    <t>BE256077</t>
  </si>
  <si>
    <t>OLGA PATRICIA MORALES GIRALDO</t>
  </si>
  <si>
    <t>(+57) 3147398258</t>
  </si>
  <si>
    <t>BE860204</t>
  </si>
  <si>
    <t>OLGA ALEXANDRA LOPEZ CAMACHO</t>
  </si>
  <si>
    <t>LHXG7WAYXA</t>
  </si>
  <si>
    <t>TRYeOyDfWhEC</t>
  </si>
  <si>
    <t>0XHECOYWZM</t>
  </si>
  <si>
    <t>TRMIbNW7PJEC</t>
  </si>
  <si>
    <t>0000095436</t>
  </si>
  <si>
    <t>0000097743</t>
  </si>
  <si>
    <t>0000090043</t>
  </si>
  <si>
    <t>sherasilopez@gmail.com</t>
  </si>
  <si>
    <t>M3886113</t>
  </si>
  <si>
    <t>(+57) 3234854988</t>
  </si>
  <si>
    <t>nmc19912002@gmail.com</t>
  </si>
  <si>
    <t>VEREDA PUENTECILLAS</t>
  </si>
  <si>
    <t>CAUCA</t>
  </si>
  <si>
    <t>NOLVER MARTINEZ CASTRO</t>
  </si>
  <si>
    <t>(+51) 964662428</t>
  </si>
  <si>
    <t>nelvice33@gmail.com</t>
  </si>
  <si>
    <t>CALLE 21 NO 87B 36 T06 APTO 812</t>
  </si>
  <si>
    <t>BC765067</t>
  </si>
  <si>
    <t>NELSON VILLAMIZAR CELIS</t>
  </si>
  <si>
    <t>828-692-7691</t>
  </si>
  <si>
    <t>566-4580</t>
  </si>
  <si>
    <t>2706421471</t>
  </si>
  <si>
    <t>NEQUI BOUCHER COMPARTIDO</t>
  </si>
  <si>
    <t>M19335754</t>
  </si>
  <si>
    <t>(+57) 3004268137</t>
  </si>
  <si>
    <t>Josefinaescobar439@gmail.com</t>
  </si>
  <si>
    <t>LA DORADA</t>
  </si>
  <si>
    <t>MIRIAM GOMEZ ESCOBAR</t>
  </si>
  <si>
    <t>M16650834</t>
  </si>
  <si>
    <t xml:space="preserve">5Q </t>
  </si>
  <si>
    <t>844606</t>
  </si>
  <si>
    <t>232505</t>
  </si>
  <si>
    <t>PREMIO</t>
  </si>
  <si>
    <t>SORTEO</t>
  </si>
  <si>
    <t>1 GOOGOPLEX</t>
  </si>
  <si>
    <t>GOOGOPLEX</t>
  </si>
  <si>
    <t>M12867715</t>
  </si>
  <si>
    <t>M06797476</t>
  </si>
  <si>
    <t>M06583278</t>
  </si>
  <si>
    <t>M12287313</t>
  </si>
  <si>
    <t>M9904329</t>
  </si>
  <si>
    <t>(+57) 3218810667</t>
  </si>
  <si>
    <t>millerpinedaramirez@gmail.com</t>
  </si>
  <si>
    <t xml:space="preserve">CALLE 19 #38-38 </t>
  </si>
  <si>
    <t>AT667998</t>
  </si>
  <si>
    <t>MILLER LANDY PINEDA RAMIREZ</t>
  </si>
  <si>
    <t>M15077856</t>
  </si>
  <si>
    <t>(+57) 3185027262</t>
  </si>
  <si>
    <t>Muchsgs@gmail.com</t>
  </si>
  <si>
    <t>CLL 48J #5B - 23</t>
  </si>
  <si>
    <t>MICHAEL STEVEN GAVIRIA SANCHEZ</t>
  </si>
  <si>
    <t>M9436392</t>
  </si>
  <si>
    <t>(+549) 1128581763</t>
  </si>
  <si>
    <t>COLORADO DE LAS CONCHAS 298</t>
  </si>
  <si>
    <t>BUENOS AIRES</t>
  </si>
  <si>
    <t>ARGENTINA</t>
  </si>
  <si>
    <t>MICAELA ANDREA BERGARA</t>
  </si>
  <si>
    <t>081766</t>
  </si>
  <si>
    <t>(+57) 3127911679</t>
  </si>
  <si>
    <t>elcy1240@gmail.com</t>
  </si>
  <si>
    <t>050030</t>
  </si>
  <si>
    <t>CRA 83 B #31-44</t>
  </si>
  <si>
    <t>AY111428</t>
  </si>
  <si>
    <t xml:space="preserve">MARTA ELCY ALVAREZ PINEDA </t>
  </si>
  <si>
    <t>(+34) 673154781</t>
  </si>
  <si>
    <t>marineladovio@hotmail.com</t>
  </si>
  <si>
    <t>AZ755341</t>
  </si>
  <si>
    <t>MARINELA SALAZAR  MARQUEZ</t>
  </si>
  <si>
    <t>d717c45f-8a74-4556-ba01-bb0d7965af69</t>
  </si>
  <si>
    <t>bbbd7869-a405-456f-b802-6a690182a66a</t>
  </si>
  <si>
    <t>cea525fb-48dd-41c9-b389-2a437ca4a581</t>
  </si>
  <si>
    <t>a5a2baf9-92ca-44e0-b459-e3e956bce85e</t>
  </si>
  <si>
    <t>50149</t>
  </si>
  <si>
    <t>1084411515</t>
  </si>
  <si>
    <t>5647105278</t>
  </si>
  <si>
    <t>(+57) 3185888729</t>
  </si>
  <si>
    <t>roperovivasmarilu@gmail.com</t>
  </si>
  <si>
    <t>DIAGONAL 9 # 6-44</t>
  </si>
  <si>
    <t>BF881756</t>
  </si>
  <si>
    <t>MARILU ROPERO VIVAS</t>
  </si>
  <si>
    <t>M05654125</t>
  </si>
  <si>
    <t>M02366471</t>
  </si>
  <si>
    <t>(+57) 3138469529</t>
  </si>
  <si>
    <t>omairaname@gmail.com</t>
  </si>
  <si>
    <t>CALLE 45 #6A03 LAS FERIAS</t>
  </si>
  <si>
    <t>DORADA</t>
  </si>
  <si>
    <t>AX581309</t>
  </si>
  <si>
    <t>MARIA UMEIRA RAMIREZ ESCOBAR</t>
  </si>
  <si>
    <t>M13644438</t>
  </si>
  <si>
    <t>M11973353</t>
  </si>
  <si>
    <t>TRJARJ3golEC</t>
  </si>
  <si>
    <t>(+57) 3104528206</t>
  </si>
  <si>
    <t>Maria.narvaez201959@gmail.com</t>
  </si>
  <si>
    <t>CALLE 13 # 13 A04</t>
  </si>
  <si>
    <t>AU386657</t>
  </si>
  <si>
    <t xml:space="preserve">MARIA SONIA NARVAEZ </t>
  </si>
  <si>
    <t>0000090426</t>
  </si>
  <si>
    <t>0000096476</t>
  </si>
  <si>
    <t>(+57) 3207293488</t>
  </si>
  <si>
    <t>marianancy3060@hotmail.com</t>
  </si>
  <si>
    <t>CALLE 21 #16-85 PISO 2 LA PRADERA DOSQUEBRADAS - RISARALDA</t>
  </si>
  <si>
    <t>MARIA NANCY PALACIO GOMEZ</t>
  </si>
  <si>
    <t>MARIA MERCEDES RAMONEZ PALLARES</t>
  </si>
  <si>
    <t>(+57) 3146731611</t>
  </si>
  <si>
    <t>marialigia2008@hotmail.com</t>
  </si>
  <si>
    <t>MNZ C CASA 14 LAURELES II, SECTOR CUBA</t>
  </si>
  <si>
    <t>AY005778</t>
  </si>
  <si>
    <t>MARIA LIGIA CASTAÑEDA MARIN</t>
  </si>
  <si>
    <t>ab28a46b-0af7-40c7-6954-39684d465cfe</t>
  </si>
  <si>
    <t>ec9f54ef-d889-426c-9791-b9af543dd957</t>
  </si>
  <si>
    <t>7bcc7061-b0f0-483d-bd0e-794db2548589</t>
  </si>
  <si>
    <t>99f974b6-36e0-42a4-ae4c-b83791279725</t>
  </si>
  <si>
    <t>M22068161</t>
  </si>
  <si>
    <t>(+57) 3147374087</t>
  </si>
  <si>
    <t>isabelramirezcontreras@gmail.com</t>
  </si>
  <si>
    <t>MANZANA 29 CASA 54 POBLADO CAMPESTRE</t>
  </si>
  <si>
    <t>CANDELARIA</t>
  </si>
  <si>
    <t>MARIA ISABEL RAMIREZ CONTRERAS</t>
  </si>
  <si>
    <t>m-m-gomez@hotmail.com</t>
  </si>
  <si>
    <t>KR 10 9 81, LOS ALPES EL DOVIO VALLE DEL CAUCA</t>
  </si>
  <si>
    <t>BE351210</t>
  </si>
  <si>
    <t>MARIA DEL MAR GOMEZ SALAZAR</t>
  </si>
  <si>
    <t>54d4a217-af54-4d45-a0c9-88efd1edb9e1</t>
  </si>
  <si>
    <t>122770</t>
  </si>
  <si>
    <t>(+57) 3146627043</t>
  </si>
  <si>
    <t>mariadelcarmenortizlara27@gmail.com</t>
  </si>
  <si>
    <t>BH462771</t>
  </si>
  <si>
    <t>MARIA DEL CARMEN ORTIZ LARA</t>
  </si>
  <si>
    <t>TRCdNhJUhiEC</t>
  </si>
  <si>
    <t>Buriticaclaudia6@gmail.com</t>
  </si>
  <si>
    <t>MARIA CLAUDIA BURITICA CORTEZ</t>
  </si>
  <si>
    <t>0000092386</t>
  </si>
  <si>
    <t>M17040458</t>
  </si>
  <si>
    <t>(+57) 3118656990</t>
  </si>
  <si>
    <t>mcamila.urazan@gmail.com</t>
  </si>
  <si>
    <t>BF337406</t>
  </si>
  <si>
    <t xml:space="preserve">MARIA CAMILA  URAZAN BRICEÑO </t>
  </si>
  <si>
    <t>M4944150</t>
  </si>
  <si>
    <t>M02100909</t>
  </si>
  <si>
    <t>(+57) 3156731888</t>
  </si>
  <si>
    <t>manfredy.solano.1966@gmail.com</t>
  </si>
  <si>
    <t>CR 29A 105D 45</t>
  </si>
  <si>
    <t>MANZANARES</t>
  </si>
  <si>
    <t>BG775664</t>
  </si>
  <si>
    <t>MANFREDY ARMANDO SOLANO ZULUAGA</t>
  </si>
  <si>
    <t>M9515228</t>
  </si>
  <si>
    <t>M25201869</t>
  </si>
  <si>
    <t>(+57) 3042330359</t>
  </si>
  <si>
    <t>riqueza.luzmaria@gmail.com</t>
  </si>
  <si>
    <t>CLL 15 7 21 AP 802 ED CASTILLO REAL CENTRO</t>
  </si>
  <si>
    <t>AX038593</t>
  </si>
  <si>
    <t>LUZ MARIA CASTAÑO CORREA</t>
  </si>
  <si>
    <t>M09815316</t>
  </si>
  <si>
    <t>M20736479</t>
  </si>
  <si>
    <t>TRb280epwNEC</t>
  </si>
  <si>
    <t>M22529889</t>
  </si>
  <si>
    <t>M02363293</t>
  </si>
  <si>
    <t>M04552983</t>
  </si>
  <si>
    <t>4Q+5N+2V</t>
  </si>
  <si>
    <t>M39404816</t>
  </si>
  <si>
    <t>1Q+3N+1V</t>
  </si>
  <si>
    <t>M19566512</t>
  </si>
  <si>
    <t>M12401183</t>
  </si>
  <si>
    <t>(+57) 3166208649</t>
  </si>
  <si>
    <t>luzalby_florez2664@hotmail.com</t>
  </si>
  <si>
    <t xml:space="preserve">KRA 14 N 151-36 MONTECARLO SALADO </t>
  </si>
  <si>
    <t>AX115217</t>
  </si>
  <si>
    <t xml:space="preserve">LUZ ALBY  FLÓREZ SERRATO </t>
  </si>
  <si>
    <t>f4338415748a5e4f0562c0e2da06865154a78b08e9ea387739788b3eaa740271</t>
  </si>
  <si>
    <t>(+593) 980154706</t>
  </si>
  <si>
    <t>castilloalba237@gmail.com</t>
  </si>
  <si>
    <t>080116</t>
  </si>
  <si>
    <t>KM 7/2 VIA ATACAMES BARRIO " LA CANANGA"</t>
  </si>
  <si>
    <t>BO445979</t>
  </si>
  <si>
    <t>0802690271</t>
  </si>
  <si>
    <t>LUZ ALBA CASTILLO CASTILLO</t>
  </si>
  <si>
    <t>deb53185702b0d5debfb2da37 5068d33f6a1703c0a2c35dc603 2cec6f653e5b7</t>
  </si>
  <si>
    <t>(+593) 967088483</t>
  </si>
  <si>
    <t>faustinovilqui@gmail.com</t>
  </si>
  <si>
    <t>GRAN COLOMBIA SL25 CALLEJÓN TRES/BARRIO VENECIA/M57/BARTOLOMÉ RUIZ (CÉSAR FRANCO CARRION)-ESMERALDAS</t>
  </si>
  <si>
    <t>ESMERALDA</t>
  </si>
  <si>
    <t>B0850217</t>
  </si>
  <si>
    <t>LUIS VILLALBA QUIÑONEZ</t>
  </si>
  <si>
    <t>(+57) 3217346819</t>
  </si>
  <si>
    <t>villafersh.2901@gmail.com</t>
  </si>
  <si>
    <t xml:space="preserve">CRA 17 15-71 MZ 12 CASA 6 </t>
  </si>
  <si>
    <t>BF832112</t>
  </si>
  <si>
    <t>LUIS FERNANDO CONTRERAS ARCILA</t>
  </si>
  <si>
    <t>M5377765</t>
  </si>
  <si>
    <t>M6365854</t>
  </si>
  <si>
    <t>COMP. COCTEL</t>
  </si>
  <si>
    <t>TRAhjiX6JXEC</t>
  </si>
  <si>
    <t>(+57) 3133168811</t>
  </si>
  <si>
    <t>hernandezcortesluiseduardo10@gmail.com</t>
  </si>
  <si>
    <t xml:space="preserve">VEREDA CALIBIO </t>
  </si>
  <si>
    <t>BA684724</t>
  </si>
  <si>
    <t>LUIS EDUARDO HERNANDEZ CORTES</t>
  </si>
  <si>
    <t>M15113340</t>
  </si>
  <si>
    <t>0000090419</t>
  </si>
  <si>
    <t>0000093848</t>
  </si>
  <si>
    <t>M14985069</t>
  </si>
  <si>
    <t>(+57) 3002575449</t>
  </si>
  <si>
    <t>rodriguezluiscarlos52@gmail.com</t>
  </si>
  <si>
    <t>CALLE 8#15 -22</t>
  </si>
  <si>
    <t>IBAGUÉ</t>
  </si>
  <si>
    <t>LUIS CARLOS RODRIGUEZ CUBILLOS</t>
  </si>
  <si>
    <t>M10977219</t>
  </si>
  <si>
    <t>(+57) 3202437726</t>
  </si>
  <si>
    <t>luiscasanova04z@gmail.com</t>
  </si>
  <si>
    <t>BAJITO TUMACO</t>
  </si>
  <si>
    <t>NARIÑO</t>
  </si>
  <si>
    <t>LUIS AVELINO  PLAZA CASANOVA</t>
  </si>
  <si>
    <t>(+57) 3113546108</t>
  </si>
  <si>
    <t>luchoibague2@hotmail.com</t>
  </si>
  <si>
    <t>CARRERA 19A 4A2 21 CASA 15, MANIZALES</t>
  </si>
  <si>
    <t>AV303721</t>
  </si>
  <si>
    <t>LUIS ALBERTO RODRIGUEZ SANCHEZ</t>
  </si>
  <si>
    <t>283988</t>
  </si>
  <si>
    <t>6Q+8N+6V</t>
  </si>
  <si>
    <t>M07340206</t>
  </si>
  <si>
    <t>7Q+2N+1V</t>
  </si>
  <si>
    <t>M03947801</t>
  </si>
  <si>
    <t>M14500392</t>
  </si>
  <si>
    <t>199354</t>
  </si>
  <si>
    <t>M9223495</t>
  </si>
  <si>
    <t>1000Q</t>
  </si>
  <si>
    <t>(+57) 3015455679</t>
  </si>
  <si>
    <t>luis_aposada@hotmail.com</t>
  </si>
  <si>
    <t>PE160022</t>
  </si>
  <si>
    <t>LUIS ALBERTO POSADA HERNANDEZ</t>
  </si>
  <si>
    <t>(+57) 3008866333</t>
  </si>
  <si>
    <t>lisiarredondo@gmail.com</t>
  </si>
  <si>
    <t>LISIMACO ARREDONDO RINCON</t>
  </si>
  <si>
    <t>M20339116</t>
  </si>
  <si>
    <t>4Q</t>
  </si>
  <si>
    <t>014049</t>
  </si>
  <si>
    <t>TR5Hvu6nWrEC</t>
  </si>
  <si>
    <t>(+57) 3136209476</t>
  </si>
  <si>
    <t>Leonbolivarlopez@gmail.com</t>
  </si>
  <si>
    <t>BA680538</t>
  </si>
  <si>
    <t>LEON BOLIVAR LOPEZ SAMBONI</t>
  </si>
  <si>
    <t>0000095437</t>
  </si>
  <si>
    <t>0000075954</t>
  </si>
  <si>
    <t>(+57) 3216445692</t>
  </si>
  <si>
    <t>killingit2022@gmail.com</t>
  </si>
  <si>
    <t>KM2 VIA ALCALA VILLAS DE TOLEDO CS 5C</t>
  </si>
  <si>
    <t>AY355304</t>
  </si>
  <si>
    <t>LAURA REYES CASTAÑO</t>
  </si>
  <si>
    <t>519d1b9e32811b6ef87f36dd270 835e2403127eb37ff2c9b03dcc4 5be3ce1844</t>
  </si>
  <si>
    <t>(+593) 964142592</t>
  </si>
  <si>
    <t>lauramercedesmarquezyorente@gmail.com</t>
  </si>
  <si>
    <t>MANTA</t>
  </si>
  <si>
    <t>MANABI</t>
  </si>
  <si>
    <t xml:space="preserve">B0246686 </t>
  </si>
  <si>
    <t xml:space="preserve">LAURA MERCEDES   MÁRQUEZ YORENTE </t>
  </si>
  <si>
    <t>5N</t>
  </si>
  <si>
    <t>(+57) 3245492838</t>
  </si>
  <si>
    <t>kattymarlarios85@gmail.com</t>
  </si>
  <si>
    <t>CALLE 6 # 10-22 BARRIO CENTRO</t>
  </si>
  <si>
    <t>ZAMBRANO</t>
  </si>
  <si>
    <t>BOLIVAR</t>
  </si>
  <si>
    <t>AZ082469</t>
  </si>
  <si>
    <t>KATTYA MARGARITA LARIOS CARDONA</t>
  </si>
  <si>
    <t>M03678244</t>
  </si>
  <si>
    <t>M09637744</t>
  </si>
  <si>
    <t>(+57) 3235164681</t>
  </si>
  <si>
    <t>juanpasacar91@gmail.com</t>
  </si>
  <si>
    <t xml:space="preserve"> VILLA NUBELLY</t>
  </si>
  <si>
    <t xml:space="preserve">QUINDIO </t>
  </si>
  <si>
    <t>BE188027</t>
  </si>
  <si>
    <t>JUAN PABLO SANCHEZ CARDONA</t>
  </si>
  <si>
    <t>M38029248</t>
  </si>
  <si>
    <t>0000092918</t>
  </si>
  <si>
    <t>M14670100</t>
  </si>
  <si>
    <t>2fc87954-7947-44b4-8dcc-blac4931c51b</t>
  </si>
  <si>
    <t>(+549) 1134267876</t>
  </si>
  <si>
    <t>jeg.4707@gmail.com</t>
  </si>
  <si>
    <t>B1644AVX</t>
  </si>
  <si>
    <t>GUIDO SPANO 2800-EDIFICIO 217-PISO 1-DEPARTAMENTO A-VICTORIA</t>
  </si>
  <si>
    <t>AAE364283</t>
  </si>
  <si>
    <t>JOSE ESTEBAN GOMEZ</t>
  </si>
  <si>
    <t>510717</t>
  </si>
  <si>
    <t>(+507) 67442142</t>
  </si>
  <si>
    <t>aramirez1003@gmail.com</t>
  </si>
  <si>
    <t>PANAMÁ</t>
  </si>
  <si>
    <t>AR876232</t>
  </si>
  <si>
    <t>E852841</t>
  </si>
  <si>
    <t>JOSE ADOLFO RAMIREZ GALVIS</t>
  </si>
  <si>
    <t>(+593) 997379304</t>
  </si>
  <si>
    <t>jorgeluissosamercado@gmail.com</t>
  </si>
  <si>
    <t>BARRIO SAN JORGE CALLE SÉPTIMA SOLAR 3 Y CALLE C</t>
  </si>
  <si>
    <t>B0915333</t>
  </si>
  <si>
    <t>JORGE LUIS SOSA MERCADO</t>
  </si>
  <si>
    <t>077-465-2781</t>
  </si>
  <si>
    <t>4512093815</t>
  </si>
  <si>
    <t>d77ee34cf31f99aa53927484e6ac91b0e9d7d356363e00d2ede6dd176d723f8f</t>
  </si>
  <si>
    <t>2b5e6edba9136b6662a1b450f 7e5afeb81949d75f578a2acac2 d10c32f127445</t>
  </si>
  <si>
    <t>2Q+7N+2V</t>
  </si>
  <si>
    <t>(+57) 3154422887</t>
  </si>
  <si>
    <t>georgeroca73@gmail.com</t>
  </si>
  <si>
    <t>055420</t>
  </si>
  <si>
    <t>BA545914</t>
  </si>
  <si>
    <t xml:space="preserve">JORGE ELIECER RODRIGUEZ CASTRO </t>
  </si>
  <si>
    <t>M27222884</t>
  </si>
  <si>
    <t>JORGE ELIECER RODRIGUEZ CASTRO</t>
  </si>
  <si>
    <t>TRod9r10MsEC</t>
  </si>
  <si>
    <t>M24816071</t>
  </si>
  <si>
    <t>013639</t>
  </si>
  <si>
    <t>TReJjp42RGEC</t>
  </si>
  <si>
    <t>(+57) 3214567777</t>
  </si>
  <si>
    <t>maicol314827@gmail.com</t>
  </si>
  <si>
    <t xml:space="preserve">JOHN MICHAEL LOPEZ CORDOBA </t>
  </si>
  <si>
    <t>0000094459</t>
  </si>
  <si>
    <t>M12835124</t>
  </si>
  <si>
    <t>(+57) 3117469316</t>
  </si>
  <si>
    <t>jbcarvajal73@gmail.com</t>
  </si>
  <si>
    <t>CL 51 CR 81 B 51(INTERIOR 201)</t>
  </si>
  <si>
    <t>BF795504</t>
  </si>
  <si>
    <t>JOHN BAYRON CARVAJAL MUÑOZ</t>
  </si>
  <si>
    <t>M3861893</t>
  </si>
  <si>
    <t>(+57) 3117199115</t>
  </si>
  <si>
    <t>johncampo400@gmail.com</t>
  </si>
  <si>
    <t>JAMUNDI</t>
  </si>
  <si>
    <t>BH894861</t>
  </si>
  <si>
    <t>JOHN ALEXANDER CAMPO NARVAEZ</t>
  </si>
  <si>
    <t>M27612369</t>
  </si>
  <si>
    <t>M08323185</t>
  </si>
  <si>
    <t>(+593)969068910</t>
  </si>
  <si>
    <t>paobillonaria85@gmail.com</t>
  </si>
  <si>
    <t>BERNARDO DE LEGARDA #V. N62-45 Y 5TA TRANSVERSAL, PISO P. 2</t>
  </si>
  <si>
    <t>QUITO</t>
  </si>
  <si>
    <t>PICHINCHA</t>
  </si>
  <si>
    <t>B0989706</t>
  </si>
  <si>
    <t>JOHANNA PAOLA CARRERA OJEDA</t>
  </si>
  <si>
    <t>M18311185</t>
  </si>
  <si>
    <t>13166</t>
  </si>
  <si>
    <t>(+57) 3103854934</t>
  </si>
  <si>
    <t>Jobistata@gmail.com</t>
  </si>
  <si>
    <t>BARRIO EMPERADOR MANZANA A NUMERO 39</t>
  </si>
  <si>
    <t>BG168145</t>
  </si>
  <si>
    <t xml:space="preserve">JOHANNA  BEDOYA SALGADO </t>
  </si>
  <si>
    <t>53255</t>
  </si>
  <si>
    <t>META VENTAS HASTA 8 DE  MAYO</t>
  </si>
  <si>
    <t>124Q</t>
  </si>
  <si>
    <t>(+57) 3137153795</t>
  </si>
  <si>
    <t>johanacastacano1@gmail.com</t>
  </si>
  <si>
    <t>AV842704</t>
  </si>
  <si>
    <t>JOHANA TATIANA CASTAÑEDA CANO</t>
  </si>
  <si>
    <t>META ALCANZADA HASTA 7 ABRIL</t>
  </si>
  <si>
    <t>42ZIMCOIN</t>
  </si>
  <si>
    <t>74V</t>
  </si>
  <si>
    <t>646586</t>
  </si>
  <si>
    <t>619834</t>
  </si>
  <si>
    <t>800387</t>
  </si>
  <si>
    <t>2AGROCH</t>
  </si>
  <si>
    <t>58929328</t>
  </si>
  <si>
    <t>3N</t>
  </si>
  <si>
    <t>M09732571</t>
  </si>
  <si>
    <t>(+49) 017687952200</t>
  </si>
  <si>
    <t>jfracarr@gmail.com</t>
  </si>
  <si>
    <t>KÄTHNERORT 62, 22083 HAMBURG</t>
  </si>
  <si>
    <t>HAMBURG</t>
  </si>
  <si>
    <t>ALEMANIA</t>
  </si>
  <si>
    <t>AU386406</t>
  </si>
  <si>
    <t>JOHAN HAROLD FRAGOSO CARRILLO</t>
  </si>
  <si>
    <t>3814d0c2dd9851529376f1b57174950219f600fea19b822ad30cf63fee150619</t>
  </si>
  <si>
    <t>(+57) 3134223253</t>
  </si>
  <si>
    <t>yimiadolfoc@gmail.com</t>
  </si>
  <si>
    <t>BARRIO BELLA VISTA NORTE AV. PEDRO VICENTE MALDONADO Y JULIO ESTUPIÑAN TELLO PARROQUIA BARTOLOME RUIZ- CANTON ESMERALDAS - PROVINCIA ESMERALDAS</t>
  </si>
  <si>
    <t>B0860350</t>
  </si>
  <si>
    <t>JIMMY ADOLFO CASTILLO QUINTERO</t>
  </si>
  <si>
    <t>M10318491</t>
  </si>
  <si>
    <t>(+57) 3185614249</t>
  </si>
  <si>
    <t>crohuel@yahoo.com</t>
  </si>
  <si>
    <t>CALLE 43A KR 1-89 PISO 01 BARRIO SANTAMARÍA DEL PALMAR</t>
  </si>
  <si>
    <t>BD809055</t>
  </si>
  <si>
    <t>JHON LUIS CRUEL MARIN</t>
  </si>
  <si>
    <t>(+57) 3122875572</t>
  </si>
  <si>
    <t>jhonjadero2011@gmail.com</t>
  </si>
  <si>
    <t>JHON JADER OYOLA OSORIO</t>
  </si>
  <si>
    <t>77755aa7-b4d2-4154-96dc-d0dce17509bd</t>
  </si>
  <si>
    <t>1669ed06-a602-4606-a9ef-dc56e5d830e9</t>
  </si>
  <si>
    <t>17Q+14N</t>
  </si>
  <si>
    <t>8c2ed5a5-1775-46e7-8414-68d1b917c2ad</t>
  </si>
  <si>
    <t>25Q+10N</t>
  </si>
  <si>
    <t>40d3f51b-4920-481b-8c55-586ddf88a469</t>
  </si>
  <si>
    <t>20Q+8N</t>
  </si>
  <si>
    <t>2e4d856e-8d00-4b47-b651-fbfa1ff6f927</t>
  </si>
  <si>
    <t>4f6b38f4-0766-4d1d-aeb8-537c1a3c60a4</t>
  </si>
  <si>
    <t>6ZIMCOIN</t>
  </si>
  <si>
    <t>0032921f-67c8-4ea9-b3a2-3a772564b450</t>
  </si>
  <si>
    <t>6Q+5N+2V</t>
  </si>
  <si>
    <t>4540</t>
  </si>
  <si>
    <t>M2603918</t>
  </si>
  <si>
    <t>(+57) 3152030301</t>
  </si>
  <si>
    <t>jhencarvallo@gmail.com</t>
  </si>
  <si>
    <t>052460</t>
  </si>
  <si>
    <t>TARAZA</t>
  </si>
  <si>
    <t>BE847891</t>
  </si>
  <si>
    <t xml:space="preserve">JHEN JADY  CARVALLO PARRA </t>
  </si>
  <si>
    <t>M13369417</t>
  </si>
  <si>
    <t>(+57)3012315503</t>
  </si>
  <si>
    <t>jesseniaparramz@gmail.com</t>
  </si>
  <si>
    <t>DIAGONAL 10 # 6-38 BELLO HORIZONTE</t>
  </si>
  <si>
    <t>AX136161</t>
  </si>
  <si>
    <t>JESSENIA EMILIA PARRA MENDOZA</t>
  </si>
  <si>
    <t>TR3cN6z8wCEC</t>
  </si>
  <si>
    <t>(+57) 3041185518</t>
  </si>
  <si>
    <t>jeison_1283@hotmail.com</t>
  </si>
  <si>
    <t>BE601245</t>
  </si>
  <si>
    <t>JEISON ALEXIS LOPEZ CORDOBA</t>
  </si>
  <si>
    <t>0000092597</t>
  </si>
  <si>
    <t>M9995935</t>
  </si>
  <si>
    <t>(+57) 3219888145</t>
  </si>
  <si>
    <t>castrojayer321@gmail.com</t>
  </si>
  <si>
    <t>KRA 4 #6-46</t>
  </si>
  <si>
    <t>LEIVA</t>
  </si>
  <si>
    <t>JAYER MARTINEZ CASTRO</t>
  </si>
  <si>
    <t>TERRAPLAY</t>
  </si>
  <si>
    <t>M03905012</t>
  </si>
  <si>
    <t>2Q+2N+2V</t>
  </si>
  <si>
    <t>(+593) 999158983</t>
  </si>
  <si>
    <t>jdvm8678@gmail.com</t>
  </si>
  <si>
    <t>080150</t>
  </si>
  <si>
    <t>ACCESO 1 SL5 ISLA PIANGUAPI</t>
  </si>
  <si>
    <t>BO915334</t>
  </si>
  <si>
    <t>JAVIER DAVID VACA MERO</t>
  </si>
  <si>
    <t>f27043828d3aa81bcdef4aeeff6 cb002d8c4987721d2a92fbf674 b1f4eb81b8f</t>
  </si>
  <si>
    <t>M20331839</t>
  </si>
  <si>
    <t>(+57) 3146231483</t>
  </si>
  <si>
    <t>jadermauriciov@gmail.com</t>
  </si>
  <si>
    <t>CR2 # 3 - 07 CGTO ALBAN, MUNICIPIO DE EL CAIRO</t>
  </si>
  <si>
    <t>EL CAIRO</t>
  </si>
  <si>
    <t>JADER MAURICIO VANEGAS SANCHEZ</t>
  </si>
  <si>
    <t>M10054885</t>
  </si>
  <si>
    <t>M9358775</t>
  </si>
  <si>
    <t>CR 2 # 3 - 07 CORREGIMIENTO DE ALBAN - MUNICIPIO DE EL CAIRO</t>
  </si>
  <si>
    <t>(+1) 4014160832</t>
  </si>
  <si>
    <t>ivonn.montoyad@gmail.com</t>
  </si>
  <si>
    <t>143 CENTRAL AVE</t>
  </si>
  <si>
    <t>PAWTUCKET</t>
  </si>
  <si>
    <t>RHODE ISLAND</t>
  </si>
  <si>
    <t>BE567331</t>
  </si>
  <si>
    <t>IVON NATALIA MONTOYA DUQUE</t>
  </si>
  <si>
    <t>f6351df69d6e0ab2c8c059ab4c 2ad94f41225c730ffa797a184c6 34fa7097ee7</t>
  </si>
  <si>
    <t>(+593) 982544506</t>
  </si>
  <si>
    <t>cochitarica.3@gmail.com</t>
  </si>
  <si>
    <t>ACCESO 1 SL5 ISLA PIANGUAPI / B ISLA PIANGUAPI / M110</t>
  </si>
  <si>
    <t>B0922857</t>
  </si>
  <si>
    <t>IVIS LEONORA LAJONES RUANO</t>
  </si>
  <si>
    <t>P8MZ97LGQH</t>
  </si>
  <si>
    <t>(+57) 3016281288</t>
  </si>
  <si>
    <t>050033</t>
  </si>
  <si>
    <t xml:space="preserve">CR 118 CL 39D-97 </t>
  </si>
  <si>
    <t>HERNAN ALONSO MONTOYA BARRIENTOS</t>
  </si>
  <si>
    <t>M5173325</t>
  </si>
  <si>
    <t>(+57) 3102996096</t>
  </si>
  <si>
    <t>gustavocastano1965@gmail.com</t>
  </si>
  <si>
    <t>CRA 25 20 48 EDI VEROKA APT 302</t>
  </si>
  <si>
    <t>AY319708</t>
  </si>
  <si>
    <t>GUSTAVO CASTAÑO LONDOÑO</t>
  </si>
  <si>
    <t>(+57)3163903093</t>
  </si>
  <si>
    <t>griscastro1968@gmail.com</t>
  </si>
  <si>
    <t>GRISELDA CASTRO SANCHEZ</t>
  </si>
  <si>
    <t>M14559697</t>
  </si>
  <si>
    <t>TRLOyscJECEC</t>
  </si>
  <si>
    <t>(+57) 3104754236</t>
  </si>
  <si>
    <t>yerycardona2016@gmail.com</t>
  </si>
  <si>
    <t>CALLE 89 N.29-65 MZ5 C16 SANTA JUANA DE LAS VILLAS.AVENIDA SUR</t>
  </si>
  <si>
    <t>AT644530</t>
  </si>
  <si>
    <t>GIRINEIRIE CARDONA RESTREPO</t>
  </si>
  <si>
    <t>M14128559</t>
  </si>
  <si>
    <t>MI43ATCUFK</t>
  </si>
  <si>
    <t>M28697103</t>
  </si>
  <si>
    <t>(+57)3007426856</t>
  </si>
  <si>
    <t>geovannybr1981@gmail.com</t>
  </si>
  <si>
    <t>GEOVANY BUITRAGO RAMIREZ</t>
  </si>
  <si>
    <t>069455</t>
  </si>
  <si>
    <t>(+593) 958834750</t>
  </si>
  <si>
    <t>rubencaicedonegociodigital@gmail.com</t>
  </si>
  <si>
    <t>A9914082</t>
  </si>
  <si>
    <t>FREDDY RUBEN CAICEDO GRACIA</t>
  </si>
  <si>
    <t>e76e015a855aa278b0766a66c c788f64feef11410130bebff34a 120075eb4d60</t>
  </si>
  <si>
    <t xml:space="preserve">(+593) 958834750 </t>
  </si>
  <si>
    <t xml:space="preserve">A9914082 </t>
  </si>
  <si>
    <t>0802595819</t>
  </si>
  <si>
    <t>ac4bb40de76103ae5e60bce1b 591d7434b1b1cec16703b6788 72db432157decb</t>
  </si>
  <si>
    <t xml:space="preserve">(+593) 997291185 </t>
  </si>
  <si>
    <t>fredatelop@gmail.com</t>
  </si>
  <si>
    <t>GRAN COLOMBIA SL25 CALLEJÓN TRES /BARRIO VENECIA/ M57/BARTOLOMÉ RUÍZ (CÉSAR FRANCO CARRION) -ESMERALDAS</t>
  </si>
  <si>
    <t>A3839824</t>
  </si>
  <si>
    <t>FREDA YANARA TELLO LÓPEZ</t>
  </si>
  <si>
    <t>0000093980</t>
  </si>
  <si>
    <t>(+57) 3154227933</t>
  </si>
  <si>
    <t>fransdey@gmail.com</t>
  </si>
  <si>
    <t xml:space="preserve">CRA 1A # 31 -47 B/ PRIMERO DE MAYO </t>
  </si>
  <si>
    <t>BF832170</t>
  </si>
  <si>
    <t xml:space="preserve">FRANS ORFINDEY  GUTIERREZ NOREÑA </t>
  </si>
  <si>
    <t>M20204851</t>
  </si>
  <si>
    <t>(+57) 3207924233</t>
  </si>
  <si>
    <t>yulianabolanos593@gmail.com</t>
  </si>
  <si>
    <t>VEREDA BELLA VISTA</t>
  </si>
  <si>
    <t>TIMBIO</t>
  </si>
  <si>
    <t>FRANCY YULIANA BOLAÑOS PERAFAN</t>
  </si>
  <si>
    <t>M28320974</t>
  </si>
  <si>
    <t>(+57) 3147854604</t>
  </si>
  <si>
    <t>fabiosanchez171059@gmail.com</t>
  </si>
  <si>
    <t>MNZ E CS 16 URB EL DORADO IBAGUE</t>
  </si>
  <si>
    <t>BD784104</t>
  </si>
  <si>
    <t>FABIO EFREN SANCHEZ</t>
  </si>
  <si>
    <t>M16596258</t>
  </si>
  <si>
    <t>4N</t>
  </si>
  <si>
    <t>(+57) 3015033149</t>
  </si>
  <si>
    <t>erickcano076@gmail.com</t>
  </si>
  <si>
    <t>CLL19 # 38-38 CAMPAMENTO</t>
  </si>
  <si>
    <t>BF337405</t>
  </si>
  <si>
    <t>ERIK ALEJANDRO CASTAÑEDA CANO</t>
  </si>
  <si>
    <t>M23891622</t>
  </si>
  <si>
    <t>TQTBBLR4L5</t>
  </si>
  <si>
    <t>(+57) 3114291925</t>
  </si>
  <si>
    <t>evalencia6445@gmail.com</t>
  </si>
  <si>
    <t>ERICKA YAMILE VALENCIA GOMEZ</t>
  </si>
  <si>
    <t>0000048720</t>
  </si>
  <si>
    <t>M10992188</t>
  </si>
  <si>
    <t>M02071647</t>
  </si>
  <si>
    <t>(+57) 3163275130</t>
  </si>
  <si>
    <t>emita021@gmail.com</t>
  </si>
  <si>
    <t>LOTE 8 MANZANA 0 VILLA ESPERANZA</t>
  </si>
  <si>
    <t>EMILSEN YANGANA OLIVAR</t>
  </si>
  <si>
    <t>M09540911</t>
  </si>
  <si>
    <t>M13018057</t>
  </si>
  <si>
    <t>(+57) 3113546107</t>
  </si>
  <si>
    <t>elsa_0626@hotmail.com</t>
  </si>
  <si>
    <t>CARRERA 19A 4A2-21 CASA 15</t>
  </si>
  <si>
    <t>AV404654</t>
  </si>
  <si>
    <t>ELSA PATRICIA MARULANDA GIRALDO</t>
  </si>
  <si>
    <t>(+57) 3123154017</t>
  </si>
  <si>
    <t>eliassanabriamelgarejo@gmail.com</t>
  </si>
  <si>
    <t>CARRERA 13 # 19 - 93</t>
  </si>
  <si>
    <t>CHARALA</t>
  </si>
  <si>
    <t>BE134345</t>
  </si>
  <si>
    <t>ELIAS SANABRIA MELGAREJO</t>
  </si>
  <si>
    <t>M17950556</t>
  </si>
  <si>
    <t>M14773681</t>
  </si>
  <si>
    <t>M12499754</t>
  </si>
  <si>
    <t>M11911834</t>
  </si>
  <si>
    <t>M21532276</t>
  </si>
  <si>
    <t>(+57) 3045730698</t>
  </si>
  <si>
    <t>felipemazorra123@gmail.com</t>
  </si>
  <si>
    <t>CRA 6 CLL 26AN-31</t>
  </si>
  <si>
    <t>DIEGO FELIPE MAZORRA</t>
  </si>
  <si>
    <t>0000090317</t>
  </si>
  <si>
    <t>(+57) 3112154756</t>
  </si>
  <si>
    <t>dianapatricia.arbelaezflorez@gmail.com</t>
  </si>
  <si>
    <t>SEVILLA</t>
  </si>
  <si>
    <t>BA621141</t>
  </si>
  <si>
    <t>DIANA PATRICIA ARBELAEZ FLOREZ</t>
  </si>
  <si>
    <t>M19076408</t>
  </si>
  <si>
    <t>0000090025</t>
  </si>
  <si>
    <t>1ZIMBILL</t>
  </si>
  <si>
    <t>069692</t>
  </si>
  <si>
    <t>0000092800</t>
  </si>
  <si>
    <t>(+57) 3218068881</t>
  </si>
  <si>
    <t>yayamarcelasm@hotmail.com</t>
  </si>
  <si>
    <t>BA291405</t>
  </si>
  <si>
    <t xml:space="preserve">DIANA MARCELA SANCHEZ MARIN </t>
  </si>
  <si>
    <t>M10273096</t>
  </si>
  <si>
    <t>(+57) 3134728208</t>
  </si>
  <si>
    <t>deliarey87@gmail.com</t>
  </si>
  <si>
    <t>CALLE 32 N° 13 - 106 BARRIO LOS ROSALES / TORRE 3 APTO 301 CONJUNTO BARCELONA</t>
  </si>
  <si>
    <t>VILLAVICENCIO</t>
  </si>
  <si>
    <t>META</t>
  </si>
  <si>
    <t>AY186427</t>
  </si>
  <si>
    <t>DELIA MARIA REY ACOSTA</t>
  </si>
  <si>
    <t>39884</t>
  </si>
  <si>
    <t>(+549) 1131708439</t>
  </si>
  <si>
    <t>cristianestebanlezcano@gmail.com</t>
  </si>
  <si>
    <t>AAG931016</t>
  </si>
  <si>
    <t>CRISTIAN ESTEBAN LEZCANO</t>
  </si>
  <si>
    <t>46048</t>
  </si>
  <si>
    <t>0000034865</t>
  </si>
  <si>
    <t>(+57) 3137336808</t>
  </si>
  <si>
    <t>cristianherrera2611@gmail.com</t>
  </si>
  <si>
    <t>CALLE 19#39-10</t>
  </si>
  <si>
    <t>CRISTIAN DAVID HERRERA MARÍN</t>
  </si>
  <si>
    <t>M20983049</t>
  </si>
  <si>
    <t>M10171087</t>
  </si>
  <si>
    <t>(+57) 3225876755</t>
  </si>
  <si>
    <t>claumardd@gmail.com</t>
  </si>
  <si>
    <t xml:space="preserve">CLAUDIA MARCELA  MARULANDA  GIRALDO </t>
  </si>
  <si>
    <t>(+57) 3206863633</t>
  </si>
  <si>
    <t>clelopezca@gmail.com</t>
  </si>
  <si>
    <t xml:space="preserve">VEREDA CALIBIO DE POPAYAN </t>
  </si>
  <si>
    <t>AV514788</t>
  </si>
  <si>
    <t xml:space="preserve">CLAUDIA ESTELA LOPEZ CAMACHO </t>
  </si>
  <si>
    <t>M13694159</t>
  </si>
  <si>
    <t>4TX89YHU0M</t>
  </si>
  <si>
    <t>TRcnpn1nhGEC</t>
  </si>
  <si>
    <t>TR7CQQvlLgEC</t>
  </si>
  <si>
    <t>M16897887</t>
  </si>
  <si>
    <t>TR1vlvcGafEC</t>
  </si>
  <si>
    <t>TRq6JxXPFeEC</t>
  </si>
  <si>
    <t>M6584085</t>
  </si>
  <si>
    <t>M6410459</t>
  </si>
  <si>
    <t>TRtv1IJ5v1EC</t>
  </si>
  <si>
    <t>0000096088</t>
  </si>
  <si>
    <t>(+57) 3113581171</t>
  </si>
  <si>
    <t>claudiacastanocorrea@gmail.com</t>
  </si>
  <si>
    <t>ETP IV CSA 88 SAN JOSÉ DE LAS VILLAS SECTOR LOS PLANES- CERRITOS</t>
  </si>
  <si>
    <t>AX201406</t>
  </si>
  <si>
    <t>CLAUDIA CRISTINA CASTAÑO CORREA</t>
  </si>
  <si>
    <t>BDX118H5GM</t>
  </si>
  <si>
    <t>KP5Z9B298P</t>
  </si>
  <si>
    <t>SCZG2IAJD7</t>
  </si>
  <si>
    <t>3DGFE54NZ5</t>
  </si>
  <si>
    <t>BAMJ1GY19H</t>
  </si>
  <si>
    <t>TRVidFL4anEC</t>
  </si>
  <si>
    <t>0000094806</t>
  </si>
  <si>
    <t>2Q+11N+2V</t>
  </si>
  <si>
    <t>0000093945</t>
  </si>
  <si>
    <t>(+34)664826722</t>
  </si>
  <si>
    <t>christiankaratgold@gmail.com</t>
  </si>
  <si>
    <t>BARCELONA</t>
  </si>
  <si>
    <t>LA GARRIGA</t>
  </si>
  <si>
    <t>PAK226890</t>
  </si>
  <si>
    <t>48170952M</t>
  </si>
  <si>
    <t>CHRISTIAN MARCO CARRERA OJEDA</t>
  </si>
  <si>
    <t>M18244264</t>
  </si>
  <si>
    <t>139563</t>
  </si>
  <si>
    <t>(+57) 3177281238</t>
  </si>
  <si>
    <t>celsonelortegacampo@gmail.com</t>
  </si>
  <si>
    <t>AX072151</t>
  </si>
  <si>
    <t>CELSO NEL ORTEGA CAMPO</t>
  </si>
  <si>
    <t>TRgVHiObcgEC</t>
  </si>
  <si>
    <t>(+57) 3137205839</t>
  </si>
  <si>
    <t>caradricasco123@gmail.com</t>
  </si>
  <si>
    <t>CASA 13 CONDOMINIO VILLAS DE TOLEDO SECTOR NUEVO SOL - MORELIA</t>
  </si>
  <si>
    <t>BF958098</t>
  </si>
  <si>
    <t>CARMEN ADRIANA CASTAÑO CORREA</t>
  </si>
  <si>
    <t>TRjHOW5tHnEC</t>
  </si>
  <si>
    <t>TRdSeOtQGyEC</t>
  </si>
  <si>
    <t>TRZXkT5yBPEC</t>
  </si>
  <si>
    <t>6Q+7N+2V</t>
  </si>
  <si>
    <t>TRCİPZ3eRXEC</t>
  </si>
  <si>
    <t>0000045561</t>
  </si>
  <si>
    <t>0000091157</t>
  </si>
  <si>
    <t>70292230</t>
  </si>
  <si>
    <t>(+57) 3113483457</t>
  </si>
  <si>
    <t>carloshubertogonzal@gmail.com</t>
  </si>
  <si>
    <t>CLL 19 34 33 PSO 2 - EL CARMEN</t>
  </si>
  <si>
    <t>CARLOS HUBERTO GONZALEZ OCAMPO</t>
  </si>
  <si>
    <t>M16426511</t>
  </si>
  <si>
    <t>M10761937</t>
  </si>
  <si>
    <t>(+57) 3122366361</t>
  </si>
  <si>
    <t>carlosmotacordoba@gmail.com</t>
  </si>
  <si>
    <t>LOTE N22 AIRES DE OCCIDENTE</t>
  </si>
  <si>
    <t>CARLOS FLOR CORDOBA</t>
  </si>
  <si>
    <t>M21165569</t>
  </si>
  <si>
    <t>(+57) 3224726313</t>
  </si>
  <si>
    <t>cmlflor1995@gmail.com</t>
  </si>
  <si>
    <t>CARLOS ALEJANDRO FLOR TAQUEZ</t>
  </si>
  <si>
    <t>cabezassalazarbyron@gmail.com</t>
  </si>
  <si>
    <t>BYRON CABEZAS ZALAZAR</t>
  </si>
  <si>
    <t>737-230-7921</t>
  </si>
  <si>
    <t>(+57) 3508208562</t>
  </si>
  <si>
    <t>castrogomezlucia807@gmail.com</t>
  </si>
  <si>
    <t>C 3 3 06 08 K 3</t>
  </si>
  <si>
    <t>ARAUCA</t>
  </si>
  <si>
    <t>AW281157</t>
  </si>
  <si>
    <t>BLANCA LUCIA CASTRO GOMEZ</t>
  </si>
  <si>
    <t>M23595276</t>
  </si>
  <si>
    <t>M23454984</t>
  </si>
  <si>
    <t>M17707126</t>
  </si>
  <si>
    <t>M20409674</t>
  </si>
  <si>
    <t>M03642710</t>
  </si>
  <si>
    <t>M10582939</t>
  </si>
  <si>
    <t>M23369748</t>
  </si>
  <si>
    <t>M13776635</t>
  </si>
  <si>
    <t>M13831993</t>
  </si>
  <si>
    <t>M23052860</t>
  </si>
  <si>
    <t>M15494896</t>
  </si>
  <si>
    <t>M12726027</t>
  </si>
  <si>
    <t>(+57) 3148154871</t>
  </si>
  <si>
    <t>belmerabtkd@gmail.com</t>
  </si>
  <si>
    <t>VILLAMARIA</t>
  </si>
  <si>
    <t>BELMER AUGUSTO BETANCUR OSORIO</t>
  </si>
  <si>
    <t>M15797773</t>
  </si>
  <si>
    <t>M16341606</t>
  </si>
  <si>
    <t>M09110851</t>
  </si>
  <si>
    <t>TRd7M505HwEC</t>
  </si>
  <si>
    <t>(+57) 3168072144</t>
  </si>
  <si>
    <t>argemirobetancur@gmail.com</t>
  </si>
  <si>
    <t>MZ 3 CASA 35 QUINTAS DE ARAGON</t>
  </si>
  <si>
    <t>AY548985</t>
  </si>
  <si>
    <t>ARGEMIRO BETANCUR OSORIO</t>
  </si>
  <si>
    <t>M22551211</t>
  </si>
  <si>
    <t>M04027622</t>
  </si>
  <si>
    <t>10277706765592499727670027713162687</t>
  </si>
  <si>
    <t>CAPACITACIONES</t>
  </si>
  <si>
    <t>1ZIMCOIN+10Q</t>
  </si>
  <si>
    <t>IFAK8SQYO3</t>
  </si>
  <si>
    <t>M20019425</t>
  </si>
  <si>
    <t>M15484172</t>
  </si>
  <si>
    <t>M17843664</t>
  </si>
  <si>
    <t>(+57) 3234756614</t>
  </si>
  <si>
    <t>canoangela302@gmail.com</t>
  </si>
  <si>
    <t>BF287115</t>
  </si>
  <si>
    <t>ANGELA HILDA CANO RUDAS</t>
  </si>
  <si>
    <t>M6713334</t>
  </si>
  <si>
    <t>M23064602</t>
  </si>
  <si>
    <t>(+593) 969528889</t>
  </si>
  <si>
    <t>angelpazminos1965@gmail.com</t>
  </si>
  <si>
    <t>091701</t>
  </si>
  <si>
    <t>MILAGRO</t>
  </si>
  <si>
    <t>GUAYAS</t>
  </si>
  <si>
    <t>B0083917</t>
  </si>
  <si>
    <t>ANGEL ALCIDES PAZMIÑO VASCONEZ</t>
  </si>
  <si>
    <t>20431</t>
  </si>
  <si>
    <t>(+57) 3218075324</t>
  </si>
  <si>
    <t>maomu2@yahoo.es</t>
  </si>
  <si>
    <t>CALLE 3 NÚMERO 8-42</t>
  </si>
  <si>
    <t>SALAMINA</t>
  </si>
  <si>
    <t>ANDRES MAURICIO MURILLO BALLESTEROS</t>
  </si>
  <si>
    <t>0000099756</t>
  </si>
  <si>
    <t>(+57) 3147530129</t>
  </si>
  <si>
    <t>acarvajal077@gmail.com</t>
  </si>
  <si>
    <t>MNZ 16 CS 11 POBLADO II</t>
  </si>
  <si>
    <t>AT403520</t>
  </si>
  <si>
    <t>ANAYIBER CARVAJAL CESPEDES</t>
  </si>
  <si>
    <t>M2441966</t>
  </si>
  <si>
    <t>(+57) 3113718240</t>
  </si>
  <si>
    <t xml:space="preserve">anavalenciamesa50@gmail.com </t>
  </si>
  <si>
    <t>SALENTO</t>
  </si>
  <si>
    <t xml:space="preserve">AX328658 </t>
  </si>
  <si>
    <t xml:space="preserve">ANA ISABEL  VALENCIA MESA </t>
  </si>
  <si>
    <t>M07700283</t>
  </si>
  <si>
    <t>(+57) 3136229468</t>
  </si>
  <si>
    <t>beaaj17@gmail.com</t>
  </si>
  <si>
    <t>ANA BEATRIZ CARIAS PINO</t>
  </si>
  <si>
    <t>M16502846</t>
  </si>
  <si>
    <t>(+57) 3112441923</t>
  </si>
  <si>
    <t>frjuteamo@gmail.com</t>
  </si>
  <si>
    <t>BH590607</t>
  </si>
  <si>
    <t>ALIDA FRANCY OVIEDO LOZADA</t>
  </si>
  <si>
    <t>M06363620</t>
  </si>
  <si>
    <t>(+57) 3007352646</t>
  </si>
  <si>
    <t>almariny@gmail.com</t>
  </si>
  <si>
    <t>AT116472</t>
  </si>
  <si>
    <t>ALEXANDER MARIN CASTAÑEDA</t>
  </si>
  <si>
    <t>M05036639</t>
  </si>
  <si>
    <t>M20655483</t>
  </si>
  <si>
    <t>M10128570</t>
  </si>
  <si>
    <t>COMODÍN</t>
  </si>
  <si>
    <t>M06652822</t>
  </si>
  <si>
    <t>M13915153</t>
  </si>
  <si>
    <t>M15993509</t>
  </si>
  <si>
    <t>M11116688</t>
  </si>
  <si>
    <t>M8828857</t>
  </si>
  <si>
    <t>M9579646</t>
  </si>
  <si>
    <t>M10446824</t>
  </si>
  <si>
    <t>M15574612</t>
  </si>
  <si>
    <t>M18737535</t>
  </si>
  <si>
    <t>(+57) 3146253152</t>
  </si>
  <si>
    <t>aleja.betos101178@gmail.com</t>
  </si>
  <si>
    <t>ALEJANDRA MARIA BETANCUR OSORIO</t>
  </si>
  <si>
    <t>M5603677</t>
  </si>
  <si>
    <t>(+57) 3146792869</t>
  </si>
  <si>
    <t>ALEJANDRA GALLEGO RAMÍREZ</t>
  </si>
  <si>
    <t>PASAPORTES QUE VENCEN EN 2026</t>
  </si>
  <si>
    <t xml:space="preserve">PASAPORTE + 3 MESES </t>
  </si>
  <si>
    <t>PRODUCTO / MATERIAL</t>
  </si>
  <si>
    <t>(+57) 3104225861</t>
  </si>
  <si>
    <t xml:space="preserve">FREDDY RUBEN  CAICEDO GRACIA </t>
  </si>
  <si>
    <t>0801253964</t>
  </si>
  <si>
    <t>JESSENIA  EMILIA PARRA MENDOZA</t>
  </si>
  <si>
    <t xml:space="preserve">FIDUCIA </t>
  </si>
  <si>
    <t>BH334754</t>
  </si>
  <si>
    <t>@JohaC19</t>
  </si>
  <si>
    <t>@Yoi030475</t>
  </si>
  <si>
    <t>@Santospolania</t>
  </si>
  <si>
    <t>@gasasamel</t>
  </si>
  <si>
    <t>TELEGRAM</t>
  </si>
  <si>
    <t>36574032</t>
  </si>
  <si>
    <t>CNX90P1D8A</t>
  </si>
  <si>
    <t>CALLE 67 N 26 55 CUBA</t>
  </si>
  <si>
    <t>660005</t>
  </si>
  <si>
    <t>alejandragallegoramirez@yahoo.es</t>
  </si>
  <si>
    <t>BD328207</t>
  </si>
  <si>
    <t>CR 78A CL 52 SUR - 76 INTERIOR 3</t>
  </si>
  <si>
    <t>050018</t>
  </si>
  <si>
    <t xml:space="preserve">CLL 86 # 38 A 08 MZ 11 CS 2 </t>
  </si>
  <si>
    <t>660001</t>
  </si>
  <si>
    <t xml:space="preserve"> CL 7 # 1D – 104</t>
  </si>
  <si>
    <t>CL 73 KR 37 – 26 CASA 46 PISO 1</t>
  </si>
  <si>
    <t>660006</t>
  </si>
  <si>
    <t>631028</t>
  </si>
  <si>
    <t>BARRIO ALDEA ARTESANO BLQ A C 201</t>
  </si>
  <si>
    <t>ARIJANGO JIMENEZ 5-45-5 O ENRIQUE ESPIII</t>
  </si>
  <si>
    <t>CLL 19 KR 39-10</t>
  </si>
  <si>
    <t>170004</t>
  </si>
  <si>
    <t xml:space="preserve">CL 4 KR 5 – 50 </t>
  </si>
  <si>
    <t>BYRON CABEZAS SALAZAR</t>
  </si>
  <si>
    <t xml:space="preserve"> 080101</t>
  </si>
  <si>
    <t xml:space="preserve">CLL 58A N #11A - 16 </t>
  </si>
  <si>
    <t>VEREDA SANTA ROSA</t>
  </si>
  <si>
    <t xml:space="preserve">CARRERA, NOVA 91/3/2 </t>
  </si>
  <si>
    <t>08530</t>
  </si>
  <si>
    <t xml:space="preserve">CALLE 53 # 5-28 </t>
  </si>
  <si>
    <t>CRA 17 15 71 L6 MZ12</t>
  </si>
  <si>
    <t>762027</t>
  </si>
  <si>
    <t xml:space="preserve">CR 48 60 26 MZ13C4 </t>
  </si>
  <si>
    <t xml:space="preserve">762530 </t>
  </si>
  <si>
    <t>20946</t>
  </si>
  <si>
    <t>19561</t>
  </si>
  <si>
    <t>DIEGO FELIPE MAZORRA GUEVARA</t>
  </si>
  <si>
    <t>170001</t>
  </si>
  <si>
    <t>BG508095</t>
  </si>
  <si>
    <t xml:space="preserve">CRA. 50 # 63-16 </t>
  </si>
  <si>
    <t>054050</t>
  </si>
  <si>
    <t>BARRIO BELLA VISTA NORTE CLL MALECON</t>
  </si>
  <si>
    <t>0801588047</t>
  </si>
  <si>
    <t>080101</t>
  </si>
  <si>
    <t>VEREDA SAN ANTONIO RURAL</t>
  </si>
  <si>
    <t>BD780638</t>
  </si>
  <si>
    <t>SPMZ 9 MZ 6 CASA 12 LAS AMERICAS</t>
  </si>
  <si>
    <t>hernanmb17@gmail.com</t>
  </si>
  <si>
    <t>0802346288</t>
  </si>
  <si>
    <t>080110</t>
  </si>
  <si>
    <t>02860</t>
  </si>
  <si>
    <t>N649DE15XI</t>
  </si>
  <si>
    <t>0802949131</t>
  </si>
  <si>
    <t>VEREDA CALIBIO</t>
  </si>
  <si>
    <t>190003</t>
  </si>
  <si>
    <t xml:space="preserve">CL25A KR 12-3 </t>
  </si>
  <si>
    <t>DA030229</t>
  </si>
  <si>
    <t xml:space="preserve">CRA 12 # 11 NARANJAL </t>
  </si>
  <si>
    <t>046881</t>
  </si>
  <si>
    <t>076352</t>
  </si>
  <si>
    <t>0801051038</t>
  </si>
  <si>
    <t xml:space="preserve">CLL 73 NO 37-03 CS 43 PISO 2 </t>
  </si>
  <si>
    <t>KAROLINA KRAUSS</t>
  </si>
  <si>
    <t xml:space="preserve">MZ A CS 39 EMPERADOR </t>
  </si>
  <si>
    <t xml:space="preserve">KR 2 CL 10 – 3 MZF CASA 12 PISO 01 </t>
  </si>
  <si>
    <t>050035</t>
  </si>
  <si>
    <t xml:space="preserve">CL 20 15B-46 </t>
  </si>
  <si>
    <t>0802700575</t>
  </si>
  <si>
    <t>080118</t>
  </si>
  <si>
    <t xml:space="preserve">BDA SANTA MONICA CALLE 1-A NRO 8 </t>
  </si>
  <si>
    <t>07223</t>
  </si>
  <si>
    <t>CÓRDOBA</t>
  </si>
  <si>
    <t xml:space="preserve">AV/27 C/16-17 </t>
  </si>
  <si>
    <t>BG948857</t>
  </si>
  <si>
    <t xml:space="preserve">CS 282 BAJITO TUMAC </t>
  </si>
  <si>
    <t>CRA 17 15 71 L6 MZ 12</t>
  </si>
  <si>
    <t>0801463712</t>
  </si>
  <si>
    <t xml:space="preserve">LUZ ALBY  FLOREZ SERRATO </t>
  </si>
  <si>
    <t xml:space="preserve">CLL 19 38 38 PSO 1 </t>
  </si>
  <si>
    <t>ISLA BALEARES</t>
  </si>
  <si>
    <t xml:space="preserve">CL MANACOR  71  8D / PALMA DE MAYORCA </t>
  </si>
  <si>
    <t>07005</t>
  </si>
  <si>
    <t>(+34) 603977869</t>
  </si>
  <si>
    <t xml:space="preserve">CL 3ª CR 56 – 7 LOTE 144 </t>
  </si>
  <si>
    <t>190001</t>
  </si>
  <si>
    <t>BG948858</t>
  </si>
  <si>
    <t>36900</t>
  </si>
  <si>
    <t>HOMONIMA</t>
  </si>
  <si>
    <t>PONTEVEDRA</t>
  </si>
  <si>
    <t xml:space="preserve">FONDO DE SACO 2 MARIN </t>
  </si>
  <si>
    <t>MICAELA ANDREA BERCARA</t>
  </si>
  <si>
    <t>micaela.bercara@hotmail.com</t>
  </si>
  <si>
    <t>170017</t>
  </si>
  <si>
    <t>DAVIVIENDA BAUCHER COMPARTIDO</t>
  </si>
  <si>
    <t xml:space="preserve">CL 50 2B 46 VILLA ESPERANZA </t>
  </si>
  <si>
    <t>M16106715</t>
  </si>
  <si>
    <t>0801857780</t>
  </si>
  <si>
    <t xml:space="preserve">HONDURAS SL, 11 MEXICO </t>
  </si>
  <si>
    <t>57.5</t>
  </si>
  <si>
    <t>BA605448</t>
  </si>
  <si>
    <t xml:space="preserve">CRA 29 A # 105D 45 </t>
  </si>
  <si>
    <t xml:space="preserve">CR 19 62 A 66 </t>
  </si>
  <si>
    <t xml:space="preserve">MZ 3 CS 36 PISO 1 QUINTAS DE ARAGÓN </t>
  </si>
  <si>
    <t>02866769-3</t>
  </si>
  <si>
    <t>080121</t>
  </si>
  <si>
    <t>BH590605</t>
  </si>
  <si>
    <t xml:space="preserve">CL 71 NRO  1D 104 LAS FERIAS </t>
  </si>
  <si>
    <t>041001</t>
  </si>
  <si>
    <t>BF960332</t>
  </si>
  <si>
    <t>BF889761</t>
  </si>
  <si>
    <t>M13250718</t>
  </si>
  <si>
    <t xml:space="preserve">SIN REGISTRO </t>
  </si>
  <si>
    <t>@ALEJA1324</t>
  </si>
  <si>
    <t>@AlejaBetos</t>
  </si>
  <si>
    <t>@alexmarin73</t>
  </si>
  <si>
    <t>@Francy8576</t>
  </si>
  <si>
    <t>@Karia1728</t>
  </si>
  <si>
    <t xml:space="preserve">@Anais50 </t>
  </si>
  <si>
    <t>@CELESTIALJC</t>
  </si>
  <si>
    <t>@pazmino17</t>
  </si>
  <si>
    <t>@angelacano</t>
  </si>
  <si>
    <t>@Jrbetancur</t>
  </si>
  <si>
    <t>@L_cik</t>
  </si>
  <si>
    <t>@byroncabezas</t>
  </si>
  <si>
    <t>@alejoflort</t>
  </si>
  <si>
    <t>@Carlosmot</t>
  </si>
  <si>
    <t>Carlos Huberto Gonzalez Ocampo</t>
  </si>
  <si>
    <t>@Titacasco</t>
  </si>
  <si>
    <t>@celsoortega</t>
  </si>
  <si>
    <t>@Djchris77</t>
  </si>
  <si>
    <t>@claudiacas306</t>
  </si>
  <si>
    <t>@clelopezca</t>
  </si>
  <si>
    <t>@kristian</t>
  </si>
  <si>
    <t>@cristianesteban08</t>
  </si>
  <si>
    <t>@DeliaReyAcosta</t>
  </si>
  <si>
    <t>@Daeiah</t>
  </si>
  <si>
    <t>@rubelio24</t>
  </si>
  <si>
    <t>@EmilsenYang</t>
  </si>
  <si>
    <t>@Ericka_valencia</t>
  </si>
  <si>
    <t>@Alejocano18</t>
  </si>
  <si>
    <t>@fabiosanchez1959</t>
  </si>
  <si>
    <t>@Yuli8z</t>
  </si>
  <si>
    <t>@Luz1crist2</t>
  </si>
  <si>
    <t>fredaLopez_01</t>
  </si>
  <si>
    <t>@CAICEDO_88</t>
  </si>
  <si>
    <t xml:space="preserve">Geovanny Buitrago </t>
  </si>
  <si>
    <t>@Valentino026</t>
  </si>
  <si>
    <t>@Griscastro</t>
  </si>
  <si>
    <t>@Hernanmontoya17</t>
  </si>
  <si>
    <t>@IVISLEO</t>
  </si>
  <si>
    <t>@ivon_montoya</t>
  </si>
  <si>
    <t>@Jadermaurik</t>
  </si>
  <si>
    <t>@JAVIER_DAVID_VACA</t>
  </si>
  <si>
    <t>@Jayermartinez</t>
  </si>
  <si>
    <t>@JesseParraMz</t>
  </si>
  <si>
    <t>@Jhencarvallo</t>
  </si>
  <si>
    <t>@crohul</t>
  </si>
  <si>
    <t>@Jimmycastit</t>
  </si>
  <si>
    <t>@JohFraC</t>
  </si>
  <si>
    <t xml:space="preserve">@Jobistata </t>
  </si>
  <si>
    <t>@SiempreConDios</t>
  </si>
  <si>
    <t>@John_Bayron_Carvajal</t>
  </si>
  <si>
    <t>@jorgitorod</t>
  </si>
  <si>
    <t>@luis_sosa1982</t>
  </si>
  <si>
    <t xml:space="preserve">@Jose2313A </t>
  </si>
  <si>
    <t>@JoseGomez7</t>
  </si>
  <si>
    <t>@juansanchezcardona</t>
  </si>
  <si>
    <t>@kattymarlarios</t>
  </si>
  <si>
    <t xml:space="preserve">@MERCEDESY24 </t>
  </si>
  <si>
    <t>@Killingit2022</t>
  </si>
  <si>
    <t>@lisiarredondo</t>
  </si>
  <si>
    <t>@Lucho1248</t>
  </si>
  <si>
    <t>@linoplaza</t>
  </si>
  <si>
    <t>@Luisrodriguez197204</t>
  </si>
  <si>
    <t>@LuchoE25</t>
  </si>
  <si>
    <t>@Villafersh</t>
  </si>
  <si>
    <t>@LUISVALLALBA_29</t>
  </si>
  <si>
    <t>@Miamoreternomama</t>
  </si>
  <si>
    <t>@Luzalby</t>
  </si>
  <si>
    <t>@luzporsiempre</t>
  </si>
  <si>
    <t>@Manfredy1966</t>
  </si>
  <si>
    <t>@CLAUDIACORTES</t>
  </si>
  <si>
    <t>@Carmenortiz99</t>
  </si>
  <si>
    <t>@Ich_a3</t>
  </si>
  <si>
    <t>@Marligcast</t>
  </si>
  <si>
    <t>@mercedes36</t>
  </si>
  <si>
    <t>@marnanpalgon</t>
  </si>
  <si>
    <t>@Mariaomaira001</t>
  </si>
  <si>
    <t>@MaryluRopero</t>
  </si>
  <si>
    <t>@Marinelasama</t>
  </si>
  <si>
    <t>@m_elcy</t>
  </si>
  <si>
    <t>@mica0829</t>
  </si>
  <si>
    <t>+573218810667</t>
  </si>
  <si>
    <t>@MiriamGE06</t>
  </si>
  <si>
    <t>@Nempresarioexitoso</t>
  </si>
  <si>
    <t>nolmarti</t>
  </si>
  <si>
    <t>@3ed2</t>
  </si>
  <si>
    <t>@CLAO1959</t>
  </si>
  <si>
    <t>@fideldemera</t>
  </si>
  <si>
    <t xml:space="preserve">Sandra Carmona </t>
  </si>
  <si>
    <t xml:space="preserve">SANDRA MARIN </t>
  </si>
  <si>
    <t xml:space="preserve">Santiago Betancur </t>
  </si>
  <si>
    <t>@ELIAMC1980</t>
  </si>
  <si>
    <t>@changuito965</t>
  </si>
  <si>
    <t>@Yamil_Rivera69</t>
  </si>
  <si>
    <t>@Socorro28</t>
  </si>
  <si>
    <t>@Taniam09</t>
  </si>
  <si>
    <t>@Valet1946</t>
  </si>
  <si>
    <t>@VIVIARFLO</t>
  </si>
  <si>
    <t>@wilsoncamargo7010</t>
  </si>
  <si>
    <t>@yuliethsanch</t>
  </si>
  <si>
    <t>@Pipemazorra</t>
  </si>
  <si>
    <t>@Jeisonlopez</t>
  </si>
  <si>
    <t>@JADER_70</t>
  </si>
  <si>
    <t>@mcamilaurazan</t>
  </si>
  <si>
    <t>@Soniachechis</t>
  </si>
  <si>
    <t>@sherasilopez</t>
  </si>
  <si>
    <t>@ViviLi02</t>
  </si>
  <si>
    <t>@fl1412</t>
  </si>
  <si>
    <t xml:space="preserve">MANZANA 3 CASA 36 QUINTAS DE ARAGON PLAYA RICA </t>
  </si>
  <si>
    <t>KRA 12 NO 51-11 LOS NARANJOS</t>
  </si>
  <si>
    <t>AR694190</t>
  </si>
  <si>
    <t xml:space="preserve">CALLE 21 #16-85 PISO 2 LA PRADERA </t>
  </si>
  <si>
    <t xml:space="preserve">CALLE  39 SUR # 25C -89 </t>
  </si>
  <si>
    <t>BH334926</t>
  </si>
  <si>
    <t>CALLE 50 MANZANA O CASA 8 2B VILLA ESPERANZA</t>
  </si>
  <si>
    <t>SPMZ 9 MZ 6 Casa 12 Barrio las Américas</t>
  </si>
  <si>
    <t>CALLE 13 # 13 A 04</t>
  </si>
  <si>
    <t>SHERASILOPEZ@GMAIL.COM</t>
  </si>
  <si>
    <t>CR 47D 60ASN 130 EL PINAR SEVILLA VALLE MANZ 13</t>
  </si>
  <si>
    <t>AR130093</t>
  </si>
  <si>
    <t>CRA. 50 # 63-16 FINCA VILLA ROSA EL SANGO</t>
  </si>
  <si>
    <t>3Q</t>
  </si>
  <si>
    <t>25Q</t>
  </si>
  <si>
    <t>100Q</t>
  </si>
  <si>
    <t>M12360461</t>
  </si>
  <si>
    <t>fefff15c-cde7-455e-8a67-6dc6dbd6bd1f</t>
  </si>
  <si>
    <t>M06469383</t>
  </si>
  <si>
    <t>M19788928</t>
  </si>
  <si>
    <t>M08279385</t>
  </si>
  <si>
    <t>M22555268</t>
  </si>
  <si>
    <t>M08697808</t>
  </si>
  <si>
    <t>M02742824</t>
  </si>
  <si>
    <t>M23685554</t>
  </si>
  <si>
    <t xml:space="preserve">M04210962  </t>
  </si>
  <si>
    <t>M24008402</t>
  </si>
  <si>
    <t>M08820920</t>
  </si>
  <si>
    <t>LLAVE DAVIPLATA</t>
  </si>
  <si>
    <t>(+593) 961837497</t>
  </si>
  <si>
    <t>PAG055383</t>
  </si>
  <si>
    <t>M15903992</t>
  </si>
  <si>
    <t>M04737874</t>
  </si>
  <si>
    <t>1AGROCH</t>
  </si>
  <si>
    <t>RIO SUCIO</t>
  </si>
  <si>
    <t>AS482283</t>
  </si>
  <si>
    <t>9Q</t>
  </si>
  <si>
    <t>M04755586</t>
  </si>
  <si>
    <t>BOGOTA</t>
  </si>
  <si>
    <t>EL DOVIO</t>
  </si>
  <si>
    <t>(+34) 612460756</t>
  </si>
  <si>
    <t>VENCIDO</t>
  </si>
  <si>
    <t>MHK</t>
  </si>
  <si>
    <t>4Q+4N+1ZIMBILL+1AGROCH</t>
  </si>
  <si>
    <t>M08491040</t>
  </si>
  <si>
    <t>(+57) 3177801277</t>
  </si>
  <si>
    <t>angel3136538260@gmail.com</t>
  </si>
  <si>
    <t>LINARES</t>
  </si>
  <si>
    <t>ANGEL RAMIRO TRUJILLO TRUJILLO</t>
  </si>
  <si>
    <t>M23228079</t>
  </si>
  <si>
    <t>043430</t>
  </si>
  <si>
    <t>094218</t>
  </si>
  <si>
    <t>056625</t>
  </si>
  <si>
    <t>M0746420</t>
  </si>
  <si>
    <t>HERNÁNMB17@GMAIL.COM</t>
  </si>
  <si>
    <t>CAJA</t>
  </si>
  <si>
    <t>1Q+1N</t>
  </si>
  <si>
    <t>M200110997</t>
  </si>
  <si>
    <t>M06354505</t>
  </si>
  <si>
    <t>4Q+4N+4V</t>
  </si>
  <si>
    <t>GOFO5QUGQS</t>
  </si>
  <si>
    <t>M09712284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</si>
</sst>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&quot;$&quot;\ #,##0"/>
    <numFmt numFmtId="165" formatCode="d/mm/yyyy;@"/>
    <numFmt numFmtId="166" formatCode="dd/mm/yyyy;@"/>
    <numFmt numFmtId="167" formatCode="&quot;$&quot;\ #,##0.00"/>
    <numFmt numFmtId="168" formatCode="[$-F800]dddd\,\ mmmm\ dd\,\ yyyy"/>
  </numFmts>
  <fonts count="64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9C57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22"/>
      <color theme="1"/>
      <name val="Arial Black"/>
      <family val="2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36"/>
      <color theme="4" tint="0.79998168889431442"/>
      <name val="Calibri"/>
      <family val="2"/>
      <scheme val="minor"/>
    </font>
    <font>
      <b/>
      <sz val="26"/>
      <color theme="4" tint="0.79998168889431442"/>
      <name val="Calibri"/>
      <family val="2"/>
      <scheme val="minor"/>
    </font>
    <font>
      <b/>
      <sz val="20"/>
      <color theme="4" tint="0.79998168889431442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theme="1"/>
      <name val="Arial Black"/>
      <family val="2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6"/>
      <color theme="0" tint="-0.249977111117893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48"/>
      <color theme="6" tint="-0.249977111117893"/>
      <name val="Britannic Bold"/>
      <family val="2"/>
    </font>
    <font>
      <sz val="11"/>
      <name val="Calibri"/>
      <family val="2"/>
      <scheme val="minor"/>
    </font>
    <font>
      <sz val="20"/>
      <color theme="1"/>
      <name val="Bahnschrift SemiBold SemiConden"/>
      <family val="2"/>
    </font>
    <font>
      <b/>
      <sz val="26"/>
      <color theme="5" tint="0.79998168889431442"/>
      <name val="Calibri"/>
      <family val="2"/>
      <scheme val="minor"/>
    </font>
    <font>
      <b/>
      <sz val="24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32"/>
      <color theme="6" tint="-0.249977111117893"/>
      <name val="Britannic Bold"/>
      <family val="2"/>
    </font>
    <font>
      <u/>
      <sz val="10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8"/>
      <color theme="0" tint="-4.9989318521683403E-2"/>
      <name val="Calibri"/>
      <family val="2"/>
      <scheme val="minor"/>
    </font>
    <font>
      <b/>
      <sz val="26"/>
      <color rgb="FF00000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4"/>
      <color theme="0" tint="-4.9989318521683403E-2"/>
      <name val="Calibri"/>
      <family val="2"/>
      <scheme val="minor"/>
    </font>
    <font>
      <b/>
      <sz val="12"/>
      <color rgb="FF9C57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scadia Code Light"/>
      <family val="3"/>
    </font>
    <font>
      <sz val="8"/>
      <name val="Calibri"/>
      <family val="2"/>
      <scheme val="minor"/>
    </font>
    <font>
      <b/>
      <sz val="24"/>
      <color rgb="FF000000"/>
      <name val="Calibri"/>
      <family val="2"/>
      <scheme val="minor"/>
    </font>
    <font>
      <sz val="10"/>
      <color rgb="FF1F1F1F"/>
      <name val="Calibri"/>
      <family val="2"/>
      <scheme val="minor"/>
    </font>
    <font>
      <sz val="18"/>
      <color rgb="FF000000"/>
      <name val="Arial"/>
      <family val="2"/>
    </font>
    <font>
      <b/>
      <sz val="10"/>
      <color rgb="FF000000"/>
      <name val="Algerian"/>
      <family val="5"/>
    </font>
    <font>
      <b/>
      <sz val="16"/>
      <color rgb="FFFF0000"/>
      <name val="Calibri"/>
      <family val="2"/>
      <scheme val="minor"/>
    </font>
    <font>
      <sz val="10"/>
      <color rgb="FF434343"/>
      <name val="Roboto"/>
    </font>
    <font>
      <b/>
      <sz val="28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FDBF9"/>
        <bgColor indexed="64"/>
      </patternFill>
    </fill>
    <fill>
      <patternFill patternType="solid">
        <fgColor rgb="FF72FAF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7E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</fills>
  <borders count="2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6" tint="0.39997558519241921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theme="6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6" tint="0.3999755851924192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6" tint="0.39997558519241921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medium">
        <color indexed="64"/>
      </right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/>
      <diagonal/>
    </border>
  </borders>
  <cellStyleXfs count="10">
    <xf numFmtId="0" fontId="0" fillId="0" borderId="0"/>
    <xf numFmtId="0" fontId="6" fillId="2" borderId="0" applyNumberFormat="0" applyBorder="0" applyAlignment="0" applyProtection="0"/>
    <xf numFmtId="0" fontId="7" fillId="3" borderId="1" applyNumberFormat="0" applyAlignment="0" applyProtection="0"/>
    <xf numFmtId="0" fontId="8" fillId="0" borderId="0"/>
    <xf numFmtId="0" fontId="5" fillId="0" borderId="0"/>
    <xf numFmtId="0" fontId="3" fillId="0" borderId="0"/>
    <xf numFmtId="0" fontId="2" fillId="21" borderId="0" applyNumberFormat="0" applyBorder="0" applyAlignment="0" applyProtection="0"/>
    <xf numFmtId="0" fontId="47" fillId="0" borderId="0" applyNumberFormat="0" applyFill="0" applyBorder="0" applyAlignment="0" applyProtection="0"/>
    <xf numFmtId="0" fontId="1" fillId="0" borderId="0"/>
    <xf numFmtId="0" fontId="1" fillId="21" borderId="0" applyNumberFormat="0" applyBorder="0" applyAlignment="0" applyProtection="0"/>
  </cellStyleXfs>
  <cellXfs count="238">
    <xf numFmtId="0" fontId="0" fillId="0" borderId="0" xfId="0"/>
    <xf numFmtId="0" fontId="9" fillId="4" borderId="0" xfId="1" applyFont="1" applyFill="1" applyBorder="1"/>
    <xf numFmtId="0" fontId="10" fillId="0" borderId="0" xfId="0" applyFont="1" applyAlignment="1">
      <alignment vertical="center"/>
    </xf>
    <xf numFmtId="0" fontId="8" fillId="4" borderId="0" xfId="3" applyFill="1"/>
    <xf numFmtId="0" fontId="12" fillId="4" borderId="0" xfId="3" applyFont="1" applyFill="1" applyAlignment="1">
      <alignment horizontal="right"/>
    </xf>
    <xf numFmtId="167" fontId="12" fillId="4" borderId="0" xfId="3" applyNumberFormat="1" applyFont="1" applyFill="1" applyAlignment="1">
      <alignment vertical="center"/>
    </xf>
    <xf numFmtId="0" fontId="5" fillId="4" borderId="0" xfId="4" applyFill="1" applyAlignment="1">
      <alignment horizontal="center"/>
    </xf>
    <xf numFmtId="0" fontId="5" fillId="4" borderId="0" xfId="4" applyFill="1"/>
    <xf numFmtId="0" fontId="5" fillId="4" borderId="0" xfId="4" applyFill="1" applyAlignment="1">
      <alignment horizontal="center" vertical="center"/>
    </xf>
    <xf numFmtId="0" fontId="5" fillId="10" borderId="0" xfId="4" applyFill="1" applyAlignment="1">
      <alignment horizontal="center" vertical="center"/>
    </xf>
    <xf numFmtId="0" fontId="5" fillId="0" borderId="0" xfId="4"/>
    <xf numFmtId="0" fontId="5" fillId="0" borderId="0" xfId="4" applyAlignment="1">
      <alignment horizontal="center"/>
    </xf>
    <xf numFmtId="1" fontId="8" fillId="4" borderId="0" xfId="3" applyNumberFormat="1" applyFill="1" applyAlignment="1">
      <alignment horizontal="left"/>
    </xf>
    <xf numFmtId="164" fontId="8" fillId="4" borderId="0" xfId="3" applyNumberFormat="1" applyFill="1" applyAlignment="1">
      <alignment horizontal="center"/>
    </xf>
    <xf numFmtId="49" fontId="8" fillId="4" borderId="0" xfId="3" applyNumberFormat="1" applyFill="1"/>
    <xf numFmtId="0" fontId="8" fillId="4" borderId="0" xfId="3" applyFill="1" applyAlignment="1">
      <alignment horizontal="left"/>
    </xf>
    <xf numFmtId="0" fontId="4" fillId="14" borderId="0" xfId="4" applyFont="1" applyFill="1" applyAlignment="1">
      <alignment horizontal="center"/>
    </xf>
    <xf numFmtId="0" fontId="5" fillId="14" borderId="0" xfId="4" applyFill="1" applyAlignment="1">
      <alignment horizontal="center"/>
    </xf>
    <xf numFmtId="0" fontId="18" fillId="12" borderId="7" xfId="4" applyFont="1" applyFill="1" applyBorder="1" applyAlignment="1">
      <alignment horizontal="center" vertical="center" wrapText="1"/>
    </xf>
    <xf numFmtId="0" fontId="19" fillId="12" borderId="7" xfId="4" applyFont="1" applyFill="1" applyBorder="1" applyAlignment="1">
      <alignment horizontal="center" vertical="center" wrapText="1"/>
    </xf>
    <xf numFmtId="0" fontId="20" fillId="12" borderId="7" xfId="4" applyFont="1" applyFill="1" applyBorder="1" applyAlignment="1">
      <alignment horizontal="center" vertical="center" wrapText="1"/>
    </xf>
    <xf numFmtId="0" fontId="5" fillId="17" borderId="0" xfId="4" applyFill="1" applyAlignment="1">
      <alignment horizontal="center"/>
    </xf>
    <xf numFmtId="0" fontId="25" fillId="13" borderId="0" xfId="4" applyFont="1" applyFill="1" applyAlignment="1">
      <alignment horizontal="center"/>
    </xf>
    <xf numFmtId="0" fontId="22" fillId="4" borderId="0" xfId="4" applyFont="1" applyFill="1" applyAlignment="1">
      <alignment horizontal="center"/>
    </xf>
    <xf numFmtId="0" fontId="33" fillId="12" borderId="5" xfId="4" applyFont="1" applyFill="1" applyBorder="1" applyAlignment="1">
      <alignment horizontal="center" vertical="center"/>
    </xf>
    <xf numFmtId="0" fontId="0" fillId="4" borderId="0" xfId="0" applyFill="1"/>
    <xf numFmtId="0" fontId="15" fillId="4" borderId="0" xfId="4" applyFont="1" applyFill="1" applyAlignment="1">
      <alignment horizontal="right" vertical="center"/>
    </xf>
    <xf numFmtId="0" fontId="36" fillId="14" borderId="0" xfId="4" applyFont="1" applyFill="1" applyAlignment="1">
      <alignment horizontal="center"/>
    </xf>
    <xf numFmtId="0" fontId="22" fillId="7" borderId="0" xfId="4" applyFont="1" applyFill="1" applyAlignment="1">
      <alignment horizontal="center"/>
    </xf>
    <xf numFmtId="164" fontId="29" fillId="4" borderId="0" xfId="4" applyNumberFormat="1" applyFont="1" applyFill="1" applyAlignment="1">
      <alignment horizontal="center"/>
    </xf>
    <xf numFmtId="0" fontId="16" fillId="17" borderId="0" xfId="4" applyFont="1" applyFill="1" applyAlignment="1">
      <alignment horizontal="center"/>
    </xf>
    <xf numFmtId="0" fontId="28" fillId="17" borderId="0" xfId="4" applyFont="1" applyFill="1" applyAlignment="1">
      <alignment horizontal="center"/>
    </xf>
    <xf numFmtId="0" fontId="37" fillId="14" borderId="0" xfId="4" applyFont="1" applyFill="1" applyAlignment="1">
      <alignment horizontal="right" vertical="center"/>
    </xf>
    <xf numFmtId="0" fontId="37" fillId="14" borderId="0" xfId="4" applyFont="1" applyFill="1" applyAlignment="1">
      <alignment horizontal="center" vertical="center"/>
    </xf>
    <xf numFmtId="0" fontId="30" fillId="4" borderId="0" xfId="4" applyFont="1" applyFill="1" applyAlignment="1">
      <alignment horizontal="center"/>
    </xf>
    <xf numFmtId="0" fontId="18" fillId="19" borderId="7" xfId="4" applyFont="1" applyFill="1" applyBorder="1" applyAlignment="1">
      <alignment horizontal="center" vertical="center" wrapText="1"/>
    </xf>
    <xf numFmtId="0" fontId="19" fillId="19" borderId="7" xfId="4" applyFont="1" applyFill="1" applyBorder="1" applyAlignment="1">
      <alignment horizontal="center" vertical="center" wrapText="1"/>
    </xf>
    <xf numFmtId="0" fontId="20" fillId="19" borderId="7" xfId="4" applyFont="1" applyFill="1" applyBorder="1" applyAlignment="1">
      <alignment horizontal="center" vertical="center" wrapText="1"/>
    </xf>
    <xf numFmtId="0" fontId="24" fillId="4" borderId="0" xfId="4" applyFont="1" applyFill="1" applyAlignment="1">
      <alignment horizontal="center"/>
    </xf>
    <xf numFmtId="0" fontId="26" fillId="5" borderId="5" xfId="4" applyFont="1" applyFill="1" applyBorder="1" applyAlignment="1">
      <alignment horizontal="center" vertical="center" wrapText="1"/>
    </xf>
    <xf numFmtId="0" fontId="26" fillId="5" borderId="6" xfId="4" applyFont="1" applyFill="1" applyBorder="1" applyAlignment="1">
      <alignment horizontal="center" vertical="center" wrapText="1"/>
    </xf>
    <xf numFmtId="0" fontId="26" fillId="15" borderId="5" xfId="4" applyFont="1" applyFill="1" applyBorder="1" applyAlignment="1">
      <alignment horizontal="center" vertical="center" wrapText="1"/>
    </xf>
    <xf numFmtId="0" fontId="26" fillId="15" borderId="6" xfId="4" applyFont="1" applyFill="1" applyBorder="1" applyAlignment="1">
      <alignment horizontal="center" vertical="center" wrapText="1"/>
    </xf>
    <xf numFmtId="0" fontId="26" fillId="9" borderId="5" xfId="4" applyFont="1" applyFill="1" applyBorder="1" applyAlignment="1">
      <alignment horizontal="center" vertical="center" wrapText="1"/>
    </xf>
    <xf numFmtId="0" fontId="26" fillId="9" borderId="6" xfId="4" applyFont="1" applyFill="1" applyBorder="1" applyAlignment="1">
      <alignment horizontal="center" vertical="center" wrapText="1"/>
    </xf>
    <xf numFmtId="0" fontId="26" fillId="17" borderId="5" xfId="4" applyFont="1" applyFill="1" applyBorder="1" applyAlignment="1">
      <alignment horizontal="center" vertical="center" wrapText="1"/>
    </xf>
    <xf numFmtId="0" fontId="26" fillId="17" borderId="6" xfId="4" applyFont="1" applyFill="1" applyBorder="1" applyAlignment="1">
      <alignment horizontal="center" vertical="center" wrapText="1"/>
    </xf>
    <xf numFmtId="165" fontId="8" fillId="4" borderId="0" xfId="3" applyNumberFormat="1" applyFill="1"/>
    <xf numFmtId="164" fontId="21" fillId="0" borderId="15" xfId="4" applyNumberFormat="1" applyFont="1" applyBorder="1" applyAlignment="1">
      <alignment horizontal="right"/>
    </xf>
    <xf numFmtId="164" fontId="21" fillId="0" borderId="10" xfId="4" applyNumberFormat="1" applyFont="1" applyBorder="1" applyAlignment="1">
      <alignment horizontal="right"/>
    </xf>
    <xf numFmtId="164" fontId="22" fillId="0" borderId="9" xfId="4" applyNumberFormat="1" applyFont="1" applyBorder="1" applyAlignment="1">
      <alignment horizontal="right"/>
    </xf>
    <xf numFmtId="164" fontId="22" fillId="0" borderId="11" xfId="4" applyNumberFormat="1" applyFont="1" applyBorder="1" applyAlignment="1">
      <alignment horizontal="right"/>
    </xf>
    <xf numFmtId="0" fontId="8" fillId="4" borderId="0" xfId="3" applyFill="1" applyAlignment="1">
      <alignment horizontal="center"/>
    </xf>
    <xf numFmtId="0" fontId="11" fillId="8" borderId="0" xfId="3" applyFont="1" applyFill="1" applyAlignment="1">
      <alignment horizontal="left" vertical="center"/>
    </xf>
    <xf numFmtId="0" fontId="11" fillId="8" borderId="0" xfId="3" applyFont="1" applyFill="1" applyAlignment="1">
      <alignment vertical="center"/>
    </xf>
    <xf numFmtId="166" fontId="8" fillId="4" borderId="0" xfId="3" applyNumberFormat="1" applyFill="1"/>
    <xf numFmtId="0" fontId="39" fillId="4" borderId="0" xfId="4" applyFont="1" applyFill="1"/>
    <xf numFmtId="0" fontId="8" fillId="6" borderId="0" xfId="3" applyFill="1"/>
    <xf numFmtId="1" fontId="8" fillId="4" borderId="0" xfId="3" applyNumberFormat="1" applyFill="1" applyAlignment="1">
      <alignment horizontal="right"/>
    </xf>
    <xf numFmtId="0" fontId="8" fillId="0" borderId="0" xfId="3"/>
    <xf numFmtId="165" fontId="8" fillId="4" borderId="0" xfId="3" applyNumberFormat="1" applyFill="1" applyAlignment="1">
      <alignment horizontal="right"/>
    </xf>
    <xf numFmtId="49" fontId="8" fillId="4" borderId="0" xfId="3" applyNumberFormat="1" applyFill="1" applyAlignment="1">
      <alignment horizontal="left"/>
    </xf>
    <xf numFmtId="164" fontId="8" fillId="4" borderId="0" xfId="3" applyNumberFormat="1" applyFill="1"/>
    <xf numFmtId="164" fontId="21" fillId="0" borderId="3" xfId="4" applyNumberFormat="1" applyFont="1" applyBorder="1" applyAlignment="1">
      <alignment horizontal="right"/>
    </xf>
    <xf numFmtId="0" fontId="17" fillId="0" borderId="9" xfId="4" applyFont="1" applyBorder="1" applyAlignment="1">
      <alignment horizontal="center"/>
    </xf>
    <xf numFmtId="0" fontId="17" fillId="0" borderId="10" xfId="4" applyFont="1" applyBorder="1" applyAlignment="1">
      <alignment horizontal="center"/>
    </xf>
    <xf numFmtId="0" fontId="22" fillId="17" borderId="0" xfId="4" applyFont="1" applyFill="1" applyAlignment="1">
      <alignment horizontal="center"/>
    </xf>
    <xf numFmtId="0" fontId="42" fillId="4" borderId="0" xfId="4" applyFont="1" applyFill="1" applyAlignment="1">
      <alignment horizontal="center" wrapText="1"/>
    </xf>
    <xf numFmtId="0" fontId="43" fillId="4" borderId="0" xfId="4" applyFont="1" applyFill="1"/>
    <xf numFmtId="0" fontId="38" fillId="20" borderId="7" xfId="4" applyFont="1" applyFill="1" applyBorder="1" applyAlignment="1">
      <alignment horizontal="center" vertical="center" wrapText="1"/>
    </xf>
    <xf numFmtId="0" fontId="38" fillId="23" borderId="8" xfId="4" applyFont="1" applyFill="1" applyBorder="1" applyAlignment="1">
      <alignment horizontal="center" vertical="center" wrapText="1"/>
    </xf>
    <xf numFmtId="0" fontId="23" fillId="11" borderId="7" xfId="4" applyFont="1" applyFill="1" applyBorder="1" applyAlignment="1">
      <alignment horizontal="center" vertical="center" wrapText="1"/>
    </xf>
    <xf numFmtId="0" fontId="23" fillId="11" borderId="8" xfId="4" applyFont="1" applyFill="1" applyBorder="1" applyAlignment="1">
      <alignment horizontal="center" vertical="center" wrapText="1"/>
    </xf>
    <xf numFmtId="0" fontId="23" fillId="9" borderId="7" xfId="4" applyFont="1" applyFill="1" applyBorder="1" applyAlignment="1">
      <alignment horizontal="center" vertical="center" wrapText="1"/>
    </xf>
    <xf numFmtId="9" fontId="23" fillId="17" borderId="8" xfId="4" applyNumberFormat="1" applyFont="1" applyFill="1" applyBorder="1" applyAlignment="1">
      <alignment horizontal="center" vertical="center" wrapText="1"/>
    </xf>
    <xf numFmtId="0" fontId="43" fillId="4" borderId="0" xfId="4" applyFont="1" applyFill="1" applyAlignment="1">
      <alignment horizontal="center" vertical="center"/>
    </xf>
    <xf numFmtId="0" fontId="13" fillId="0" borderId="0" xfId="0" applyFont="1"/>
    <xf numFmtId="0" fontId="38" fillId="20" borderId="16" xfId="4" applyFont="1" applyFill="1" applyBorder="1" applyAlignment="1">
      <alignment horizontal="center" vertical="center" wrapText="1"/>
    </xf>
    <xf numFmtId="164" fontId="21" fillId="4" borderId="0" xfId="4" applyNumberFormat="1" applyFont="1" applyFill="1" applyAlignment="1">
      <alignment horizontal="center"/>
    </xf>
    <xf numFmtId="9" fontId="21" fillId="4" borderId="0" xfId="4" applyNumberFormat="1" applyFont="1" applyFill="1" applyAlignment="1">
      <alignment horizontal="center"/>
    </xf>
    <xf numFmtId="164" fontId="21" fillId="24" borderId="0" xfId="4" applyNumberFormat="1" applyFont="1" applyFill="1" applyAlignment="1">
      <alignment horizontal="center"/>
    </xf>
    <xf numFmtId="9" fontId="41" fillId="24" borderId="0" xfId="4" applyNumberFormat="1" applyFont="1" applyFill="1" applyAlignment="1">
      <alignment horizontal="center"/>
    </xf>
    <xf numFmtId="164" fontId="30" fillId="25" borderId="2" xfId="4" applyNumberFormat="1" applyFont="1" applyFill="1" applyBorder="1" applyAlignment="1">
      <alignment horizontal="center"/>
    </xf>
    <xf numFmtId="164" fontId="29" fillId="25" borderId="2" xfId="4" applyNumberFormat="1" applyFont="1" applyFill="1" applyBorder="1" applyAlignment="1">
      <alignment horizontal="center"/>
    </xf>
    <xf numFmtId="0" fontId="36" fillId="17" borderId="0" xfId="4" applyFont="1" applyFill="1" applyAlignment="1">
      <alignment horizontal="center"/>
    </xf>
    <xf numFmtId="164" fontId="29" fillId="0" borderId="0" xfId="4" applyNumberFormat="1" applyFont="1" applyAlignment="1">
      <alignment horizontal="center"/>
    </xf>
    <xf numFmtId="0" fontId="40" fillId="17" borderId="0" xfId="4" applyFont="1" applyFill="1" applyAlignment="1">
      <alignment horizontal="center"/>
    </xf>
    <xf numFmtId="0" fontId="45" fillId="18" borderId="0" xfId="4" applyFont="1" applyFill="1" applyAlignment="1">
      <alignment horizontal="center"/>
    </xf>
    <xf numFmtId="164" fontId="30" fillId="4" borderId="0" xfId="4" applyNumberFormat="1" applyFont="1" applyFill="1" applyAlignment="1">
      <alignment horizontal="center"/>
    </xf>
    <xf numFmtId="0" fontId="17" fillId="7" borderId="13" xfId="4" applyFont="1" applyFill="1" applyBorder="1" applyAlignment="1">
      <alignment horizontal="center" vertical="center"/>
    </xf>
    <xf numFmtId="0" fontId="31" fillId="18" borderId="0" xfId="4" applyFont="1" applyFill="1" applyAlignment="1">
      <alignment horizontal="center" vertical="center"/>
    </xf>
    <xf numFmtId="0" fontId="32" fillId="18" borderId="0" xfId="4" applyFont="1" applyFill="1" applyAlignment="1">
      <alignment horizontal="center" vertical="center"/>
    </xf>
    <xf numFmtId="0" fontId="47" fillId="4" borderId="0" xfId="7" applyFill="1" applyAlignment="1">
      <alignment vertical="center"/>
    </xf>
    <xf numFmtId="9" fontId="49" fillId="23" borderId="0" xfId="3" applyNumberFormat="1" applyFont="1" applyFill="1" applyAlignment="1">
      <alignment horizontal="right"/>
    </xf>
    <xf numFmtId="0" fontId="52" fillId="23" borderId="0" xfId="3" applyFont="1" applyFill="1" applyAlignment="1">
      <alignment horizontal="right"/>
    </xf>
    <xf numFmtId="9" fontId="52" fillId="23" borderId="0" xfId="3" applyNumberFormat="1" applyFont="1" applyFill="1" applyAlignment="1">
      <alignment horizontal="right"/>
    </xf>
    <xf numFmtId="167" fontId="14" fillId="5" borderId="2" xfId="3" applyNumberFormat="1" applyFont="1" applyFill="1" applyBorder="1" applyAlignment="1">
      <alignment vertical="center"/>
    </xf>
    <xf numFmtId="0" fontId="53" fillId="2" borderId="0" xfId="1" applyFont="1" applyBorder="1" applyAlignment="1">
      <alignment horizontal="center" vertical="center" wrapText="1"/>
    </xf>
    <xf numFmtId="0" fontId="54" fillId="3" borderId="0" xfId="2" applyFont="1" applyBorder="1" applyAlignment="1">
      <alignment horizontal="center" vertical="center" wrapText="1"/>
    </xf>
    <xf numFmtId="1" fontId="8" fillId="4" borderId="0" xfId="3" applyNumberFormat="1" applyFill="1"/>
    <xf numFmtId="164" fontId="8" fillId="6" borderId="0" xfId="3" applyNumberFormat="1" applyFill="1" applyAlignment="1">
      <alignment horizontal="center"/>
    </xf>
    <xf numFmtId="49" fontId="8" fillId="6" borderId="0" xfId="3" applyNumberFormat="1" applyFill="1"/>
    <xf numFmtId="164" fontId="8" fillId="26" borderId="0" xfId="3" applyNumberFormat="1" applyFill="1" applyAlignment="1">
      <alignment horizontal="center"/>
    </xf>
    <xf numFmtId="49" fontId="8" fillId="26" borderId="0" xfId="3" applyNumberFormat="1" applyFill="1"/>
    <xf numFmtId="164" fontId="8" fillId="4" borderId="0" xfId="3" applyNumberFormat="1" applyFill="1" applyAlignment="1">
      <alignment horizontal="center" vertical="center"/>
    </xf>
    <xf numFmtId="49" fontId="8" fillId="24" borderId="0" xfId="3" applyNumberFormat="1" applyFill="1"/>
    <xf numFmtId="0" fontId="8" fillId="0" borderId="0" xfId="3" applyAlignment="1">
      <alignment horizontal="left"/>
    </xf>
    <xf numFmtId="0" fontId="8" fillId="27" borderId="0" xfId="3" applyFill="1" applyAlignment="1">
      <alignment horizontal="left"/>
    </xf>
    <xf numFmtId="0" fontId="34" fillId="12" borderId="12" xfId="4" applyFont="1" applyFill="1" applyBorder="1" applyAlignment="1">
      <alignment horizontal="center" vertical="center" wrapText="1"/>
    </xf>
    <xf numFmtId="0" fontId="25" fillId="12" borderId="12" xfId="4" applyFont="1" applyFill="1" applyBorder="1" applyAlignment="1">
      <alignment horizontal="center" vertical="center"/>
    </xf>
    <xf numFmtId="0" fontId="34" fillId="12" borderId="5" xfId="4" applyFont="1" applyFill="1" applyBorder="1" applyAlignment="1">
      <alignment horizontal="center" vertical="center" wrapText="1"/>
    </xf>
    <xf numFmtId="0" fontId="25" fillId="12" borderId="5" xfId="4" applyFont="1" applyFill="1" applyBorder="1" applyAlignment="1">
      <alignment horizontal="center" vertical="center"/>
    </xf>
    <xf numFmtId="0" fontId="26" fillId="6" borderId="5" xfId="4" applyFont="1" applyFill="1" applyBorder="1" applyAlignment="1">
      <alignment horizontal="center" vertical="center" wrapText="1"/>
    </xf>
    <xf numFmtId="0" fontId="26" fillId="6" borderId="6" xfId="4" applyFont="1" applyFill="1" applyBorder="1" applyAlignment="1">
      <alignment horizontal="center" vertical="center" wrapText="1"/>
    </xf>
    <xf numFmtId="0" fontId="26" fillId="10" borderId="5" xfId="4" applyFont="1" applyFill="1" applyBorder="1" applyAlignment="1">
      <alignment horizontal="center" vertical="center" wrapText="1"/>
    </xf>
    <xf numFmtId="0" fontId="26" fillId="10" borderId="6" xfId="4" applyFont="1" applyFill="1" applyBorder="1" applyAlignment="1">
      <alignment horizontal="center" vertical="center" wrapText="1"/>
    </xf>
    <xf numFmtId="0" fontId="26" fillId="28" borderId="5" xfId="4" applyFont="1" applyFill="1" applyBorder="1" applyAlignment="1">
      <alignment horizontal="center" vertical="center" wrapText="1"/>
    </xf>
    <xf numFmtId="0" fontId="26" fillId="28" borderId="6" xfId="4" applyFont="1" applyFill="1" applyBorder="1" applyAlignment="1">
      <alignment horizontal="center" vertical="center" wrapText="1"/>
    </xf>
    <xf numFmtId="164" fontId="22" fillId="0" borderId="24" xfId="4" applyNumberFormat="1" applyFont="1" applyBorder="1" applyAlignment="1">
      <alignment horizontal="right"/>
    </xf>
    <xf numFmtId="0" fontId="0" fillId="17" borderId="0" xfId="0" applyFill="1"/>
    <xf numFmtId="0" fontId="5" fillId="17" borderId="0" xfId="4" applyFill="1"/>
    <xf numFmtId="0" fontId="8" fillId="0" borderId="0" xfId="3" applyAlignment="1">
      <alignment horizontal="center"/>
    </xf>
    <xf numFmtId="49" fontId="8" fillId="7" borderId="0" xfId="3" applyNumberFormat="1" applyFill="1"/>
    <xf numFmtId="164" fontId="8" fillId="7" borderId="0" xfId="3" applyNumberFormat="1" applyFill="1" applyAlignment="1">
      <alignment horizontal="center"/>
    </xf>
    <xf numFmtId="1" fontId="8" fillId="29" borderId="0" xfId="3" applyNumberFormat="1" applyFill="1" applyAlignment="1">
      <alignment horizontal="right"/>
    </xf>
    <xf numFmtId="0" fontId="8" fillId="0" borderId="0" xfId="3" applyAlignment="1">
      <alignment horizontal="right" wrapText="1"/>
    </xf>
    <xf numFmtId="1" fontId="8" fillId="7" borderId="0" xfId="3" applyNumberFormat="1" applyFill="1" applyAlignment="1">
      <alignment horizontal="right"/>
    </xf>
    <xf numFmtId="1" fontId="8" fillId="6" borderId="0" xfId="3" applyNumberFormat="1" applyFill="1" applyAlignment="1">
      <alignment horizontal="right"/>
    </xf>
    <xf numFmtId="0" fontId="58" fillId="7" borderId="0" xfId="3" applyFont="1" applyFill="1"/>
    <xf numFmtId="0" fontId="8" fillId="4" borderId="0" xfId="3" applyFill="1" applyAlignment="1">
      <alignment horizontal="right"/>
    </xf>
    <xf numFmtId="1" fontId="8" fillId="26" borderId="0" xfId="3" applyNumberFormat="1" applyFill="1" applyAlignment="1">
      <alignment horizontal="right"/>
    </xf>
    <xf numFmtId="164" fontId="8" fillId="6" borderId="0" xfId="3" applyNumberFormat="1" applyFill="1" applyAlignment="1">
      <alignment horizontal="right"/>
    </xf>
    <xf numFmtId="164" fontId="8" fillId="26" borderId="0" xfId="3" applyNumberFormat="1" applyFill="1" applyAlignment="1">
      <alignment horizontal="right"/>
    </xf>
    <xf numFmtId="164" fontId="8" fillId="28" borderId="0" xfId="3" applyNumberFormat="1" applyFill="1" applyAlignment="1">
      <alignment horizontal="center"/>
    </xf>
    <xf numFmtId="1" fontId="8" fillId="28" borderId="0" xfId="3" applyNumberFormat="1" applyFill="1" applyAlignment="1">
      <alignment horizontal="right"/>
    </xf>
    <xf numFmtId="14" fontId="0" fillId="0" borderId="0" xfId="0" applyNumberFormat="1"/>
    <xf numFmtId="0" fontId="8" fillId="6" borderId="0" xfId="3" applyFill="1" applyAlignment="1">
      <alignment horizontal="left"/>
    </xf>
    <xf numFmtId="15" fontId="8" fillId="0" borderId="0" xfId="3" applyNumberFormat="1" applyAlignment="1">
      <alignment horizontal="center"/>
    </xf>
    <xf numFmtId="0" fontId="8" fillId="26" borderId="0" xfId="3" applyFill="1" applyAlignment="1">
      <alignment horizontal="right"/>
    </xf>
    <xf numFmtId="0" fontId="8" fillId="6" borderId="0" xfId="3" applyFill="1" applyAlignment="1">
      <alignment horizontal="right"/>
    </xf>
    <xf numFmtId="0" fontId="54" fillId="30" borderId="7" xfId="8" applyFont="1" applyFill="1" applyBorder="1" applyAlignment="1">
      <alignment horizontal="center" vertical="center" wrapText="1"/>
    </xf>
    <xf numFmtId="0" fontId="55" fillId="21" borderId="0" xfId="9" applyFont="1" applyBorder="1" applyAlignment="1">
      <alignment horizontal="center" vertical="center" wrapText="1"/>
    </xf>
    <xf numFmtId="0" fontId="53" fillId="2" borderId="0" xfId="1" applyFont="1" applyBorder="1" applyAlignment="1">
      <alignment horizontal="right" vertical="center" wrapText="1"/>
    </xf>
    <xf numFmtId="0" fontId="11" fillId="8" borderId="0" xfId="3" applyFont="1" applyFill="1" applyAlignment="1">
      <alignment horizontal="left" vertical="center" wrapText="1"/>
    </xf>
    <xf numFmtId="0" fontId="11" fillId="8" borderId="0" xfId="3" applyFont="1" applyFill="1" applyAlignment="1">
      <alignment horizontal="center" vertical="center"/>
    </xf>
    <xf numFmtId="1" fontId="8" fillId="0" borderId="0" xfId="3" applyNumberFormat="1" applyAlignment="1">
      <alignment horizontal="right"/>
    </xf>
    <xf numFmtId="164" fontId="8" fillId="0" borderId="0" xfId="3" applyNumberFormat="1" applyAlignment="1">
      <alignment horizontal="center"/>
    </xf>
    <xf numFmtId="49" fontId="8" fillId="0" borderId="0" xfId="3" applyNumberFormat="1"/>
    <xf numFmtId="0" fontId="8" fillId="16" borderId="0" xfId="3" applyFill="1" applyAlignment="1">
      <alignment horizontal="center"/>
    </xf>
    <xf numFmtId="0" fontId="29" fillId="16" borderId="0" xfId="8" applyFont="1" applyFill="1" applyAlignment="1">
      <alignment horizontal="center"/>
    </xf>
    <xf numFmtId="0" fontId="59" fillId="0" borderId="9" xfId="8" applyFont="1" applyBorder="1" applyAlignment="1">
      <alignment horizontal="left"/>
    </xf>
    <xf numFmtId="0" fontId="17" fillId="4" borderId="15" xfId="8" applyFont="1" applyFill="1" applyBorder="1" applyAlignment="1">
      <alignment horizontal="center"/>
    </xf>
    <xf numFmtId="164" fontId="17" fillId="4" borderId="15" xfId="8" applyNumberFormat="1" applyFont="1" applyFill="1" applyBorder="1" applyAlignment="1">
      <alignment horizontal="center"/>
    </xf>
    <xf numFmtId="0" fontId="17" fillId="4" borderId="9" xfId="8" applyFont="1" applyFill="1" applyBorder="1" applyAlignment="1">
      <alignment horizontal="center"/>
    </xf>
    <xf numFmtId="0" fontId="17" fillId="4" borderId="20" xfId="8" applyFont="1" applyFill="1" applyBorder="1" applyAlignment="1">
      <alignment horizontal="center"/>
    </xf>
    <xf numFmtId="3" fontId="17" fillId="4" borderId="9" xfId="8" applyNumberFormat="1" applyFont="1" applyFill="1" applyBorder="1" applyAlignment="1">
      <alignment horizontal="center"/>
    </xf>
    <xf numFmtId="164" fontId="17" fillId="4" borderId="9" xfId="8" applyNumberFormat="1" applyFont="1" applyFill="1" applyBorder="1" applyAlignment="1">
      <alignment horizontal="center"/>
    </xf>
    <xf numFmtId="0" fontId="59" fillId="0" borderId="11" xfId="8" applyFont="1" applyBorder="1" applyAlignment="1">
      <alignment horizontal="left"/>
    </xf>
    <xf numFmtId="0" fontId="17" fillId="4" borderId="10" xfId="8" applyFont="1" applyFill="1" applyBorder="1" applyAlignment="1">
      <alignment horizontal="center"/>
    </xf>
    <xf numFmtId="0" fontId="17" fillId="4" borderId="26" xfId="8" applyFont="1" applyFill="1" applyBorder="1" applyAlignment="1">
      <alignment horizontal="center"/>
    </xf>
    <xf numFmtId="3" fontId="17" fillId="4" borderId="10" xfId="8" applyNumberFormat="1" applyFont="1" applyFill="1" applyBorder="1" applyAlignment="1">
      <alignment horizontal="center"/>
    </xf>
    <xf numFmtId="164" fontId="17" fillId="4" borderId="10" xfId="8" applyNumberFormat="1" applyFont="1" applyFill="1" applyBorder="1" applyAlignment="1">
      <alignment horizontal="center"/>
    </xf>
    <xf numFmtId="1" fontId="17" fillId="4" borderId="10" xfId="8" applyNumberFormat="1" applyFont="1" applyFill="1" applyBorder="1" applyAlignment="1">
      <alignment horizontal="center"/>
    </xf>
    <xf numFmtId="3" fontId="17" fillId="4" borderId="15" xfId="8" applyNumberFormat="1" applyFont="1" applyFill="1" applyBorder="1" applyAlignment="1">
      <alignment horizontal="center"/>
    </xf>
    <xf numFmtId="0" fontId="59" fillId="0" borderId="27" xfId="8" applyFont="1" applyBorder="1" applyAlignment="1">
      <alignment horizontal="left"/>
    </xf>
    <xf numFmtId="1" fontId="17" fillId="4" borderId="15" xfId="8" applyNumberFormat="1" applyFont="1" applyFill="1" applyBorder="1" applyAlignment="1">
      <alignment horizontal="center"/>
    </xf>
    <xf numFmtId="0" fontId="29" fillId="16" borderId="25" xfId="8" applyFont="1" applyFill="1" applyBorder="1" applyAlignment="1">
      <alignment horizontal="center"/>
    </xf>
    <xf numFmtId="0" fontId="59" fillId="0" borderId="28" xfId="8" applyFont="1" applyBorder="1" applyAlignment="1">
      <alignment horizontal="left"/>
    </xf>
    <xf numFmtId="0" fontId="17" fillId="4" borderId="3" xfId="8" applyFont="1" applyFill="1" applyBorder="1" applyAlignment="1">
      <alignment horizontal="center"/>
    </xf>
    <xf numFmtId="164" fontId="17" fillId="4" borderId="3" xfId="8" applyNumberFormat="1" applyFont="1" applyFill="1" applyBorder="1" applyAlignment="1">
      <alignment horizontal="center"/>
    </xf>
    <xf numFmtId="0" fontId="31" fillId="31" borderId="0" xfId="3" applyFont="1" applyFill="1" applyAlignment="1">
      <alignment horizontal="center" vertical="center"/>
    </xf>
    <xf numFmtId="0" fontId="62" fillId="0" borderId="0" xfId="0" applyFont="1"/>
    <xf numFmtId="14" fontId="8" fillId="0" borderId="0" xfId="3" applyNumberFormat="1" applyAlignment="1">
      <alignment horizontal="right"/>
    </xf>
    <xf numFmtId="0" fontId="8" fillId="29" borderId="0" xfId="3" applyFill="1"/>
    <xf numFmtId="0" fontId="8" fillId="16" borderId="0" xfId="3" applyFill="1" applyAlignment="1">
      <alignment horizontal="left"/>
    </xf>
    <xf numFmtId="0" fontId="8" fillId="16" borderId="0" xfId="3" applyFill="1"/>
    <xf numFmtId="164" fontId="63" fillId="9" borderId="2" xfId="4" applyNumberFormat="1" applyFont="1" applyFill="1" applyBorder="1" applyAlignment="1">
      <alignment horizontal="center"/>
    </xf>
    <xf numFmtId="0" fontId="31" fillId="18" borderId="0" xfId="4" applyFont="1" applyFill="1" applyBorder="1" applyAlignment="1">
      <alignment horizontal="center"/>
    </xf>
    <xf numFmtId="0" fontId="5" fillId="17" borderId="0" xfId="4" applyFill="1" applyBorder="1" applyAlignment="1">
      <alignment horizontal="center"/>
    </xf>
    <xf numFmtId="0" fontId="0" fillId="0" borderId="0" xfId="0" applyFill="1" applyBorder="1"/>
    <xf numFmtId="0" fontId="8" fillId="0" borderId="0" xfId="3" applyFill="1" applyBorder="1"/>
    <xf numFmtId="0" fontId="47" fillId="0" borderId="0" xfId="7" applyFill="1" applyBorder="1" applyAlignment="1">
      <alignment vertical="center"/>
    </xf>
    <xf numFmtId="0" fontId="12" fillId="0" borderId="0" xfId="3" applyFont="1" applyFill="1" applyBorder="1" applyAlignment="1">
      <alignment horizontal="right"/>
    </xf>
    <xf numFmtId="167" fontId="14" fillId="0" borderId="0" xfId="3" applyNumberFormat="1" applyFont="1" applyFill="1" applyBorder="1" applyAlignment="1">
      <alignment vertical="center"/>
    </xf>
    <xf numFmtId="167" fontId="12" fillId="0" borderId="0" xfId="3" applyNumberFormat="1" applyFont="1" applyFill="1" applyBorder="1" applyAlignment="1">
      <alignment vertical="center"/>
    </xf>
    <xf numFmtId="0" fontId="52" fillId="0" borderId="0" xfId="3" applyFont="1" applyFill="1" applyBorder="1" applyAlignment="1">
      <alignment horizontal="right"/>
    </xf>
    <xf numFmtId="9" fontId="52" fillId="0" borderId="0" xfId="3" applyNumberFormat="1" applyFont="1" applyFill="1" applyBorder="1" applyAlignment="1">
      <alignment horizontal="right"/>
    </xf>
    <xf numFmtId="0" fontId="32" fillId="17" borderId="0" xfId="4" applyFont="1" applyFill="1" applyAlignment="1">
      <alignment horizontal="center" vertical="center"/>
    </xf>
    <xf numFmtId="164" fontId="29" fillId="17" borderId="0" xfId="4" applyNumberFormat="1" applyFont="1" applyFill="1" applyBorder="1" applyAlignment="1">
      <alignment horizontal="center"/>
    </xf>
    <xf numFmtId="0" fontId="32" fillId="17" borderId="0" xfId="4" applyFont="1" applyFill="1" applyBorder="1" applyAlignment="1">
      <alignment horizontal="center" vertical="center"/>
    </xf>
    <xf numFmtId="0" fontId="16" fillId="17" borderId="0" xfId="4" applyFont="1" applyFill="1" applyBorder="1" applyAlignment="1">
      <alignment horizontal="center"/>
    </xf>
    <xf numFmtId="3" fontId="22" fillId="7" borderId="0" xfId="4" applyNumberFormat="1" applyFont="1" applyFill="1" applyAlignment="1">
      <alignment horizontal="center"/>
    </xf>
    <xf numFmtId="0" fontId="17" fillId="0" borderId="10" xfId="4" applyNumberFormat="1" applyFont="1" applyFill="1" applyBorder="1" applyAlignment="1">
      <alignment horizontal="center"/>
    </xf>
    <xf numFmtId="0" fontId="29" fillId="16" borderId="0" xfId="8" applyNumberFormat="1" applyFont="1" applyFill="1" applyAlignment="1">
      <alignment horizontal="center"/>
    </xf>
    <xf numFmtId="0" fontId="59" fillId="0" borderId="11" xfId="8" applyNumberFormat="1" applyFont="1" applyFill="1" applyBorder="1" applyAlignment="1">
      <alignment horizontal="left"/>
    </xf>
    <xf numFmtId="0" fontId="17" fillId="4" borderId="15" xfId="8" applyNumberFormat="1" applyFont="1" applyFill="1" applyBorder="1" applyAlignment="1">
      <alignment horizontal="center"/>
    </xf>
    <xf numFmtId="0" fontId="17" fillId="4" borderId="10" xfId="8" applyNumberFormat="1" applyFont="1" applyFill="1" applyBorder="1" applyAlignment="1">
      <alignment horizontal="center"/>
    </xf>
    <xf numFmtId="0" fontId="17" fillId="4" borderId="26" xfId="8" applyNumberFormat="1" applyFont="1" applyFill="1" applyBorder="1" applyAlignment="1">
      <alignment horizontal="center"/>
    </xf>
    <xf numFmtId="164" fontId="21" fillId="0" borderId="15" xfId="4" applyNumberFormat="1" applyFont="1" applyFill="1" applyBorder="1" applyAlignment="1">
      <alignment horizontal="right"/>
    </xf>
    <xf numFmtId="164" fontId="21" fillId="0" borderId="3" xfId="4" applyNumberFormat="1" applyFont="1" applyFill="1" applyBorder="1" applyAlignment="1">
      <alignment horizontal="right"/>
    </xf>
    <xf numFmtId="164" fontId="22" fillId="0" borderId="11" xfId="4" applyNumberFormat="1" applyFont="1" applyFill="1" applyBorder="1" applyAlignment="1">
      <alignment horizontal="right"/>
    </xf>
    <xf numFmtId="0" fontId="38" fillId="22" borderId="16" xfId="4" applyFont="1" applyFill="1" applyBorder="1" applyAlignment="1">
      <alignment horizontal="center" vertical="center" wrapText="1"/>
    </xf>
    <xf numFmtId="0" fontId="38" fillId="22" borderId="18" xfId="4" applyFont="1" applyFill="1" applyBorder="1" applyAlignment="1">
      <alignment horizontal="center" vertical="center" wrapText="1"/>
    </xf>
    <xf numFmtId="0" fontId="38" fillId="22" borderId="17" xfId="4" applyFont="1" applyFill="1" applyBorder="1" applyAlignment="1">
      <alignment horizontal="center" vertical="center" wrapText="1"/>
    </xf>
    <xf numFmtId="0" fontId="35" fillId="4" borderId="0" xfId="4" applyFont="1" applyFill="1" applyAlignment="1">
      <alignment horizontal="left" vertical="center"/>
    </xf>
    <xf numFmtId="0" fontId="27" fillId="5" borderId="4" xfId="4" applyFont="1" applyFill="1" applyBorder="1" applyAlignment="1">
      <alignment horizontal="center" vertical="center"/>
    </xf>
    <xf numFmtId="0" fontId="27" fillId="15" borderId="4" xfId="4" applyFont="1" applyFill="1" applyBorder="1" applyAlignment="1">
      <alignment horizontal="center" vertical="center"/>
    </xf>
    <xf numFmtId="0" fontId="27" fillId="9" borderId="4" xfId="4" applyFont="1" applyFill="1" applyBorder="1" applyAlignment="1">
      <alignment horizontal="center" vertical="center" wrapText="1"/>
    </xf>
    <xf numFmtId="0" fontId="27" fillId="17" borderId="4" xfId="4" applyFont="1" applyFill="1" applyBorder="1" applyAlignment="1">
      <alignment horizontal="center" vertical="center" wrapText="1"/>
    </xf>
    <xf numFmtId="0" fontId="27" fillId="6" borderId="4" xfId="4" applyFont="1" applyFill="1" applyBorder="1" applyAlignment="1">
      <alignment horizontal="center" vertical="center" wrapText="1"/>
    </xf>
    <xf numFmtId="0" fontId="27" fillId="10" borderId="4" xfId="4" applyFont="1" applyFill="1" applyBorder="1" applyAlignment="1">
      <alignment horizontal="center" vertical="center"/>
    </xf>
    <xf numFmtId="0" fontId="27" fillId="28" borderId="4" xfId="4" applyFont="1" applyFill="1" applyBorder="1" applyAlignment="1">
      <alignment horizontal="center" vertical="center" wrapText="1"/>
    </xf>
    <xf numFmtId="0" fontId="27" fillId="28" borderId="23" xfId="4" applyFont="1" applyFill="1" applyBorder="1" applyAlignment="1">
      <alignment horizontal="center" vertical="center" wrapText="1"/>
    </xf>
    <xf numFmtId="0" fontId="60" fillId="0" borderId="0" xfId="0" applyFont="1" applyAlignment="1">
      <alignment horizontal="center"/>
    </xf>
    <xf numFmtId="168" fontId="61" fillId="5" borderId="0" xfId="0" applyNumberFormat="1" applyFont="1" applyFill="1" applyAlignment="1">
      <alignment horizontal="center"/>
    </xf>
    <xf numFmtId="0" fontId="46" fillId="4" borderId="0" xfId="4" applyFont="1" applyFill="1" applyAlignment="1">
      <alignment horizontal="center" vertical="center"/>
    </xf>
    <xf numFmtId="0" fontId="57" fillId="5" borderId="14" xfId="4" applyFont="1" applyFill="1" applyBorder="1" applyAlignment="1">
      <alignment horizontal="left"/>
    </xf>
    <xf numFmtId="0" fontId="57" fillId="5" borderId="0" xfId="4" applyFont="1" applyFill="1" applyAlignment="1">
      <alignment horizontal="left"/>
    </xf>
    <xf numFmtId="0" fontId="30" fillId="16" borderId="0" xfId="4" applyFont="1" applyFill="1" applyAlignment="1">
      <alignment horizontal="center"/>
    </xf>
    <xf numFmtId="0" fontId="48" fillId="7" borderId="0" xfId="3" applyFont="1" applyFill="1" applyAlignment="1">
      <alignment horizontal="center" vertical="top" wrapText="1"/>
    </xf>
    <xf numFmtId="0" fontId="14" fillId="7" borderId="0" xfId="3" applyFont="1" applyFill="1" applyAlignment="1">
      <alignment horizontal="center"/>
    </xf>
    <xf numFmtId="0" fontId="51" fillId="12" borderId="4" xfId="3" applyFont="1" applyFill="1" applyBorder="1" applyAlignment="1">
      <alignment horizontal="center"/>
    </xf>
    <xf numFmtId="0" fontId="51" fillId="12" borderId="0" xfId="3" applyFont="1" applyFill="1" applyAlignment="1">
      <alignment horizontal="right"/>
    </xf>
    <xf numFmtId="9" fontId="50" fillId="26" borderId="0" xfId="3" applyNumberFormat="1" applyFont="1" applyFill="1" applyAlignment="1">
      <alignment horizontal="right"/>
    </xf>
    <xf numFmtId="0" fontId="50" fillId="26" borderId="0" xfId="3" applyFont="1" applyFill="1" applyAlignment="1">
      <alignment horizontal="right"/>
    </xf>
    <xf numFmtId="164" fontId="44" fillId="7" borderId="22" xfId="3" applyNumberFormat="1" applyFont="1" applyFill="1" applyBorder="1" applyAlignment="1">
      <alignment horizontal="left" vertical="center"/>
    </xf>
    <xf numFmtId="164" fontId="44" fillId="7" borderId="4" xfId="3" applyNumberFormat="1" applyFont="1" applyFill="1" applyBorder="1" applyAlignment="1">
      <alignment horizontal="left" vertical="center"/>
    </xf>
    <xf numFmtId="164" fontId="44" fillId="7" borderId="23" xfId="3" applyNumberFormat="1" applyFont="1" applyFill="1" applyBorder="1" applyAlignment="1">
      <alignment horizontal="left" vertical="center"/>
    </xf>
    <xf numFmtId="164" fontId="44" fillId="7" borderId="14" xfId="3" applyNumberFormat="1" applyFont="1" applyFill="1" applyBorder="1" applyAlignment="1">
      <alignment horizontal="left" vertical="center"/>
    </xf>
    <xf numFmtId="164" fontId="44" fillId="7" borderId="0" xfId="3" applyNumberFormat="1" applyFont="1" applyFill="1" applyAlignment="1">
      <alignment horizontal="left" vertical="center"/>
    </xf>
    <xf numFmtId="164" fontId="44" fillId="7" borderId="19" xfId="3" applyNumberFormat="1" applyFont="1" applyFill="1" applyBorder="1" applyAlignment="1">
      <alignment horizontal="left" vertical="center"/>
    </xf>
    <xf numFmtId="164" fontId="44" fillId="4" borderId="5" xfId="3" applyNumberFormat="1" applyFont="1" applyFill="1" applyBorder="1" applyAlignment="1">
      <alignment horizontal="left" vertical="center"/>
    </xf>
    <xf numFmtId="164" fontId="44" fillId="4" borderId="20" xfId="3" applyNumberFormat="1" applyFont="1" applyFill="1" applyBorder="1" applyAlignment="1">
      <alignment horizontal="left" vertical="center"/>
    </xf>
    <xf numFmtId="164" fontId="44" fillId="4" borderId="21" xfId="3" applyNumberFormat="1" applyFont="1" applyFill="1" applyBorder="1" applyAlignment="1">
      <alignment horizontal="left" vertical="center"/>
    </xf>
    <xf numFmtId="0" fontId="48" fillId="0" borderId="0" xfId="3" applyFont="1" applyFill="1" applyBorder="1" applyAlignment="1">
      <alignment horizontal="center" vertical="top" wrapText="1"/>
    </xf>
    <xf numFmtId="9" fontId="50" fillId="0" borderId="0" xfId="3" applyNumberFormat="1" applyFont="1" applyFill="1" applyBorder="1" applyAlignment="1">
      <alignment horizontal="right"/>
    </xf>
    <xf numFmtId="164" fontId="44" fillId="0" borderId="0" xfId="3" applyNumberFormat="1" applyFont="1" applyFill="1" applyBorder="1" applyAlignment="1">
      <alignment horizontal="left" vertical="center"/>
    </xf>
    <xf numFmtId="1" fontId="8" fillId="0" borderId="0" xfId="3" applyNumberFormat="1" applyAlignment="1">
      <alignment horizontal="center"/>
    </xf>
  </cellXfs>
  <cellStyles count="10">
    <cellStyle name="20% - Énfasis6 2" xfId="6" xr:uid="{C90DDD92-CE69-47E0-806F-7531B85B232B}"/>
    <cellStyle name="20% - Énfasis6 2 2" xfId="9" xr:uid="{85AB4919-CDDE-4015-89A8-DC97BFABB842}"/>
    <cellStyle name="Celda de comprobación" xfId="2" builtinId="23"/>
    <cellStyle name="Hipervínculo" xfId="7" builtinId="8"/>
    <cellStyle name="Neutral" xfId="1" builtinId="28"/>
    <cellStyle name="Normal" xfId="0" builtinId="0"/>
    <cellStyle name="Normal 2" xfId="3" xr:uid="{A58FF782-1C81-47A9-938A-AF560EEE3662}"/>
    <cellStyle name="Normal 3" xfId="4" xr:uid="{3267825F-23EB-4266-9502-D21803C62868}"/>
    <cellStyle name="Normal 3 2" xfId="5" xr:uid="{5B457A1D-C3DE-4484-8FDA-CE414A4DCC1D}"/>
    <cellStyle name="Normal 3 3" xfId="8" xr:uid="{663B75A6-597F-4D82-9107-6AFED7AA6DAE}"/>
  </cellStyles>
  <dxfs count="142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FFFF"/>
        </patternFill>
      </fill>
    </dxf>
    <dxf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theme="9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FFFF"/>
        </patternFill>
      </fill>
    </dxf>
    <dxf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theme="9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3" formatCode="0%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3" formatCode="0%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3" formatCode="0%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3" formatCode="0%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64" formatCode="&quot;$&quot;\ #,##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64" formatCode="&quot;$&quot;\ #,##0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numFmt numFmtId="164" formatCode="&quot;$&quot;\ 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theme="6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numFmt numFmtId="164" formatCode="&quot;$&quot;\ 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6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numFmt numFmtId="164" formatCode="&quot;$&quot;\ 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theme="6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64" formatCode="&quot;$&quot;\ 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64" formatCode="&quot;$&quot;\ 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&quot;$&quot;\ 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&quot;$&quot;\ 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&quot;$&quot;\ 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&quot;$&quot;\ 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&quot;$&quot;\ 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&quot;$&quot;\ 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&quot;$&quot;\ 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rgb="FF72FAF4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</dxfs>
  <tableStyles count="1" defaultTableStyle="TableStyleMedium2" defaultPivotStyle="PivotStyleLight16">
    <tableStyle name="Estilo de tabla 1" pivot="0" count="0" xr9:uid="{BC7E869B-C3ED-4D3A-9D58-BA0817A44A7E}"/>
  </tableStyles>
  <colors>
    <mruColors>
      <color rgb="FF72FAF4"/>
      <color rgb="FFFFF7E1"/>
      <color rgb="FFDFDB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500063</xdr:colOff>
      <xdr:row>0</xdr:row>
      <xdr:rowOff>1</xdr:rowOff>
    </xdr:from>
    <xdr:to>
      <xdr:col>2</xdr:col>
      <xdr:colOff>568327</xdr:colOff>
      <xdr:row>16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F2CAB5F-7BF1-45AD-B571-8FB631C42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571626" y="1"/>
          <a:ext cx="3640139" cy="36433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607252</xdr:colOff>
      <xdr:row>1</xdr:row>
      <xdr:rowOff>98961</xdr:rowOff>
    </xdr:from>
    <xdr:to>
      <xdr:col>10</xdr:col>
      <xdr:colOff>204107</xdr:colOff>
      <xdr:row>29</xdr:row>
      <xdr:rowOff>163286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CBF3EB24-38B4-44C3-AC4E-71E901D9C748}"/>
            </a:ext>
          </a:extLst>
        </xdr:cNvPr>
        <xdr:cNvSpPr/>
      </xdr:nvSpPr>
      <xdr:spPr>
        <a:xfrm>
          <a:off x="2131252" y="262247"/>
          <a:ext cx="11135712" cy="8555182"/>
        </a:xfrm>
        <a:prstGeom prst="roundRect">
          <a:avLst>
            <a:gd name="adj" fmla="val 5556"/>
          </a:avLst>
        </a:prstGeom>
        <a:noFill/>
        <a:effectLst>
          <a:glow>
            <a:schemeClr val="accent1"/>
          </a:glow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8</xdr:col>
      <xdr:colOff>345127</xdr:colOff>
      <xdr:row>4</xdr:row>
      <xdr:rowOff>74098</xdr:rowOff>
    </xdr:from>
    <xdr:to>
      <xdr:col>8</xdr:col>
      <xdr:colOff>2217964</xdr:colOff>
      <xdr:row>8</xdr:row>
      <xdr:rowOff>288593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9695A1F7-6B28-4A8A-A5E4-A6DF1AE82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9965377" y="754455"/>
          <a:ext cx="1872837" cy="1888174"/>
        </a:xfrm>
        <a:prstGeom prst="rect">
          <a:avLst/>
        </a:prstGeom>
      </xdr:spPr>
    </xdr:pic>
    <xdr:clientData/>
  </xdr:twoCellAnchor>
  <xdr:twoCellAnchor>
    <xdr:from>
      <xdr:col>12</xdr:col>
      <xdr:colOff>108857</xdr:colOff>
      <xdr:row>4</xdr:row>
      <xdr:rowOff>272142</xdr:rowOff>
    </xdr:from>
    <xdr:to>
      <xdr:col>13</xdr:col>
      <xdr:colOff>647656</xdr:colOff>
      <xdr:row>6</xdr:row>
      <xdr:rowOff>190500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E2634F6B-044A-48DB-B98A-4074D056E9C4}"/>
            </a:ext>
          </a:extLst>
        </xdr:cNvPr>
        <xdr:cNvSpPr/>
      </xdr:nvSpPr>
      <xdr:spPr>
        <a:xfrm>
          <a:off x="15321643" y="1034142"/>
          <a:ext cx="1477692" cy="693965"/>
        </a:xfrm>
        <a:prstGeom prst="rightArrow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600" b="1"/>
            <a:t>TRM</a:t>
          </a:r>
          <a:r>
            <a:rPr lang="es-CO" sz="1600" baseline="0"/>
            <a:t> </a:t>
          </a:r>
          <a:r>
            <a:rPr lang="es-CO" sz="1600" b="1" baseline="0"/>
            <a:t>AQUÍ</a:t>
          </a:r>
          <a:endParaRPr lang="es-CO" sz="16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607252</xdr:colOff>
      <xdr:row>1</xdr:row>
      <xdr:rowOff>98961</xdr:rowOff>
    </xdr:from>
    <xdr:to>
      <xdr:col>10</xdr:col>
      <xdr:colOff>204107</xdr:colOff>
      <xdr:row>26</xdr:row>
      <xdr:rowOff>163286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5C831055-29F0-4D63-A444-401412434A1C}"/>
            </a:ext>
          </a:extLst>
        </xdr:cNvPr>
        <xdr:cNvSpPr/>
      </xdr:nvSpPr>
      <xdr:spPr>
        <a:xfrm>
          <a:off x="2131252" y="260886"/>
          <a:ext cx="10750630" cy="8551100"/>
        </a:xfrm>
        <a:prstGeom prst="roundRect">
          <a:avLst>
            <a:gd name="adj" fmla="val 5556"/>
          </a:avLst>
        </a:prstGeom>
        <a:noFill/>
        <a:effectLst>
          <a:glow>
            <a:schemeClr val="accent1"/>
          </a:glow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8</xdr:col>
      <xdr:colOff>80250</xdr:colOff>
      <xdr:row>6</xdr:row>
      <xdr:rowOff>108857</xdr:rowOff>
    </xdr:from>
    <xdr:to>
      <xdr:col>9</xdr:col>
      <xdr:colOff>73963</xdr:colOff>
      <xdr:row>15</xdr:row>
      <xdr:rowOff>54428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5B822A-60EC-4FC4-897A-B936AD35D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0340036" y="2857500"/>
          <a:ext cx="2429391" cy="244928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9B5F03-0682-406B-8ADF-38315312E67D}" name="Tabla3" displayName="Tabla3" ref="A19:AB144" totalsRowShown="0">
  <autoFilter ref="A19:AB144" xr:uid="{189B5F03-0682-406B-8ADF-38315312E67D}"/>
  <sortState xmlns:xlrd2="http://schemas.microsoft.com/office/spreadsheetml/2017/richdata2" ref="A20:T31">
    <sortCondition ref="C20:C31"/>
  </sortState>
  <tableColumns count="28">
    <tableColumn id="1" xr3:uid="{24928231-2D11-450F-A164-9DCC0B4F2FA4}" name="LISTA" dataDxfId="14243" dataCellStyle="Normal 3">
      <calculatedColumnFormula>(A19+1)</calculatedColumnFormula>
    </tableColumn>
    <tableColumn id="2" xr3:uid="{26996E8E-494E-49B5-8DA5-60DDB5FAB7C0}" name="CC-ID-DNI" dataDxfId="14242" dataCellStyle="Normal 3 3"/>
    <tableColumn id="21" xr3:uid="{940FA4C9-8C82-45D9-8FE5-780FB0A652A6}" name="NOMBRE" dataDxfId="14241" dataCellStyle="Normal 3 3"/>
    <tableColumn id="4" xr3:uid="{1FD2DB22-FDB6-41E3-BC33-776BA57625FB}" name="CANT" dataDxfId="14240" dataCellStyle="Normal 3 3"/>
    <tableColumn id="5" xr3:uid="{87BD2DDF-3751-41C6-BDDB-7A5ABB14FFD1}" name="MONTO" dataDxfId="14239" dataCellStyle="Normal 3 3"/>
    <tableColumn id="6" xr3:uid="{164D5526-0F4D-46C0-AF53-4865FA82E041}" name="CANT2" dataDxfId="14238" dataCellStyle="Normal 3 3"/>
    <tableColumn id="7" xr3:uid="{27356B0F-A0CC-47B8-AC1D-43DA285AFD9C}" name="MONTO2" dataDxfId="14237" dataCellStyle="Normal 3 3">
      <calculatedColumnFormula>(Tabla3[[#This Row],[CANT2]]*10000000)</calculatedColumnFormula>
    </tableColumn>
    <tableColumn id="8" xr3:uid="{E7312A44-1FA2-4BA4-9AE0-D0D6ED06925F}" name="CANT3" dataDxfId="14236" dataCellStyle="Normal 3 3"/>
    <tableColumn id="9" xr3:uid="{C09806EE-B718-4A53-8362-DA4B910374D0}" name="MONTO3" dataDxfId="14235" dataCellStyle="Normal 3 3">
      <calculatedColumnFormula>(Tabla3[[#This Row],[CANT3]]*7500000)</calculatedColumnFormula>
    </tableColumn>
    <tableColumn id="10" xr3:uid="{1F1E94B6-2632-46FD-A511-095BB8BE3DCC}" name="CANT4" dataDxfId="14234" dataCellStyle="Normal 3 3"/>
    <tableColumn id="11" xr3:uid="{43AB87BB-D6EB-44DD-8CF3-A356C2F817F9}" name="MONTO4" dataDxfId="14233" dataCellStyle="Normal 3 3"/>
    <tableColumn id="14" xr3:uid="{3C5090B3-2969-4011-9FA9-4608618A963C}" name="CANT5" dataDxfId="14232" dataCellStyle="Normal 3 3"/>
    <tableColumn id="15" xr3:uid="{A0169FA0-BD83-4F2D-A3D9-70587DE4CC1E}" name="MONTO5" dataDxfId="14231" dataCellStyle="Normal 3 3"/>
    <tableColumn id="16" xr3:uid="{DE61D1F8-5885-4690-A360-A9DC7FB4E2F2}" name="CANT6" dataDxfId="14230" dataCellStyle="Normal 3 3"/>
    <tableColumn id="17" xr3:uid="{B8E06A2B-4369-4C3E-82E3-924E01D47E8D}" name="MONTO6" dataDxfId="14229" dataCellStyle="Normal 3 3"/>
    <tableColumn id="13" xr3:uid="{C629C21B-7E1F-4D25-9B5C-A8334C4BE981}" name="CANT7" dataDxfId="14228" dataCellStyle="Normal 3 3"/>
    <tableColumn id="12" xr3:uid="{2AD4D448-D8E8-414E-BEFF-EC4118631CB1}" name="MONTO7" dataDxfId="14227" dataCellStyle="Normal 3 3"/>
    <tableColumn id="18" xr3:uid="{370850A5-8634-4FA6-A75E-BD9FA7347480}" name="USD" dataDxfId="14226" dataCellStyle="Normal 3">
      <calculatedColumnFormula>(Tabla3[[#This Row],[MONTO]]+Tabla3[[#This Row],[MONTO2]]+Tabla3[[#This Row],[MONTO3]]+Tabla3[[#This Row],[MONTO4]]+Tabla3[[#This Row],[MONTO5]]+Tabla3[[#This Row],[MONTO6]]+Tabla3[[#This Row],[MONTO7]])</calculatedColumnFormula>
    </tableColumn>
    <tableColumn id="19" xr3:uid="{48A6BD56-5370-47EB-9C51-7ACFF538DD6C}" name="TOTAL -10%" dataDxfId="14225" dataCellStyle="Normal 3">
      <calculatedColumnFormula>R20-(R20*10%)</calculatedColumnFormula>
    </tableColumn>
    <tableColumn id="20" xr3:uid="{A8971EC0-711A-45DC-8FF1-2D0C44FDF9BF}" name="1% PAGO INICIAL" dataDxfId="14224" dataCellStyle="Normal 3">
      <calculatedColumnFormula>(S20*1%)</calculatedColumnFormula>
    </tableColumn>
    <tableColumn id="3" xr3:uid="{5A1D69C9-F75C-4FFA-8FDD-78291A593FD1}" name="% FIDUCIA" dataDxfId="14223" dataCellStyle="Normal 3">
      <calculatedColumnFormula>(Tabla3[[#This Row],[TOTAL -10%]]*Tabla3[[#This Row],[FIDUCIA]])</calculatedColumnFormula>
    </tableColumn>
    <tableColumn id="22" xr3:uid="{9EA602FB-B13A-4E3D-94AB-782E9F338FDC}" name="% NUBE" dataDxfId="14222" dataCellStyle="Normal 3">
      <calculatedColumnFormula>(Tabla3[[#This Row],[TOTAL -10%]]*Tabla3[[#This Row],[NUBE]])</calculatedColumnFormula>
    </tableColumn>
    <tableColumn id="23" xr3:uid="{C4526160-8BD3-4C5C-958E-0924F1AB1B46}" name="SKR SI/NO" dataDxfId="14221" dataCellStyle="Normal 3"/>
    <tableColumn id="24" xr3:uid="{F5ECBC59-958E-42E1-8CD1-36192C2F558F}" name="FIDUCIA/NUBE" dataDxfId="14220" dataCellStyle="Normal 3"/>
    <tableColumn id="25" xr3:uid="{890AB6C8-8C2C-414E-A1D6-100429F9D1A1}" name="BANCO" dataDxfId="14219" dataCellStyle="Normal 3"/>
    <tableColumn id="26" xr3:uid="{CECEE305-191C-4376-9898-1DF3638573DA}" name="FIDUCIA" dataDxfId="14218" dataCellStyle="Normal 3"/>
    <tableColumn id="27" xr3:uid="{59D8F4F2-9F5C-42D6-AE6C-2A860889AC75}" name="NUBE" dataDxfId="14217" dataCellStyle="Normal 3"/>
    <tableColumn id="28" xr3:uid="{183CCE5F-1070-4508-BA03-BA9438BF2795}" name="100%" dataDxfId="14216" dataCellStyle="Normal 3">
      <calculatedColumnFormula>SUM(Y20:AA20)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ubencaicedonegociodigital@gmail.com" TargetMode="External"/><Relationship Id="rId13" Type="http://schemas.openxmlformats.org/officeDocument/2006/relationships/hyperlink" Target="mailto:sherasilopez@gmail.com" TargetMode="External"/><Relationship Id="rId18" Type="http://schemas.openxmlformats.org/officeDocument/2006/relationships/hyperlink" Target="mailto:sherasilopez@gmail.com" TargetMode="External"/><Relationship Id="rId3" Type="http://schemas.openxmlformats.org/officeDocument/2006/relationships/hyperlink" Target="mailto:acarvajal077@gmail.com" TargetMode="External"/><Relationship Id="rId21" Type="http://schemas.openxmlformats.org/officeDocument/2006/relationships/hyperlink" Target="mailto:sherasilopez@gmail.com" TargetMode="External"/><Relationship Id="rId7" Type="http://schemas.openxmlformats.org/officeDocument/2006/relationships/hyperlink" Target="mailto:alejandragallegoramirez@yahoo.es" TargetMode="External"/><Relationship Id="rId12" Type="http://schemas.openxmlformats.org/officeDocument/2006/relationships/hyperlink" Target="mailto:micaela.bercara@hotmail.com" TargetMode="External"/><Relationship Id="rId17" Type="http://schemas.openxmlformats.org/officeDocument/2006/relationships/hyperlink" Target="mailto:sherasilopez@gmail.com" TargetMode="External"/><Relationship Id="rId2" Type="http://schemas.openxmlformats.org/officeDocument/2006/relationships/hyperlink" Target="mailto:beaaj17@gmail.com" TargetMode="External"/><Relationship Id="rId16" Type="http://schemas.openxmlformats.org/officeDocument/2006/relationships/hyperlink" Target="mailto:sherasilopez@gmail.com" TargetMode="External"/><Relationship Id="rId20" Type="http://schemas.openxmlformats.org/officeDocument/2006/relationships/hyperlink" Target="mailto:sherasilopez@gmail.com" TargetMode="External"/><Relationship Id="rId1" Type="http://schemas.openxmlformats.org/officeDocument/2006/relationships/hyperlink" Target="mailto:beaaj17@gmail.com" TargetMode="External"/><Relationship Id="rId6" Type="http://schemas.openxmlformats.org/officeDocument/2006/relationships/hyperlink" Target="mailto:squinterobalco@gmail.com" TargetMode="External"/><Relationship Id="rId11" Type="http://schemas.openxmlformats.org/officeDocument/2006/relationships/hyperlink" Target="mailto:hernanmb17@gmail.com" TargetMode="External"/><Relationship Id="rId5" Type="http://schemas.openxmlformats.org/officeDocument/2006/relationships/hyperlink" Target="mailto:superencalambrada@gmail.com" TargetMode="External"/><Relationship Id="rId15" Type="http://schemas.openxmlformats.org/officeDocument/2006/relationships/hyperlink" Target="mailto:sherasilopez@gmail.com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mailto:hernanmb17@gmail.com" TargetMode="External"/><Relationship Id="rId19" Type="http://schemas.openxmlformats.org/officeDocument/2006/relationships/hyperlink" Target="mailto:sherasilopez@gmail.com" TargetMode="External"/><Relationship Id="rId4" Type="http://schemas.openxmlformats.org/officeDocument/2006/relationships/hyperlink" Target="mailto:johanacastacano1@gmail.com" TargetMode="External"/><Relationship Id="rId9" Type="http://schemas.openxmlformats.org/officeDocument/2006/relationships/hyperlink" Target="mailto:rubencaicedonegociodigital@gmail.com" TargetMode="External"/><Relationship Id="rId14" Type="http://schemas.openxmlformats.org/officeDocument/2006/relationships/hyperlink" Target="mailto:sherasilopez@gmail.com" TargetMode="External"/><Relationship Id="rId22" Type="http://schemas.openxmlformats.org/officeDocument/2006/relationships/hyperlink" Target="mailto:sherasilopez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dolar-colombia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6443-DF29-42F4-B561-86179A643965}">
  <dimension ref="A1:T474"/>
  <sheetViews>
    <sheetView showGridLines="0" tabSelected="1" zoomScale="70" zoomScaleNormal="70" workbookViewId="0">
      <pane ySplit="1" topLeftCell="A374" activePane="bottomLeft" state="frozen"/>
      <selection pane="bottomLeft" activeCell="F486" sqref="F486"/>
    </sheetView>
  </sheetViews>
  <sheetFormatPr baseColWidth="10" defaultRowHeight="12.75" x14ac:dyDescent="0.2"/>
  <cols>
    <col min="2" max="2" width="45.42578125" customWidth="1"/>
    <col min="3" max="3" width="14" customWidth="1"/>
    <col min="4" max="4" width="12.42578125" customWidth="1"/>
    <col min="5" max="5" width="13.42578125" customWidth="1"/>
    <col min="6" max="6" width="13.7109375" customWidth="1"/>
    <col min="7" max="7" width="12.85546875" customWidth="1"/>
    <col min="8" max="8" width="11" customWidth="1"/>
    <col min="9" max="9" width="9.140625" customWidth="1"/>
    <col min="10" max="10" width="18.7109375" customWidth="1"/>
    <col min="11" max="11" width="18.42578125" customWidth="1"/>
    <col min="12" max="12" width="15.28515625" customWidth="1"/>
    <col min="13" max="13" width="15.140625" customWidth="1"/>
    <col min="14" max="14" width="11.42578125" customWidth="1"/>
    <col min="15" max="15" width="15" customWidth="1"/>
    <col min="16" max="16" width="11.42578125" customWidth="1"/>
    <col min="17" max="17" width="17.42578125" customWidth="1"/>
    <col min="18" max="18" width="17.7109375" customWidth="1"/>
    <col min="19" max="19" width="21.42578125" customWidth="1"/>
    <col min="20" max="20" width="31.5703125" customWidth="1"/>
  </cols>
  <sheetData>
    <row r="1" spans="1:20" s="2" customFormat="1" ht="69" customHeight="1" x14ac:dyDescent="0.2">
      <c r="A1" s="53" t="s">
        <v>13</v>
      </c>
      <c r="B1" s="53" t="s">
        <v>12</v>
      </c>
      <c r="C1" s="53" t="s">
        <v>54</v>
      </c>
      <c r="D1" s="144" t="s">
        <v>55</v>
      </c>
      <c r="E1" s="144" t="s">
        <v>56</v>
      </c>
      <c r="F1" s="144" t="s">
        <v>57</v>
      </c>
      <c r="G1" s="144" t="s">
        <v>58</v>
      </c>
      <c r="H1" s="54" t="s">
        <v>59</v>
      </c>
      <c r="I1" s="143" t="s">
        <v>60</v>
      </c>
      <c r="J1" s="53" t="s">
        <v>61</v>
      </c>
      <c r="K1" s="53" t="s">
        <v>62</v>
      </c>
      <c r="L1" s="170" t="s">
        <v>1107</v>
      </c>
      <c r="M1" s="142" t="s">
        <v>1096</v>
      </c>
      <c r="N1" s="97" t="s">
        <v>11</v>
      </c>
      <c r="O1" s="97" t="s">
        <v>63</v>
      </c>
      <c r="P1" s="97" t="s">
        <v>77</v>
      </c>
      <c r="Q1" s="97" t="s">
        <v>10</v>
      </c>
      <c r="R1" s="98" t="s">
        <v>64</v>
      </c>
      <c r="S1" s="141" t="s">
        <v>1095</v>
      </c>
      <c r="T1" s="140" t="s">
        <v>1094</v>
      </c>
    </row>
    <row r="2" spans="1:20" ht="12" customHeight="1" x14ac:dyDescent="0.2">
      <c r="A2" s="47">
        <v>45918.771249999998</v>
      </c>
      <c r="B2" s="57" t="s">
        <v>1093</v>
      </c>
      <c r="C2" s="15">
        <v>1088244700</v>
      </c>
      <c r="D2" s="52" t="s">
        <v>68</v>
      </c>
      <c r="E2" s="52" t="s">
        <v>65</v>
      </c>
      <c r="F2" s="52" t="s">
        <v>98</v>
      </c>
      <c r="G2" s="52" t="s">
        <v>97</v>
      </c>
      <c r="H2" s="3" t="s">
        <v>1110</v>
      </c>
      <c r="I2" s="61" t="s">
        <v>1111</v>
      </c>
      <c r="J2" s="15" t="s">
        <v>1112</v>
      </c>
      <c r="K2" s="12" t="s">
        <v>1092</v>
      </c>
      <c r="L2" s="12" t="s">
        <v>1216</v>
      </c>
      <c r="M2" s="58" t="s">
        <v>6</v>
      </c>
      <c r="N2" s="13">
        <v>200000</v>
      </c>
      <c r="O2" s="14" t="s">
        <v>1091</v>
      </c>
      <c r="P2" s="15" t="s">
        <v>3</v>
      </c>
      <c r="Q2" s="3" t="s">
        <v>153</v>
      </c>
      <c r="R2" s="1" t="s">
        <v>0</v>
      </c>
      <c r="S2" s="52" t="s">
        <v>68</v>
      </c>
      <c r="T2" s="121"/>
    </row>
    <row r="3" spans="1:20" ht="12" customHeight="1" x14ac:dyDescent="0.2">
      <c r="A3" s="55">
        <v>46114</v>
      </c>
      <c r="B3" s="57" t="s">
        <v>1090</v>
      </c>
      <c r="C3" s="15">
        <v>25235412</v>
      </c>
      <c r="D3" s="52" t="s">
        <v>1113</v>
      </c>
      <c r="E3" s="52" t="s">
        <v>65</v>
      </c>
      <c r="F3" s="52" t="s">
        <v>110</v>
      </c>
      <c r="G3" s="52" t="s">
        <v>111</v>
      </c>
      <c r="H3" s="3" t="s">
        <v>1114</v>
      </c>
      <c r="I3" s="61" t="s">
        <v>1115</v>
      </c>
      <c r="J3" s="15" t="s">
        <v>1089</v>
      </c>
      <c r="K3" s="12" t="s">
        <v>1088</v>
      </c>
      <c r="L3" s="12" t="s">
        <v>1217</v>
      </c>
      <c r="M3" s="58" t="s">
        <v>107</v>
      </c>
      <c r="N3" s="13">
        <v>100000</v>
      </c>
      <c r="O3" s="14" t="s">
        <v>1087</v>
      </c>
      <c r="P3" s="15" t="s">
        <v>3</v>
      </c>
      <c r="Q3" s="3" t="s">
        <v>153</v>
      </c>
      <c r="R3" s="1" t="s">
        <v>0</v>
      </c>
      <c r="S3" s="52" t="s">
        <v>78</v>
      </c>
      <c r="T3" s="121"/>
    </row>
    <row r="4" spans="1:20" ht="12" customHeight="1" x14ac:dyDescent="0.2">
      <c r="A4" s="47">
        <v>45817.614791666667</v>
      </c>
      <c r="B4" s="57" t="s">
        <v>1074</v>
      </c>
      <c r="C4" s="15">
        <v>10018741</v>
      </c>
      <c r="D4" s="52" t="s">
        <v>1073</v>
      </c>
      <c r="E4" s="52" t="s">
        <v>65</v>
      </c>
      <c r="F4" s="52" t="s">
        <v>98</v>
      </c>
      <c r="G4" s="52" t="s">
        <v>97</v>
      </c>
      <c r="H4" s="3" t="s">
        <v>1116</v>
      </c>
      <c r="I4" s="61" t="s">
        <v>1117</v>
      </c>
      <c r="J4" s="15" t="s">
        <v>1072</v>
      </c>
      <c r="K4" s="12" t="s">
        <v>1071</v>
      </c>
      <c r="L4" s="12" t="s">
        <v>1218</v>
      </c>
      <c r="M4" s="58" t="s">
        <v>4</v>
      </c>
      <c r="N4" s="13">
        <v>200000</v>
      </c>
      <c r="O4" s="14" t="s">
        <v>1086</v>
      </c>
      <c r="P4" s="15" t="s">
        <v>3</v>
      </c>
      <c r="Q4" s="3" t="s">
        <v>153</v>
      </c>
      <c r="R4" s="1" t="s">
        <v>0</v>
      </c>
      <c r="S4" s="52" t="s">
        <v>1364</v>
      </c>
      <c r="T4" s="137">
        <v>46280</v>
      </c>
    </row>
    <row r="5" spans="1:20" ht="12" customHeight="1" x14ac:dyDescent="0.2">
      <c r="A5" s="47">
        <v>45818.614791666667</v>
      </c>
      <c r="B5" s="57" t="s">
        <v>1074</v>
      </c>
      <c r="C5" s="15">
        <v>10018741</v>
      </c>
      <c r="D5" s="52" t="s">
        <v>1073</v>
      </c>
      <c r="E5" s="52" t="s">
        <v>65</v>
      </c>
      <c r="F5" s="52" t="s">
        <v>98</v>
      </c>
      <c r="G5" s="52" t="s">
        <v>97</v>
      </c>
      <c r="H5" s="3" t="s">
        <v>1116</v>
      </c>
      <c r="I5" s="61" t="s">
        <v>1117</v>
      </c>
      <c r="J5" s="15" t="s">
        <v>1072</v>
      </c>
      <c r="K5" s="12" t="s">
        <v>1071</v>
      </c>
      <c r="L5" s="12" t="s">
        <v>1218</v>
      </c>
      <c r="M5" s="58" t="s">
        <v>4</v>
      </c>
      <c r="N5" s="13">
        <v>200000</v>
      </c>
      <c r="O5" s="14" t="s">
        <v>1085</v>
      </c>
      <c r="P5" s="15" t="s">
        <v>3</v>
      </c>
      <c r="Q5" s="3" t="s">
        <v>153</v>
      </c>
      <c r="R5" s="1" t="s">
        <v>0</v>
      </c>
      <c r="S5" s="52" t="s">
        <v>1364</v>
      </c>
      <c r="T5" s="137">
        <v>46280</v>
      </c>
    </row>
    <row r="6" spans="1:20" ht="12" customHeight="1" x14ac:dyDescent="0.2">
      <c r="A6" s="47">
        <v>45824.614791666667</v>
      </c>
      <c r="B6" s="57" t="s">
        <v>1074</v>
      </c>
      <c r="C6" s="15">
        <v>10018741</v>
      </c>
      <c r="D6" s="52" t="s">
        <v>1073</v>
      </c>
      <c r="E6" s="52" t="s">
        <v>65</v>
      </c>
      <c r="F6" s="52" t="s">
        <v>98</v>
      </c>
      <c r="G6" s="52" t="s">
        <v>97</v>
      </c>
      <c r="H6" s="3" t="s">
        <v>1116</v>
      </c>
      <c r="I6" s="61" t="s">
        <v>1117</v>
      </c>
      <c r="J6" s="15" t="s">
        <v>1072</v>
      </c>
      <c r="K6" s="12" t="s">
        <v>1071</v>
      </c>
      <c r="L6" s="12" t="s">
        <v>1218</v>
      </c>
      <c r="M6" s="58" t="s">
        <v>4</v>
      </c>
      <c r="N6" s="13">
        <v>200000</v>
      </c>
      <c r="O6" s="14" t="s">
        <v>1084</v>
      </c>
      <c r="P6" s="15" t="s">
        <v>3</v>
      </c>
      <c r="Q6" s="3" t="s">
        <v>153</v>
      </c>
      <c r="R6" s="1" t="s">
        <v>0</v>
      </c>
      <c r="S6" s="52" t="s">
        <v>1364</v>
      </c>
      <c r="T6" s="137">
        <v>46280</v>
      </c>
    </row>
    <row r="7" spans="1:20" ht="12" customHeight="1" x14ac:dyDescent="0.2">
      <c r="A7" s="47">
        <v>45831.614791666667</v>
      </c>
      <c r="B7" s="57" t="s">
        <v>1074</v>
      </c>
      <c r="C7" s="15">
        <v>10018741</v>
      </c>
      <c r="D7" s="52" t="s">
        <v>1073</v>
      </c>
      <c r="E7" s="52" t="s">
        <v>65</v>
      </c>
      <c r="F7" s="52" t="s">
        <v>98</v>
      </c>
      <c r="G7" s="52" t="s">
        <v>97</v>
      </c>
      <c r="H7" s="3" t="s">
        <v>1116</v>
      </c>
      <c r="I7" s="61" t="s">
        <v>1117</v>
      </c>
      <c r="J7" s="15" t="s">
        <v>1072</v>
      </c>
      <c r="K7" s="12" t="s">
        <v>1071</v>
      </c>
      <c r="L7" s="12" t="s">
        <v>1218</v>
      </c>
      <c r="M7" s="58" t="s">
        <v>4</v>
      </c>
      <c r="N7" s="13">
        <v>200000</v>
      </c>
      <c r="O7" s="14" t="s">
        <v>1083</v>
      </c>
      <c r="P7" s="15" t="s">
        <v>3</v>
      </c>
      <c r="Q7" s="3" t="s">
        <v>153</v>
      </c>
      <c r="R7" s="1" t="s">
        <v>0</v>
      </c>
      <c r="S7" s="52" t="s">
        <v>1364</v>
      </c>
      <c r="T7" s="137">
        <v>46280</v>
      </c>
    </row>
    <row r="8" spans="1:20" ht="12" customHeight="1" x14ac:dyDescent="0.2">
      <c r="A8" s="47">
        <v>45836.614794548615</v>
      </c>
      <c r="B8" s="57" t="s">
        <v>1074</v>
      </c>
      <c r="C8" s="15">
        <v>10018741</v>
      </c>
      <c r="D8" s="52" t="s">
        <v>1073</v>
      </c>
      <c r="E8" s="52" t="s">
        <v>65</v>
      </c>
      <c r="F8" s="52" t="s">
        <v>98</v>
      </c>
      <c r="G8" s="52" t="s">
        <v>97</v>
      </c>
      <c r="H8" s="3" t="s">
        <v>1116</v>
      </c>
      <c r="I8" s="61" t="s">
        <v>1117</v>
      </c>
      <c r="J8" s="15" t="s">
        <v>1072</v>
      </c>
      <c r="K8" s="12" t="s">
        <v>1071</v>
      </c>
      <c r="L8" s="12" t="s">
        <v>1218</v>
      </c>
      <c r="M8" s="58" t="s">
        <v>104</v>
      </c>
      <c r="N8" s="13">
        <v>500000</v>
      </c>
      <c r="O8" s="14" t="s">
        <v>1082</v>
      </c>
      <c r="P8" s="15" t="s">
        <v>3</v>
      </c>
      <c r="Q8" s="3" t="s">
        <v>153</v>
      </c>
      <c r="R8" s="1" t="s">
        <v>0</v>
      </c>
      <c r="S8" s="52" t="s">
        <v>1364</v>
      </c>
      <c r="T8" s="137">
        <v>46280</v>
      </c>
    </row>
    <row r="9" spans="1:20" ht="12" customHeight="1" x14ac:dyDescent="0.2">
      <c r="A9" s="47">
        <v>45850</v>
      </c>
      <c r="B9" s="57" t="s">
        <v>1074</v>
      </c>
      <c r="C9" s="15">
        <v>10018741</v>
      </c>
      <c r="D9" s="52" t="s">
        <v>1073</v>
      </c>
      <c r="E9" s="52" t="s">
        <v>65</v>
      </c>
      <c r="F9" s="52" t="s">
        <v>98</v>
      </c>
      <c r="G9" s="52" t="s">
        <v>97</v>
      </c>
      <c r="H9" s="3" t="s">
        <v>1116</v>
      </c>
      <c r="I9" s="61" t="s">
        <v>1117</v>
      </c>
      <c r="J9" s="15" t="s">
        <v>1072</v>
      </c>
      <c r="K9" s="12" t="s">
        <v>1071</v>
      </c>
      <c r="L9" s="12" t="s">
        <v>1218</v>
      </c>
      <c r="M9" s="139" t="s">
        <v>113</v>
      </c>
      <c r="N9" s="100">
        <v>300000</v>
      </c>
      <c r="O9" s="101" t="s">
        <v>1081</v>
      </c>
      <c r="P9" s="15" t="s">
        <v>3</v>
      </c>
      <c r="Q9" s="3" t="s">
        <v>153</v>
      </c>
      <c r="R9" s="1" t="s">
        <v>0</v>
      </c>
      <c r="S9" s="52" t="s">
        <v>1364</v>
      </c>
      <c r="T9" s="137">
        <v>46280</v>
      </c>
    </row>
    <row r="10" spans="1:20" ht="12" customHeight="1" x14ac:dyDescent="0.2">
      <c r="A10" s="47">
        <v>45889</v>
      </c>
      <c r="B10" s="57" t="s">
        <v>1074</v>
      </c>
      <c r="C10" s="15">
        <v>10018741</v>
      </c>
      <c r="D10" s="52" t="s">
        <v>1073</v>
      </c>
      <c r="E10" s="52" t="s">
        <v>65</v>
      </c>
      <c r="F10" s="52" t="s">
        <v>98</v>
      </c>
      <c r="G10" s="52" t="s">
        <v>97</v>
      </c>
      <c r="H10" s="3" t="s">
        <v>1116</v>
      </c>
      <c r="I10" s="61" t="s">
        <v>1117</v>
      </c>
      <c r="J10" s="15" t="s">
        <v>1072</v>
      </c>
      <c r="K10" s="12" t="s">
        <v>1071</v>
      </c>
      <c r="L10" s="12" t="s">
        <v>1218</v>
      </c>
      <c r="M10" s="138" t="s">
        <v>484</v>
      </c>
      <c r="N10" s="102">
        <v>200000</v>
      </c>
      <c r="O10" s="103" t="s">
        <v>1080</v>
      </c>
      <c r="P10" s="15" t="s">
        <v>3</v>
      </c>
      <c r="Q10" s="3" t="s">
        <v>153</v>
      </c>
      <c r="R10" s="1" t="s">
        <v>0</v>
      </c>
      <c r="S10" s="52" t="s">
        <v>1364</v>
      </c>
      <c r="T10" s="137">
        <v>46280</v>
      </c>
    </row>
    <row r="11" spans="1:20" ht="12" customHeight="1" x14ac:dyDescent="0.2">
      <c r="A11" s="47">
        <v>45972</v>
      </c>
      <c r="B11" s="57" t="s">
        <v>1074</v>
      </c>
      <c r="C11" s="15">
        <v>10018741</v>
      </c>
      <c r="D11" s="52" t="s">
        <v>1073</v>
      </c>
      <c r="E11" s="52" t="s">
        <v>65</v>
      </c>
      <c r="F11" s="52" t="s">
        <v>98</v>
      </c>
      <c r="G11" s="52" t="s">
        <v>97</v>
      </c>
      <c r="H11" s="3" t="s">
        <v>1116</v>
      </c>
      <c r="I11" s="61" t="s">
        <v>1117</v>
      </c>
      <c r="J11" s="15" t="s">
        <v>1072</v>
      </c>
      <c r="K11" s="12" t="s">
        <v>1071</v>
      </c>
      <c r="L11" s="12" t="s">
        <v>1218</v>
      </c>
      <c r="M11" s="130" t="s">
        <v>112</v>
      </c>
      <c r="N11" s="102">
        <v>100000</v>
      </c>
      <c r="O11" s="103" t="s">
        <v>1079</v>
      </c>
      <c r="P11" s="15" t="s">
        <v>3</v>
      </c>
      <c r="Q11" s="3" t="s">
        <v>153</v>
      </c>
      <c r="R11" s="1" t="s">
        <v>0</v>
      </c>
      <c r="S11" s="52" t="s">
        <v>1364</v>
      </c>
      <c r="T11" s="137">
        <v>46280</v>
      </c>
    </row>
    <row r="12" spans="1:20" ht="12" customHeight="1" x14ac:dyDescent="0.2">
      <c r="A12" s="47">
        <v>45998</v>
      </c>
      <c r="B12" s="57" t="s">
        <v>1074</v>
      </c>
      <c r="C12" s="15">
        <v>10018741</v>
      </c>
      <c r="D12" s="52" t="s">
        <v>1073</v>
      </c>
      <c r="E12" s="52" t="s">
        <v>65</v>
      </c>
      <c r="F12" s="52" t="s">
        <v>98</v>
      </c>
      <c r="G12" s="52" t="s">
        <v>97</v>
      </c>
      <c r="H12" s="3" t="s">
        <v>1116</v>
      </c>
      <c r="I12" s="61" t="s">
        <v>1117</v>
      </c>
      <c r="J12" s="15" t="s">
        <v>1072</v>
      </c>
      <c r="K12" s="12" t="s">
        <v>1071</v>
      </c>
      <c r="L12" s="12" t="s">
        <v>1218</v>
      </c>
      <c r="M12" s="127" t="s">
        <v>1078</v>
      </c>
      <c r="N12" s="100">
        <v>100000</v>
      </c>
      <c r="O12" s="101" t="s">
        <v>1077</v>
      </c>
      <c r="P12" s="15" t="s">
        <v>3</v>
      </c>
      <c r="Q12" s="3" t="s">
        <v>153</v>
      </c>
      <c r="R12" s="1" t="s">
        <v>0</v>
      </c>
      <c r="S12" s="52" t="s">
        <v>1364</v>
      </c>
      <c r="T12" s="137">
        <v>46280</v>
      </c>
    </row>
    <row r="13" spans="1:20" ht="12" customHeight="1" x14ac:dyDescent="0.2">
      <c r="A13" s="47">
        <v>46014</v>
      </c>
      <c r="B13" s="57" t="s">
        <v>1074</v>
      </c>
      <c r="C13" s="15">
        <v>10018741</v>
      </c>
      <c r="D13" s="52" t="s">
        <v>1073</v>
      </c>
      <c r="E13" s="52" t="s">
        <v>65</v>
      </c>
      <c r="F13" s="52" t="s">
        <v>98</v>
      </c>
      <c r="G13" s="52" t="s">
        <v>97</v>
      </c>
      <c r="H13" s="3" t="s">
        <v>1116</v>
      </c>
      <c r="I13" s="61" t="s">
        <v>1117</v>
      </c>
      <c r="J13" s="15" t="s">
        <v>1072</v>
      </c>
      <c r="K13" s="12" t="s">
        <v>1071</v>
      </c>
      <c r="L13" s="12" t="s">
        <v>1218</v>
      </c>
      <c r="M13" s="130" t="s">
        <v>121</v>
      </c>
      <c r="N13" s="102">
        <v>100000</v>
      </c>
      <c r="O13" s="103" t="s">
        <v>1076</v>
      </c>
      <c r="P13" s="15" t="s">
        <v>3</v>
      </c>
      <c r="Q13" s="3" t="s">
        <v>153</v>
      </c>
      <c r="R13" s="1" t="s">
        <v>0</v>
      </c>
      <c r="S13" s="52" t="s">
        <v>1364</v>
      </c>
      <c r="T13" s="137">
        <v>46280</v>
      </c>
    </row>
    <row r="14" spans="1:20" ht="12" customHeight="1" x14ac:dyDescent="0.2">
      <c r="A14" s="47">
        <v>46049</v>
      </c>
      <c r="B14" s="57" t="s">
        <v>1074</v>
      </c>
      <c r="C14" s="15">
        <v>10018741</v>
      </c>
      <c r="D14" s="52" t="s">
        <v>1073</v>
      </c>
      <c r="E14" s="52" t="s">
        <v>65</v>
      </c>
      <c r="F14" s="52" t="s">
        <v>98</v>
      </c>
      <c r="G14" s="52" t="s">
        <v>97</v>
      </c>
      <c r="H14" s="3" t="s">
        <v>1116</v>
      </c>
      <c r="I14" s="61" t="s">
        <v>1117</v>
      </c>
      <c r="J14" s="15" t="s">
        <v>1072</v>
      </c>
      <c r="K14" s="12" t="s">
        <v>1071</v>
      </c>
      <c r="L14" s="12" t="s">
        <v>1218</v>
      </c>
      <c r="M14" s="58" t="s">
        <v>85</v>
      </c>
      <c r="N14" s="13">
        <v>500000</v>
      </c>
      <c r="O14" s="14" t="s">
        <v>1075</v>
      </c>
      <c r="P14" s="15" t="s">
        <v>3</v>
      </c>
      <c r="Q14" s="3" t="s">
        <v>153</v>
      </c>
      <c r="R14" s="1" t="s">
        <v>0</v>
      </c>
      <c r="S14" s="52" t="s">
        <v>1364</v>
      </c>
      <c r="T14" s="137">
        <v>46280</v>
      </c>
    </row>
    <row r="15" spans="1:20" ht="12" customHeight="1" x14ac:dyDescent="0.2">
      <c r="A15" s="47">
        <v>46053</v>
      </c>
      <c r="B15" s="57" t="s">
        <v>1074</v>
      </c>
      <c r="C15" s="15">
        <v>10018741</v>
      </c>
      <c r="D15" s="52" t="s">
        <v>1073</v>
      </c>
      <c r="E15" s="52" t="s">
        <v>65</v>
      </c>
      <c r="F15" s="52" t="s">
        <v>98</v>
      </c>
      <c r="G15" s="52" t="s">
        <v>97</v>
      </c>
      <c r="H15" s="3" t="s">
        <v>1116</v>
      </c>
      <c r="I15" s="61" t="s">
        <v>1117</v>
      </c>
      <c r="J15" s="15" t="s">
        <v>1072</v>
      </c>
      <c r="K15" s="12" t="s">
        <v>1071</v>
      </c>
      <c r="L15" s="12" t="s">
        <v>1218</v>
      </c>
      <c r="M15" s="58" t="s">
        <v>116</v>
      </c>
      <c r="N15" s="13">
        <v>300000</v>
      </c>
      <c r="O15" s="14" t="s">
        <v>1070</v>
      </c>
      <c r="P15" s="15" t="s">
        <v>3</v>
      </c>
      <c r="Q15" s="3" t="s">
        <v>153</v>
      </c>
      <c r="R15" s="1" t="s">
        <v>0</v>
      </c>
      <c r="S15" s="52" t="s">
        <v>1364</v>
      </c>
      <c r="T15" s="137">
        <v>46280</v>
      </c>
    </row>
    <row r="16" spans="1:20" ht="12" customHeight="1" x14ac:dyDescent="0.2">
      <c r="A16" s="47">
        <v>46014</v>
      </c>
      <c r="B16" s="57" t="s">
        <v>1069</v>
      </c>
      <c r="C16" s="15">
        <v>55179153</v>
      </c>
      <c r="D16" s="52" t="s">
        <v>1068</v>
      </c>
      <c r="E16" s="52" t="s">
        <v>65</v>
      </c>
      <c r="F16" s="52" t="s">
        <v>100</v>
      </c>
      <c r="G16" s="52" t="s">
        <v>101</v>
      </c>
      <c r="H16" s="3" t="s">
        <v>1118</v>
      </c>
      <c r="I16" s="61">
        <v>410001</v>
      </c>
      <c r="J16" s="15" t="s">
        <v>1067</v>
      </c>
      <c r="K16" s="12" t="s">
        <v>1066</v>
      </c>
      <c r="L16" s="12" t="s">
        <v>1219</v>
      </c>
      <c r="M16" s="124" t="s">
        <v>215</v>
      </c>
      <c r="N16" s="13">
        <v>400000</v>
      </c>
      <c r="O16" s="14" t="s">
        <v>1065</v>
      </c>
      <c r="P16" s="15" t="s">
        <v>3</v>
      </c>
      <c r="Q16" s="3" t="s">
        <v>153</v>
      </c>
      <c r="R16" s="1" t="s">
        <v>0</v>
      </c>
      <c r="S16" s="52" t="s">
        <v>78</v>
      </c>
      <c r="T16" s="137"/>
    </row>
    <row r="17" spans="1:20" ht="12" customHeight="1" x14ac:dyDescent="0.2">
      <c r="A17" s="47">
        <v>46128</v>
      </c>
      <c r="B17" s="57" t="s">
        <v>1064</v>
      </c>
      <c r="C17" s="15">
        <v>7148008</v>
      </c>
      <c r="D17" s="52" t="s">
        <v>68</v>
      </c>
      <c r="E17" s="52" t="s">
        <v>65</v>
      </c>
      <c r="F17" s="52" t="s">
        <v>98</v>
      </c>
      <c r="G17" s="52" t="s">
        <v>97</v>
      </c>
      <c r="H17" s="3" t="s">
        <v>1119</v>
      </c>
      <c r="I17" s="61" t="s">
        <v>1120</v>
      </c>
      <c r="J17" s="15" t="s">
        <v>1063</v>
      </c>
      <c r="K17" s="12" t="s">
        <v>1062</v>
      </c>
      <c r="L17" s="12" t="s">
        <v>1220</v>
      </c>
      <c r="M17" s="125" t="s">
        <v>8</v>
      </c>
      <c r="N17" s="13">
        <v>0</v>
      </c>
      <c r="O17" s="14" t="s">
        <v>81</v>
      </c>
      <c r="P17" s="15" t="s">
        <v>68</v>
      </c>
      <c r="Q17" s="3" t="s">
        <v>153</v>
      </c>
      <c r="R17" s="1" t="s">
        <v>0</v>
      </c>
      <c r="S17" s="52" t="s">
        <v>68</v>
      </c>
      <c r="T17" s="137"/>
    </row>
    <row r="18" spans="1:20" ht="12" customHeight="1" x14ac:dyDescent="0.2">
      <c r="A18" s="47">
        <v>46128</v>
      </c>
      <c r="B18" s="57" t="s">
        <v>1064</v>
      </c>
      <c r="C18" s="15">
        <v>7148008</v>
      </c>
      <c r="D18" s="52" t="s">
        <v>68</v>
      </c>
      <c r="E18" s="52" t="s">
        <v>65</v>
      </c>
      <c r="F18" s="52" t="s">
        <v>98</v>
      </c>
      <c r="G18" s="52" t="s">
        <v>97</v>
      </c>
      <c r="H18" s="3" t="s">
        <v>1119</v>
      </c>
      <c r="I18" s="61" t="s">
        <v>1120</v>
      </c>
      <c r="J18" s="15" t="s">
        <v>1063</v>
      </c>
      <c r="K18" s="12" t="s">
        <v>1062</v>
      </c>
      <c r="L18" s="12" t="s">
        <v>1220</v>
      </c>
      <c r="M18" s="125" t="s">
        <v>2</v>
      </c>
      <c r="N18" s="13">
        <v>100000</v>
      </c>
      <c r="O18" s="14" t="s">
        <v>1061</v>
      </c>
      <c r="P18" s="15" t="s">
        <v>3</v>
      </c>
      <c r="Q18" s="3" t="s">
        <v>153</v>
      </c>
      <c r="R18" s="1" t="s">
        <v>0</v>
      </c>
      <c r="S18" s="52" t="s">
        <v>68</v>
      </c>
      <c r="T18" s="137"/>
    </row>
    <row r="19" spans="1:20" ht="12" customHeight="1" x14ac:dyDescent="0.2">
      <c r="A19" s="47">
        <v>45832.522290219902</v>
      </c>
      <c r="B19" s="57" t="s">
        <v>1060</v>
      </c>
      <c r="C19" s="15">
        <v>41927246</v>
      </c>
      <c r="D19" s="52" t="s">
        <v>1059</v>
      </c>
      <c r="E19" s="52" t="s">
        <v>65</v>
      </c>
      <c r="F19" s="52" t="s">
        <v>75</v>
      </c>
      <c r="G19" s="52" t="s">
        <v>1058</v>
      </c>
      <c r="H19" s="3" t="s">
        <v>1122</v>
      </c>
      <c r="I19" s="61" t="s">
        <v>1121</v>
      </c>
      <c r="J19" s="15" t="s">
        <v>1057</v>
      </c>
      <c r="K19" s="12" t="s">
        <v>1056</v>
      </c>
      <c r="L19" s="12" t="s">
        <v>1221</v>
      </c>
      <c r="M19" s="58" t="s">
        <v>104</v>
      </c>
      <c r="N19" s="13">
        <v>120000</v>
      </c>
      <c r="O19" s="14" t="s">
        <v>1055</v>
      </c>
      <c r="P19" s="15" t="s">
        <v>3</v>
      </c>
      <c r="Q19" s="3" t="s">
        <v>153</v>
      </c>
      <c r="R19" s="1" t="s">
        <v>0</v>
      </c>
      <c r="S19" s="52" t="s">
        <v>78</v>
      </c>
      <c r="T19" s="137"/>
    </row>
    <row r="20" spans="1:20" ht="12" customHeight="1" x14ac:dyDescent="0.2">
      <c r="A20" s="47">
        <v>45856</v>
      </c>
      <c r="B20" s="57" t="s">
        <v>1054</v>
      </c>
      <c r="C20" s="15">
        <v>24587181</v>
      </c>
      <c r="D20" s="52" t="s">
        <v>1053</v>
      </c>
      <c r="E20" s="52" t="s">
        <v>65</v>
      </c>
      <c r="F20" s="52" t="s">
        <v>98</v>
      </c>
      <c r="G20" s="52" t="s">
        <v>97</v>
      </c>
      <c r="H20" s="3" t="s">
        <v>1052</v>
      </c>
      <c r="I20" s="61">
        <v>660004</v>
      </c>
      <c r="J20" s="15" t="s">
        <v>1051</v>
      </c>
      <c r="K20" s="12" t="s">
        <v>1050</v>
      </c>
      <c r="L20" s="12" t="s">
        <v>1222</v>
      </c>
      <c r="M20" s="58" t="s">
        <v>108</v>
      </c>
      <c r="N20" s="13">
        <v>200000</v>
      </c>
      <c r="O20" s="14" t="s">
        <v>1049</v>
      </c>
      <c r="P20" s="15" t="s">
        <v>1</v>
      </c>
      <c r="Q20" s="3" t="s">
        <v>153</v>
      </c>
      <c r="R20" s="1" t="s">
        <v>0</v>
      </c>
      <c r="S20" s="52" t="s">
        <v>78</v>
      </c>
      <c r="T20" s="137">
        <v>46365</v>
      </c>
    </row>
    <row r="21" spans="1:20" ht="12" customHeight="1" x14ac:dyDescent="0.2">
      <c r="A21" s="47">
        <v>45891</v>
      </c>
      <c r="B21" s="57" t="s">
        <v>1048</v>
      </c>
      <c r="C21" s="15">
        <v>75079176</v>
      </c>
      <c r="D21" s="52" t="s">
        <v>68</v>
      </c>
      <c r="E21" s="52" t="s">
        <v>65</v>
      </c>
      <c r="F21" s="52" t="s">
        <v>294</v>
      </c>
      <c r="G21" s="52" t="s">
        <v>1047</v>
      </c>
      <c r="H21" s="3" t="s">
        <v>1046</v>
      </c>
      <c r="I21" s="61">
        <v>172001</v>
      </c>
      <c r="J21" s="15" t="s">
        <v>1045</v>
      </c>
      <c r="K21" s="12" t="s">
        <v>1044</v>
      </c>
      <c r="L21" s="12" t="s">
        <v>1215</v>
      </c>
      <c r="M21" s="58" t="s">
        <v>115</v>
      </c>
      <c r="N21" s="13">
        <v>300000</v>
      </c>
      <c r="O21" s="14" t="s">
        <v>1043</v>
      </c>
      <c r="P21" s="15" t="s">
        <v>114</v>
      </c>
      <c r="Q21" s="3" t="s">
        <v>153</v>
      </c>
      <c r="R21" s="1" t="s">
        <v>0</v>
      </c>
      <c r="S21" s="52" t="s">
        <v>68</v>
      </c>
      <c r="T21" s="137"/>
    </row>
    <row r="22" spans="1:20" ht="12" customHeight="1" x14ac:dyDescent="0.2">
      <c r="A22" s="47">
        <v>46003</v>
      </c>
      <c r="B22" s="57" t="s">
        <v>1042</v>
      </c>
      <c r="C22" s="15">
        <v>1802036838</v>
      </c>
      <c r="D22" s="52" t="s">
        <v>1041</v>
      </c>
      <c r="E22" s="52" t="s">
        <v>118</v>
      </c>
      <c r="F22" s="52" t="s">
        <v>1040</v>
      </c>
      <c r="G22" s="52" t="s">
        <v>1039</v>
      </c>
      <c r="H22" s="3" t="s">
        <v>1123</v>
      </c>
      <c r="I22" s="61" t="s">
        <v>1038</v>
      </c>
      <c r="J22" s="15" t="s">
        <v>1037</v>
      </c>
      <c r="K22" s="12" t="s">
        <v>1036</v>
      </c>
      <c r="L22" s="12" t="s">
        <v>1223</v>
      </c>
      <c r="M22" s="58" t="s">
        <v>2</v>
      </c>
      <c r="N22" s="13">
        <v>100000</v>
      </c>
      <c r="O22" s="14" t="s">
        <v>1035</v>
      </c>
      <c r="P22" s="15" t="s">
        <v>3</v>
      </c>
      <c r="Q22" s="3" t="s">
        <v>153</v>
      </c>
      <c r="R22" s="1" t="s">
        <v>0</v>
      </c>
      <c r="S22" s="52" t="s">
        <v>78</v>
      </c>
      <c r="T22" s="137"/>
    </row>
    <row r="23" spans="1:20" ht="12" customHeight="1" x14ac:dyDescent="0.2">
      <c r="A23" s="60">
        <v>45714.695238738423</v>
      </c>
      <c r="B23" s="57" t="s">
        <v>1371</v>
      </c>
      <c r="C23" s="15">
        <v>98146902</v>
      </c>
      <c r="D23" s="52" t="s">
        <v>68</v>
      </c>
      <c r="E23" s="52" t="s">
        <v>65</v>
      </c>
      <c r="F23" s="52" t="s">
        <v>536</v>
      </c>
      <c r="G23" s="52" t="s">
        <v>1370</v>
      </c>
      <c r="H23" s="3" t="s">
        <v>1370</v>
      </c>
      <c r="I23" s="61">
        <v>526040</v>
      </c>
      <c r="J23" s="15" t="s">
        <v>1369</v>
      </c>
      <c r="K23" s="12" t="s">
        <v>1368</v>
      </c>
      <c r="L23" s="12" t="s">
        <v>1215</v>
      </c>
      <c r="M23" s="58" t="s">
        <v>8</v>
      </c>
      <c r="N23" s="13">
        <v>100000</v>
      </c>
      <c r="O23" s="14" t="s">
        <v>1375</v>
      </c>
      <c r="P23" s="15" t="s">
        <v>106</v>
      </c>
      <c r="Q23" s="3" t="s">
        <v>153</v>
      </c>
      <c r="R23" s="1" t="s">
        <v>0</v>
      </c>
      <c r="S23" s="52" t="s">
        <v>68</v>
      </c>
      <c r="T23" s="59"/>
    </row>
    <row r="24" spans="1:20" ht="12" customHeight="1" x14ac:dyDescent="0.2">
      <c r="A24" s="60">
        <v>45763.695243055554</v>
      </c>
      <c r="B24" s="57" t="s">
        <v>1371</v>
      </c>
      <c r="C24" s="15">
        <v>98146902</v>
      </c>
      <c r="D24" s="52" t="s">
        <v>68</v>
      </c>
      <c r="E24" s="52" t="s">
        <v>65</v>
      </c>
      <c r="F24" s="52" t="s">
        <v>536</v>
      </c>
      <c r="G24" s="52" t="s">
        <v>1370</v>
      </c>
      <c r="H24" s="3" t="s">
        <v>1370</v>
      </c>
      <c r="I24" s="61">
        <v>526040</v>
      </c>
      <c r="J24" s="15" t="s">
        <v>1369</v>
      </c>
      <c r="K24" s="12" t="s">
        <v>1368</v>
      </c>
      <c r="L24" s="12" t="s">
        <v>1215</v>
      </c>
      <c r="M24" s="58" t="s">
        <v>8</v>
      </c>
      <c r="N24" s="13">
        <v>120000</v>
      </c>
      <c r="O24" s="14" t="s">
        <v>1374</v>
      </c>
      <c r="P24" s="15" t="s">
        <v>106</v>
      </c>
      <c r="Q24" s="3" t="s">
        <v>153</v>
      </c>
      <c r="R24" s="1" t="s">
        <v>0</v>
      </c>
      <c r="S24" s="52" t="s">
        <v>68</v>
      </c>
      <c r="T24" s="59"/>
    </row>
    <row r="25" spans="1:20" ht="12" customHeight="1" x14ac:dyDescent="0.2">
      <c r="A25" s="60">
        <v>45822.695243055554</v>
      </c>
      <c r="B25" s="57" t="s">
        <v>1371</v>
      </c>
      <c r="C25" s="15">
        <v>98146902</v>
      </c>
      <c r="D25" s="52" t="s">
        <v>68</v>
      </c>
      <c r="E25" s="52" t="s">
        <v>65</v>
      </c>
      <c r="F25" s="52" t="s">
        <v>536</v>
      </c>
      <c r="G25" s="52" t="s">
        <v>1370</v>
      </c>
      <c r="H25" s="3" t="s">
        <v>1370</v>
      </c>
      <c r="I25" s="61">
        <v>526040</v>
      </c>
      <c r="J25" s="15" t="s">
        <v>1369</v>
      </c>
      <c r="K25" s="12" t="s">
        <v>1368</v>
      </c>
      <c r="L25" s="12" t="s">
        <v>1215</v>
      </c>
      <c r="M25" s="58" t="s">
        <v>8</v>
      </c>
      <c r="N25" s="13">
        <v>120000</v>
      </c>
      <c r="O25" s="14" t="s">
        <v>1373</v>
      </c>
      <c r="P25" s="15" t="s">
        <v>106</v>
      </c>
      <c r="Q25" s="3" t="s">
        <v>153</v>
      </c>
      <c r="R25" s="1" t="s">
        <v>0</v>
      </c>
      <c r="S25" s="52" t="s">
        <v>68</v>
      </c>
      <c r="T25" s="59"/>
    </row>
    <row r="26" spans="1:20" ht="12" customHeight="1" x14ac:dyDescent="0.2">
      <c r="A26" s="60">
        <v>45853.695243055554</v>
      </c>
      <c r="B26" s="57" t="s">
        <v>1371</v>
      </c>
      <c r="C26" s="15">
        <v>98146902</v>
      </c>
      <c r="D26" s="52" t="s">
        <v>68</v>
      </c>
      <c r="E26" s="52" t="s">
        <v>65</v>
      </c>
      <c r="F26" s="52" t="s">
        <v>536</v>
      </c>
      <c r="G26" s="52" t="s">
        <v>1370</v>
      </c>
      <c r="H26" s="3" t="s">
        <v>1370</v>
      </c>
      <c r="I26" s="61">
        <v>526040</v>
      </c>
      <c r="J26" s="15" t="s">
        <v>1369</v>
      </c>
      <c r="K26" s="12" t="s">
        <v>1368</v>
      </c>
      <c r="L26" s="12" t="s">
        <v>1215</v>
      </c>
      <c r="M26" s="58" t="s">
        <v>108</v>
      </c>
      <c r="N26" s="13">
        <v>220000</v>
      </c>
      <c r="O26" s="14" t="s">
        <v>1372</v>
      </c>
      <c r="P26" s="15" t="s">
        <v>3</v>
      </c>
      <c r="Q26" s="3" t="s">
        <v>153</v>
      </c>
      <c r="R26" s="1" t="s">
        <v>0</v>
      </c>
      <c r="S26" s="52" t="s">
        <v>68</v>
      </c>
      <c r="T26" s="59"/>
    </row>
    <row r="27" spans="1:20" ht="12" customHeight="1" x14ac:dyDescent="0.2">
      <c r="A27" s="60">
        <v>46056</v>
      </c>
      <c r="B27" s="57" t="s">
        <v>1371</v>
      </c>
      <c r="C27" s="15">
        <v>98146902</v>
      </c>
      <c r="D27" s="52" t="s">
        <v>68</v>
      </c>
      <c r="E27" s="52" t="s">
        <v>65</v>
      </c>
      <c r="F27" s="52" t="s">
        <v>536</v>
      </c>
      <c r="G27" s="52" t="s">
        <v>1370</v>
      </c>
      <c r="H27" s="3" t="s">
        <v>1370</v>
      </c>
      <c r="I27" s="61">
        <v>526040</v>
      </c>
      <c r="J27" s="15" t="s">
        <v>1369</v>
      </c>
      <c r="K27" s="12" t="s">
        <v>1368</v>
      </c>
      <c r="L27" s="12" t="s">
        <v>1215</v>
      </c>
      <c r="M27" s="58" t="s">
        <v>5</v>
      </c>
      <c r="N27" s="13">
        <v>150000</v>
      </c>
      <c r="O27" s="14" t="s">
        <v>1367</v>
      </c>
      <c r="P27" s="15" t="s">
        <v>3</v>
      </c>
      <c r="Q27" s="3" t="s">
        <v>153</v>
      </c>
      <c r="R27" s="1" t="s">
        <v>0</v>
      </c>
      <c r="S27" s="52" t="s">
        <v>68</v>
      </c>
      <c r="T27" s="59"/>
    </row>
    <row r="28" spans="1:20" ht="12" customHeight="1" x14ac:dyDescent="0.2">
      <c r="A28" s="47">
        <v>45811.810962442134</v>
      </c>
      <c r="B28" s="57" t="s">
        <v>1033</v>
      </c>
      <c r="C28" s="15">
        <v>30301760</v>
      </c>
      <c r="D28" s="52" t="s">
        <v>1032</v>
      </c>
      <c r="E28" s="52" t="s">
        <v>65</v>
      </c>
      <c r="F28" s="52" t="s">
        <v>294</v>
      </c>
      <c r="G28" s="52" t="s">
        <v>293</v>
      </c>
      <c r="H28" s="3" t="s">
        <v>1124</v>
      </c>
      <c r="I28" s="61" t="s">
        <v>1125</v>
      </c>
      <c r="J28" s="15" t="s">
        <v>1031</v>
      </c>
      <c r="K28" s="12" t="s">
        <v>1030</v>
      </c>
      <c r="L28" s="12" t="s">
        <v>1224</v>
      </c>
      <c r="M28" s="58" t="s">
        <v>4</v>
      </c>
      <c r="N28" s="13">
        <v>200000</v>
      </c>
      <c r="O28" s="14" t="s">
        <v>1034</v>
      </c>
      <c r="P28" s="15" t="s">
        <v>3</v>
      </c>
      <c r="Q28" s="3" t="s">
        <v>153</v>
      </c>
      <c r="R28" s="1" t="s">
        <v>0</v>
      </c>
      <c r="S28" s="52" t="s">
        <v>78</v>
      </c>
      <c r="T28" s="137"/>
    </row>
    <row r="29" spans="1:20" ht="12" customHeight="1" x14ac:dyDescent="0.2">
      <c r="A29" s="55">
        <v>46118</v>
      </c>
      <c r="B29" s="57" t="s">
        <v>1033</v>
      </c>
      <c r="C29" s="15">
        <v>30301760</v>
      </c>
      <c r="D29" s="52" t="s">
        <v>1032</v>
      </c>
      <c r="E29" s="52" t="s">
        <v>65</v>
      </c>
      <c r="F29" s="52" t="s">
        <v>294</v>
      </c>
      <c r="G29" s="52" t="s">
        <v>293</v>
      </c>
      <c r="H29" s="3" t="s">
        <v>1124</v>
      </c>
      <c r="I29" s="61" t="s">
        <v>1125</v>
      </c>
      <c r="J29" s="15" t="s">
        <v>1031</v>
      </c>
      <c r="K29" s="12" t="s">
        <v>1030</v>
      </c>
      <c r="L29" s="12" t="s">
        <v>1224</v>
      </c>
      <c r="M29" s="58" t="s">
        <v>107</v>
      </c>
      <c r="N29" s="13">
        <v>100000</v>
      </c>
      <c r="O29" s="12" t="s">
        <v>1029</v>
      </c>
      <c r="P29" s="15" t="s">
        <v>3</v>
      </c>
      <c r="Q29" s="3" t="s">
        <v>153</v>
      </c>
      <c r="R29" s="1" t="s">
        <v>0</v>
      </c>
      <c r="S29" s="52" t="s">
        <v>78</v>
      </c>
      <c r="T29" s="137"/>
    </row>
    <row r="30" spans="1:20" ht="12" customHeight="1" x14ac:dyDescent="0.2">
      <c r="A30" s="47">
        <v>45817</v>
      </c>
      <c r="B30" s="57" t="s">
        <v>1020</v>
      </c>
      <c r="C30" s="15">
        <v>9970468</v>
      </c>
      <c r="D30" s="52" t="s">
        <v>1019</v>
      </c>
      <c r="E30" s="52" t="s">
        <v>65</v>
      </c>
      <c r="F30" s="52" t="s">
        <v>98</v>
      </c>
      <c r="G30" s="52" t="s">
        <v>103</v>
      </c>
      <c r="H30" s="3" t="s">
        <v>1018</v>
      </c>
      <c r="I30" s="61">
        <v>661001</v>
      </c>
      <c r="J30" s="15" t="s">
        <v>1017</v>
      </c>
      <c r="K30" s="12" t="s">
        <v>1016</v>
      </c>
      <c r="L30" s="12" t="s">
        <v>1225</v>
      </c>
      <c r="M30" s="58" t="s">
        <v>4</v>
      </c>
      <c r="N30" s="13">
        <v>200000</v>
      </c>
      <c r="O30" s="14" t="s">
        <v>1028</v>
      </c>
      <c r="P30" s="15" t="s">
        <v>3</v>
      </c>
      <c r="Q30" s="3" t="s">
        <v>153</v>
      </c>
      <c r="R30" s="1" t="s">
        <v>0</v>
      </c>
      <c r="S30" s="52" t="s">
        <v>78</v>
      </c>
      <c r="T30" s="137"/>
    </row>
    <row r="31" spans="1:20" ht="12" customHeight="1" x14ac:dyDescent="0.2">
      <c r="A31" s="47">
        <v>46014</v>
      </c>
      <c r="B31" s="57" t="s">
        <v>1020</v>
      </c>
      <c r="C31" s="15">
        <v>9970468</v>
      </c>
      <c r="D31" s="52" t="s">
        <v>1019</v>
      </c>
      <c r="E31" s="52" t="s">
        <v>65</v>
      </c>
      <c r="F31" s="52" t="s">
        <v>98</v>
      </c>
      <c r="G31" s="52" t="s">
        <v>103</v>
      </c>
      <c r="H31" s="3" t="s">
        <v>1018</v>
      </c>
      <c r="I31" s="61">
        <v>661001</v>
      </c>
      <c r="J31" s="15" t="s">
        <v>1017</v>
      </c>
      <c r="K31" s="12" t="s">
        <v>1016</v>
      </c>
      <c r="L31" s="12" t="s">
        <v>1225</v>
      </c>
      <c r="M31" s="58" t="s">
        <v>560</v>
      </c>
      <c r="N31" s="13">
        <v>100000</v>
      </c>
      <c r="O31" s="14" t="s">
        <v>1027</v>
      </c>
      <c r="P31" s="15" t="s">
        <v>3</v>
      </c>
      <c r="Q31" s="3" t="s">
        <v>153</v>
      </c>
      <c r="R31" s="1" t="s">
        <v>0</v>
      </c>
      <c r="S31" s="52" t="s">
        <v>78</v>
      </c>
      <c r="T31" s="137"/>
    </row>
    <row r="32" spans="1:20" ht="12" customHeight="1" x14ac:dyDescent="0.2">
      <c r="A32" s="47">
        <v>46053</v>
      </c>
      <c r="B32" s="57" t="s">
        <v>1020</v>
      </c>
      <c r="C32" s="15">
        <v>9970468</v>
      </c>
      <c r="D32" s="52" t="s">
        <v>1019</v>
      </c>
      <c r="E32" s="52" t="s">
        <v>65</v>
      </c>
      <c r="F32" s="52" t="s">
        <v>98</v>
      </c>
      <c r="G32" s="52" t="s">
        <v>103</v>
      </c>
      <c r="H32" s="3" t="s">
        <v>1018</v>
      </c>
      <c r="I32" s="61">
        <v>661001</v>
      </c>
      <c r="J32" s="15" t="s">
        <v>1017</v>
      </c>
      <c r="K32" s="12" t="s">
        <v>1016</v>
      </c>
      <c r="L32" s="12" t="s">
        <v>1225</v>
      </c>
      <c r="M32" s="58" t="s">
        <v>5</v>
      </c>
      <c r="N32" s="13">
        <v>150000</v>
      </c>
      <c r="O32" s="14" t="s">
        <v>1026</v>
      </c>
      <c r="P32" s="15" t="s">
        <v>7</v>
      </c>
      <c r="Q32" s="3" t="s">
        <v>153</v>
      </c>
      <c r="R32" s="1" t="s">
        <v>0</v>
      </c>
      <c r="S32" s="52" t="s">
        <v>78</v>
      </c>
      <c r="T32" s="137"/>
    </row>
    <row r="33" spans="1:20" ht="12" customHeight="1" x14ac:dyDescent="0.2">
      <c r="A33" s="47">
        <v>46087</v>
      </c>
      <c r="B33" s="57" t="s">
        <v>1020</v>
      </c>
      <c r="C33" s="15">
        <v>9970468</v>
      </c>
      <c r="D33" s="52" t="s">
        <v>1019</v>
      </c>
      <c r="E33" s="52" t="s">
        <v>65</v>
      </c>
      <c r="F33" s="52" t="s">
        <v>98</v>
      </c>
      <c r="G33" s="52" t="s">
        <v>103</v>
      </c>
      <c r="H33" s="3" t="s">
        <v>1018</v>
      </c>
      <c r="I33" s="61">
        <v>661001</v>
      </c>
      <c r="J33" s="15" t="s">
        <v>1017</v>
      </c>
      <c r="K33" s="12" t="s">
        <v>1016</v>
      </c>
      <c r="L33" s="12" t="s">
        <v>1225</v>
      </c>
      <c r="M33" s="58" t="s">
        <v>1025</v>
      </c>
      <c r="N33" s="13">
        <v>0</v>
      </c>
      <c r="O33" s="14" t="s">
        <v>1024</v>
      </c>
      <c r="P33" s="15" t="s">
        <v>68</v>
      </c>
      <c r="Q33" s="3" t="s">
        <v>153</v>
      </c>
      <c r="R33" s="1" t="s">
        <v>0</v>
      </c>
      <c r="S33" s="52" t="s">
        <v>78</v>
      </c>
      <c r="T33" s="137"/>
    </row>
    <row r="34" spans="1:20" ht="12" customHeight="1" x14ac:dyDescent="0.2">
      <c r="A34" s="47">
        <v>46109</v>
      </c>
      <c r="B34" s="57" t="s">
        <v>1020</v>
      </c>
      <c r="C34" s="15">
        <v>9970468</v>
      </c>
      <c r="D34" s="52" t="s">
        <v>1019</v>
      </c>
      <c r="E34" s="52" t="s">
        <v>65</v>
      </c>
      <c r="F34" s="52" t="s">
        <v>98</v>
      </c>
      <c r="G34" s="52" t="s">
        <v>103</v>
      </c>
      <c r="H34" s="3" t="s">
        <v>1018</v>
      </c>
      <c r="I34" s="61">
        <v>661001</v>
      </c>
      <c r="J34" s="15" t="s">
        <v>1017</v>
      </c>
      <c r="K34" s="12" t="s">
        <v>1016</v>
      </c>
      <c r="L34" s="12" t="s">
        <v>1225</v>
      </c>
      <c r="M34" s="58" t="s">
        <v>2</v>
      </c>
      <c r="N34" s="13">
        <v>100000</v>
      </c>
      <c r="O34" s="14" t="s">
        <v>1023</v>
      </c>
      <c r="P34" s="15" t="s">
        <v>114</v>
      </c>
      <c r="Q34" s="3" t="s">
        <v>153</v>
      </c>
      <c r="R34" s="1" t="s">
        <v>0</v>
      </c>
      <c r="S34" s="52" t="s">
        <v>78</v>
      </c>
      <c r="T34" s="137"/>
    </row>
    <row r="35" spans="1:20" ht="12" customHeight="1" x14ac:dyDescent="0.2">
      <c r="A35" s="60">
        <v>46115</v>
      </c>
      <c r="B35" s="57" t="s">
        <v>1020</v>
      </c>
      <c r="C35" s="15">
        <v>9970468</v>
      </c>
      <c r="D35" s="52" t="s">
        <v>1019</v>
      </c>
      <c r="E35" s="52" t="s">
        <v>65</v>
      </c>
      <c r="F35" s="52" t="s">
        <v>98</v>
      </c>
      <c r="G35" s="52" t="s">
        <v>103</v>
      </c>
      <c r="H35" s="3" t="s">
        <v>1018</v>
      </c>
      <c r="I35" s="61">
        <v>661001</v>
      </c>
      <c r="J35" s="15" t="s">
        <v>1017</v>
      </c>
      <c r="K35" s="12" t="s">
        <v>1016</v>
      </c>
      <c r="L35" s="12" t="s">
        <v>1225</v>
      </c>
      <c r="M35" s="58" t="s">
        <v>107</v>
      </c>
      <c r="N35" s="13">
        <v>100000</v>
      </c>
      <c r="O35" s="14" t="s">
        <v>1022</v>
      </c>
      <c r="P35" s="15" t="s">
        <v>3</v>
      </c>
      <c r="Q35" s="3" t="s">
        <v>153</v>
      </c>
      <c r="R35" s="1" t="s">
        <v>0</v>
      </c>
      <c r="S35" s="52" t="s">
        <v>78</v>
      </c>
      <c r="T35" s="137"/>
    </row>
    <row r="36" spans="1:20" ht="12" customHeight="1" x14ac:dyDescent="0.2">
      <c r="A36" s="55">
        <v>46123</v>
      </c>
      <c r="B36" s="57" t="s">
        <v>1020</v>
      </c>
      <c r="C36" s="15">
        <v>9970468</v>
      </c>
      <c r="D36" s="52" t="s">
        <v>1019</v>
      </c>
      <c r="E36" s="52" t="s">
        <v>65</v>
      </c>
      <c r="F36" s="52" t="s">
        <v>98</v>
      </c>
      <c r="G36" s="52" t="s">
        <v>103</v>
      </c>
      <c r="H36" s="3" t="s">
        <v>1018</v>
      </c>
      <c r="I36" s="61">
        <v>661001</v>
      </c>
      <c r="J36" s="15" t="s">
        <v>1017</v>
      </c>
      <c r="K36" s="12" t="s">
        <v>1016</v>
      </c>
      <c r="L36" s="12" t="s">
        <v>1225</v>
      </c>
      <c r="M36" s="58" t="s">
        <v>86</v>
      </c>
      <c r="N36" s="13">
        <v>500000</v>
      </c>
      <c r="O36" s="12" t="s">
        <v>1021</v>
      </c>
      <c r="P36" s="15" t="s">
        <v>3</v>
      </c>
      <c r="Q36" s="3" t="s">
        <v>153</v>
      </c>
      <c r="R36" s="1" t="s">
        <v>0</v>
      </c>
      <c r="S36" s="52" t="s">
        <v>78</v>
      </c>
      <c r="T36" s="137"/>
    </row>
    <row r="37" spans="1:20" ht="12" customHeight="1" x14ac:dyDescent="0.2">
      <c r="A37" s="47">
        <v>46124.532349537039</v>
      </c>
      <c r="B37" s="57" t="s">
        <v>1020</v>
      </c>
      <c r="C37" s="15">
        <v>9970468</v>
      </c>
      <c r="D37" s="52" t="s">
        <v>1019</v>
      </c>
      <c r="E37" s="52" t="s">
        <v>65</v>
      </c>
      <c r="F37" s="52" t="s">
        <v>98</v>
      </c>
      <c r="G37" s="52" t="s">
        <v>103</v>
      </c>
      <c r="H37" s="3" t="s">
        <v>1018</v>
      </c>
      <c r="I37" s="61">
        <v>661001</v>
      </c>
      <c r="J37" s="15" t="s">
        <v>1017</v>
      </c>
      <c r="K37" s="12" t="s">
        <v>1016</v>
      </c>
      <c r="L37" s="12" t="s">
        <v>1225</v>
      </c>
      <c r="M37" s="125" t="s">
        <v>79</v>
      </c>
      <c r="N37" s="13">
        <v>0</v>
      </c>
      <c r="O37" s="14" t="s">
        <v>81</v>
      </c>
      <c r="P37" s="15" t="s">
        <v>68</v>
      </c>
      <c r="Q37" s="3" t="s">
        <v>153</v>
      </c>
      <c r="R37" s="1" t="s">
        <v>0</v>
      </c>
      <c r="S37" s="52" t="s">
        <v>78</v>
      </c>
      <c r="T37" s="137"/>
    </row>
    <row r="38" spans="1:20" ht="12" customHeight="1" x14ac:dyDescent="0.2">
      <c r="A38" s="60">
        <v>46150</v>
      </c>
      <c r="B38" s="57" t="s">
        <v>1020</v>
      </c>
      <c r="C38" s="15">
        <v>9970468</v>
      </c>
      <c r="D38" s="52" t="s">
        <v>1019</v>
      </c>
      <c r="E38" s="52" t="s">
        <v>65</v>
      </c>
      <c r="F38" s="52" t="s">
        <v>98</v>
      </c>
      <c r="G38" s="52" t="s">
        <v>103</v>
      </c>
      <c r="H38" s="3" t="s">
        <v>1018</v>
      </c>
      <c r="I38" s="61">
        <v>661001</v>
      </c>
      <c r="J38" s="15" t="s">
        <v>1017</v>
      </c>
      <c r="K38" s="12" t="s">
        <v>1016</v>
      </c>
      <c r="L38" s="12" t="s">
        <v>1225</v>
      </c>
      <c r="M38" s="58" t="s">
        <v>74</v>
      </c>
      <c r="N38" s="13">
        <v>0</v>
      </c>
      <c r="O38" s="14" t="s">
        <v>80</v>
      </c>
      <c r="P38" s="15" t="s">
        <v>68</v>
      </c>
      <c r="Q38" s="3" t="s">
        <v>153</v>
      </c>
      <c r="R38" s="1" t="s">
        <v>0</v>
      </c>
      <c r="S38" s="52" t="s">
        <v>78</v>
      </c>
      <c r="T38" s="137"/>
    </row>
    <row r="39" spans="1:20" ht="12" customHeight="1" x14ac:dyDescent="0.2">
      <c r="A39" s="172">
        <v>46172</v>
      </c>
      <c r="B39" s="173" t="s">
        <v>1020</v>
      </c>
      <c r="C39" s="15">
        <v>9970468</v>
      </c>
      <c r="D39" s="52" t="s">
        <v>1019</v>
      </c>
      <c r="E39" s="52" t="s">
        <v>65</v>
      </c>
      <c r="F39" s="52" t="s">
        <v>98</v>
      </c>
      <c r="G39" s="52" t="s">
        <v>103</v>
      </c>
      <c r="H39" s="3" t="s">
        <v>1323</v>
      </c>
      <c r="I39" s="61">
        <v>661001</v>
      </c>
      <c r="J39" s="15" t="s">
        <v>1017</v>
      </c>
      <c r="K39" s="12" t="s">
        <v>1016</v>
      </c>
      <c r="L39" s="12" t="s">
        <v>1225</v>
      </c>
      <c r="M39" s="145" t="s">
        <v>104</v>
      </c>
      <c r="N39" s="146">
        <v>100000</v>
      </c>
      <c r="O39" s="147" t="s">
        <v>1339</v>
      </c>
      <c r="P39" s="106" t="s">
        <v>1351</v>
      </c>
      <c r="Q39" s="3" t="s">
        <v>153</v>
      </c>
      <c r="R39" s="1" t="s">
        <v>0</v>
      </c>
      <c r="S39" s="52" t="s">
        <v>78</v>
      </c>
      <c r="T39" s="137"/>
    </row>
    <row r="40" spans="1:20" ht="12" customHeight="1" x14ac:dyDescent="0.2">
      <c r="A40" s="172">
        <v>46232</v>
      </c>
      <c r="B40" s="173" t="s">
        <v>1020</v>
      </c>
      <c r="C40" s="15">
        <v>9970468</v>
      </c>
      <c r="D40" s="52" t="s">
        <v>1019</v>
      </c>
      <c r="E40" s="52" t="s">
        <v>65</v>
      </c>
      <c r="F40" s="52" t="s">
        <v>98</v>
      </c>
      <c r="G40" s="52" t="s">
        <v>103</v>
      </c>
      <c r="H40" s="3" t="s">
        <v>1323</v>
      </c>
      <c r="I40" s="61">
        <v>661001</v>
      </c>
      <c r="J40" s="15" t="s">
        <v>1017</v>
      </c>
      <c r="K40" s="12" t="s">
        <v>1016</v>
      </c>
      <c r="L40" s="12" t="s">
        <v>1225</v>
      </c>
      <c r="M40" s="145" t="s">
        <v>4</v>
      </c>
      <c r="N40">
        <v>200000</v>
      </c>
      <c r="O40" t="s">
        <v>1347</v>
      </c>
      <c r="P40" s="106" t="s">
        <v>3</v>
      </c>
      <c r="Q40" s="3" t="s">
        <v>153</v>
      </c>
      <c r="R40" s="1" t="s">
        <v>0</v>
      </c>
      <c r="S40" s="52" t="s">
        <v>78</v>
      </c>
      <c r="T40" s="137"/>
    </row>
    <row r="41" spans="1:20" ht="12" customHeight="1" x14ac:dyDescent="0.2">
      <c r="A41" s="60">
        <v>46255</v>
      </c>
      <c r="B41" s="57" t="s">
        <v>1020</v>
      </c>
      <c r="C41" s="15">
        <v>9970468</v>
      </c>
      <c r="D41" s="52" t="s">
        <v>1019</v>
      </c>
      <c r="E41" s="52" t="s">
        <v>65</v>
      </c>
      <c r="F41" s="52" t="s">
        <v>98</v>
      </c>
      <c r="G41" s="52" t="s">
        <v>103</v>
      </c>
      <c r="H41" s="3" t="s">
        <v>1323</v>
      </c>
      <c r="I41" s="61">
        <v>661001</v>
      </c>
      <c r="J41" s="15" t="s">
        <v>1017</v>
      </c>
      <c r="K41" s="12" t="s">
        <v>1016</v>
      </c>
      <c r="L41" s="12" t="s">
        <v>1225</v>
      </c>
      <c r="M41" s="58" t="s">
        <v>1359</v>
      </c>
      <c r="N41" s="13">
        <v>180000</v>
      </c>
      <c r="O41" s="14" t="s">
        <v>1360</v>
      </c>
      <c r="P41" s="15" t="s">
        <v>3</v>
      </c>
      <c r="Q41" s="3" t="s">
        <v>153</v>
      </c>
      <c r="R41" s="1" t="s">
        <v>0</v>
      </c>
      <c r="S41" s="52" t="s">
        <v>78</v>
      </c>
      <c r="T41" s="137"/>
    </row>
    <row r="42" spans="1:20" ht="12" customHeight="1" x14ac:dyDescent="0.2">
      <c r="A42" s="60">
        <v>46056</v>
      </c>
      <c r="B42" s="57" t="s">
        <v>1011</v>
      </c>
      <c r="C42" s="15">
        <v>10276687</v>
      </c>
      <c r="D42" s="52" t="s">
        <v>68</v>
      </c>
      <c r="E42" s="52" t="s">
        <v>65</v>
      </c>
      <c r="F42" s="52" t="s">
        <v>294</v>
      </c>
      <c r="G42" s="52" t="s">
        <v>1010</v>
      </c>
      <c r="H42" s="3" t="s">
        <v>1126</v>
      </c>
      <c r="I42" s="61">
        <v>176001</v>
      </c>
      <c r="J42" s="15" t="s">
        <v>1009</v>
      </c>
      <c r="K42" s="12" t="s">
        <v>1008</v>
      </c>
      <c r="L42" s="12" t="s">
        <v>1215</v>
      </c>
      <c r="M42" s="58" t="s">
        <v>5</v>
      </c>
      <c r="N42" s="13">
        <v>150000</v>
      </c>
      <c r="O42" s="14" t="s">
        <v>1015</v>
      </c>
      <c r="P42" s="15" t="s">
        <v>1</v>
      </c>
      <c r="Q42" s="3" t="s">
        <v>153</v>
      </c>
      <c r="R42" s="1" t="s">
        <v>0</v>
      </c>
      <c r="S42" s="52" t="s">
        <v>68</v>
      </c>
      <c r="T42" s="137"/>
    </row>
    <row r="43" spans="1:20" ht="12" customHeight="1" x14ac:dyDescent="0.2">
      <c r="A43" s="55">
        <v>46111</v>
      </c>
      <c r="B43" s="57" t="s">
        <v>1011</v>
      </c>
      <c r="C43" s="15">
        <v>10276687</v>
      </c>
      <c r="D43" s="52" t="s">
        <v>68</v>
      </c>
      <c r="E43" s="52" t="s">
        <v>65</v>
      </c>
      <c r="F43" s="52" t="s">
        <v>294</v>
      </c>
      <c r="G43" s="52" t="s">
        <v>1010</v>
      </c>
      <c r="H43" s="3" t="s">
        <v>1126</v>
      </c>
      <c r="I43" s="61">
        <v>176001</v>
      </c>
      <c r="J43" s="15" t="s">
        <v>1009</v>
      </c>
      <c r="K43" s="12" t="s">
        <v>1008</v>
      </c>
      <c r="L43" s="12" t="s">
        <v>1215</v>
      </c>
      <c r="M43" s="58" t="s">
        <v>47</v>
      </c>
      <c r="N43" s="13">
        <v>200000</v>
      </c>
      <c r="O43" s="12" t="s">
        <v>1014</v>
      </c>
      <c r="P43" s="15" t="s">
        <v>3</v>
      </c>
      <c r="Q43" s="3" t="s">
        <v>153</v>
      </c>
      <c r="R43" s="1" t="s">
        <v>0</v>
      </c>
      <c r="S43" s="52" t="s">
        <v>68</v>
      </c>
      <c r="T43" s="137"/>
    </row>
    <row r="44" spans="1:20" ht="12" customHeight="1" x14ac:dyDescent="0.2">
      <c r="A44" s="55">
        <v>46126</v>
      </c>
      <c r="B44" s="57" t="s">
        <v>1011</v>
      </c>
      <c r="C44" s="15">
        <v>10276687</v>
      </c>
      <c r="D44" s="52" t="s">
        <v>68</v>
      </c>
      <c r="E44" s="52" t="s">
        <v>65</v>
      </c>
      <c r="F44" s="52" t="s">
        <v>294</v>
      </c>
      <c r="G44" s="52" t="s">
        <v>1010</v>
      </c>
      <c r="H44" s="3" t="s">
        <v>1126</v>
      </c>
      <c r="I44" s="61">
        <v>176001</v>
      </c>
      <c r="J44" s="15" t="s">
        <v>1009</v>
      </c>
      <c r="K44" s="12" t="s">
        <v>1008</v>
      </c>
      <c r="L44" s="12" t="s">
        <v>1215</v>
      </c>
      <c r="M44" s="58" t="s">
        <v>84</v>
      </c>
      <c r="N44" s="13">
        <v>0</v>
      </c>
      <c r="O44" s="14" t="s">
        <v>81</v>
      </c>
      <c r="P44" s="15" t="s">
        <v>68</v>
      </c>
      <c r="Q44" s="3" t="s">
        <v>153</v>
      </c>
      <c r="R44" s="1" t="s">
        <v>0</v>
      </c>
      <c r="S44" s="52" t="s">
        <v>68</v>
      </c>
      <c r="T44" s="137"/>
    </row>
    <row r="45" spans="1:20" ht="12" customHeight="1" x14ac:dyDescent="0.2">
      <c r="A45" s="55">
        <v>46126</v>
      </c>
      <c r="B45" s="57" t="s">
        <v>1011</v>
      </c>
      <c r="C45" s="15">
        <v>10276687</v>
      </c>
      <c r="D45" s="52" t="s">
        <v>68</v>
      </c>
      <c r="E45" s="52" t="s">
        <v>65</v>
      </c>
      <c r="F45" s="52" t="s">
        <v>294</v>
      </c>
      <c r="G45" s="52" t="s">
        <v>1010</v>
      </c>
      <c r="H45" s="3" t="s">
        <v>1126</v>
      </c>
      <c r="I45" s="61">
        <v>176001</v>
      </c>
      <c r="J45" s="15" t="s">
        <v>1009</v>
      </c>
      <c r="K45" s="12" t="s">
        <v>1008</v>
      </c>
      <c r="L45" s="12" t="s">
        <v>1215</v>
      </c>
      <c r="M45" s="58" t="s">
        <v>47</v>
      </c>
      <c r="N45" s="13">
        <v>200000</v>
      </c>
      <c r="O45" s="12" t="s">
        <v>1013</v>
      </c>
      <c r="P45" s="15" t="s">
        <v>3</v>
      </c>
      <c r="Q45" s="3" t="s">
        <v>153</v>
      </c>
      <c r="R45" s="1" t="s">
        <v>0</v>
      </c>
      <c r="S45" s="52" t="s">
        <v>68</v>
      </c>
      <c r="T45" s="137"/>
    </row>
    <row r="46" spans="1:20" ht="12" customHeight="1" x14ac:dyDescent="0.2">
      <c r="A46" s="60">
        <v>46149</v>
      </c>
      <c r="B46" s="57" t="s">
        <v>1011</v>
      </c>
      <c r="C46" s="15">
        <v>10276687</v>
      </c>
      <c r="D46" s="52" t="s">
        <v>68</v>
      </c>
      <c r="E46" s="52" t="s">
        <v>65</v>
      </c>
      <c r="F46" s="52" t="s">
        <v>294</v>
      </c>
      <c r="G46" s="52" t="s">
        <v>1010</v>
      </c>
      <c r="H46" s="3" t="s">
        <v>1126</v>
      </c>
      <c r="I46" s="61">
        <v>176001</v>
      </c>
      <c r="J46" s="15" t="s">
        <v>1009</v>
      </c>
      <c r="K46" s="12" t="s">
        <v>1008</v>
      </c>
      <c r="L46" s="12" t="s">
        <v>1215</v>
      </c>
      <c r="M46" s="58" t="s">
        <v>117</v>
      </c>
      <c r="N46" s="13">
        <v>300000</v>
      </c>
      <c r="O46" s="61" t="s">
        <v>1012</v>
      </c>
      <c r="P46" s="15" t="s">
        <v>3</v>
      </c>
      <c r="Q46" s="3" t="s">
        <v>153</v>
      </c>
      <c r="R46" s="1" t="s">
        <v>0</v>
      </c>
      <c r="S46" s="52" t="s">
        <v>68</v>
      </c>
      <c r="T46" s="137"/>
    </row>
    <row r="47" spans="1:20" ht="12" customHeight="1" x14ac:dyDescent="0.2">
      <c r="A47" s="60">
        <v>46150.293333333335</v>
      </c>
      <c r="B47" s="57" t="s">
        <v>1011</v>
      </c>
      <c r="C47" s="15">
        <v>10276687</v>
      </c>
      <c r="D47" s="52" t="s">
        <v>68</v>
      </c>
      <c r="E47" s="52" t="s">
        <v>65</v>
      </c>
      <c r="F47" s="52" t="s">
        <v>294</v>
      </c>
      <c r="G47" s="52" t="s">
        <v>1010</v>
      </c>
      <c r="H47" s="3" t="s">
        <v>1126</v>
      </c>
      <c r="I47" s="61">
        <v>176001</v>
      </c>
      <c r="J47" s="15" t="s">
        <v>1009</v>
      </c>
      <c r="K47" s="12" t="s">
        <v>1008</v>
      </c>
      <c r="L47" s="12" t="s">
        <v>1215</v>
      </c>
      <c r="M47" s="58" t="s">
        <v>84</v>
      </c>
      <c r="N47" s="13">
        <v>0</v>
      </c>
      <c r="O47" s="14" t="s">
        <v>81</v>
      </c>
      <c r="P47" s="15" t="s">
        <v>68</v>
      </c>
      <c r="Q47" s="3" t="s">
        <v>153</v>
      </c>
      <c r="R47" s="1" t="s">
        <v>0</v>
      </c>
      <c r="S47" s="52" t="s">
        <v>68</v>
      </c>
      <c r="T47" s="137"/>
    </row>
    <row r="48" spans="1:20" ht="12" customHeight="1" x14ac:dyDescent="0.2">
      <c r="A48" s="60">
        <v>46150.300300925926</v>
      </c>
      <c r="B48" s="57" t="s">
        <v>1011</v>
      </c>
      <c r="C48" s="15">
        <v>10276687</v>
      </c>
      <c r="D48" s="52" t="s">
        <v>68</v>
      </c>
      <c r="E48" s="52" t="s">
        <v>65</v>
      </c>
      <c r="F48" s="52" t="s">
        <v>294</v>
      </c>
      <c r="G48" s="52" t="s">
        <v>1010</v>
      </c>
      <c r="H48" s="3" t="s">
        <v>1126</v>
      </c>
      <c r="I48" s="61">
        <v>176001</v>
      </c>
      <c r="J48" s="15" t="s">
        <v>1009</v>
      </c>
      <c r="K48" s="12" t="s">
        <v>1008</v>
      </c>
      <c r="L48" s="12" t="s">
        <v>1215</v>
      </c>
      <c r="M48" s="58" t="s">
        <v>79</v>
      </c>
      <c r="N48" s="13">
        <v>0</v>
      </c>
      <c r="O48" s="14" t="s">
        <v>81</v>
      </c>
      <c r="P48" s="15" t="s">
        <v>68</v>
      </c>
      <c r="Q48" s="3" t="s">
        <v>153</v>
      </c>
      <c r="R48" s="1" t="s">
        <v>0</v>
      </c>
      <c r="S48" s="52" t="s">
        <v>68</v>
      </c>
      <c r="T48" s="137"/>
    </row>
    <row r="49" spans="1:20" ht="12" customHeight="1" x14ac:dyDescent="0.2">
      <c r="A49" s="60">
        <v>46150.305104166669</v>
      </c>
      <c r="B49" s="57" t="s">
        <v>1011</v>
      </c>
      <c r="C49" s="15">
        <v>10276687</v>
      </c>
      <c r="D49" s="52" t="s">
        <v>68</v>
      </c>
      <c r="E49" s="52" t="s">
        <v>65</v>
      </c>
      <c r="F49" s="52" t="s">
        <v>294</v>
      </c>
      <c r="G49" s="52" t="s">
        <v>1010</v>
      </c>
      <c r="H49" s="3" t="s">
        <v>1126</v>
      </c>
      <c r="I49" s="61">
        <v>176001</v>
      </c>
      <c r="J49" s="15" t="s">
        <v>1009</v>
      </c>
      <c r="K49" s="12" t="s">
        <v>1008</v>
      </c>
      <c r="L49" s="12" t="s">
        <v>1215</v>
      </c>
      <c r="M49" s="58" t="s">
        <v>8</v>
      </c>
      <c r="N49" s="13">
        <v>0</v>
      </c>
      <c r="O49" s="14" t="s">
        <v>81</v>
      </c>
      <c r="P49" s="15" t="s">
        <v>68</v>
      </c>
      <c r="Q49" s="3" t="s">
        <v>153</v>
      </c>
      <c r="R49" s="1" t="s">
        <v>0</v>
      </c>
      <c r="S49" s="52" t="s">
        <v>68</v>
      </c>
      <c r="T49" s="137"/>
    </row>
    <row r="50" spans="1:20" ht="12" customHeight="1" x14ac:dyDescent="0.2">
      <c r="A50" s="47">
        <v>45832.733377453704</v>
      </c>
      <c r="B50" s="57" t="s">
        <v>995</v>
      </c>
      <c r="C50" s="15">
        <v>24246828</v>
      </c>
      <c r="D50" s="52" t="s">
        <v>994</v>
      </c>
      <c r="E50" s="52" t="s">
        <v>65</v>
      </c>
      <c r="F50" s="52" t="s">
        <v>993</v>
      </c>
      <c r="G50" s="52" t="s">
        <v>993</v>
      </c>
      <c r="H50" s="3" t="s">
        <v>992</v>
      </c>
      <c r="I50" s="61">
        <v>816010</v>
      </c>
      <c r="J50" s="15" t="s">
        <v>991</v>
      </c>
      <c r="K50" s="12" t="s">
        <v>990</v>
      </c>
      <c r="L50" s="12" t="s">
        <v>1226</v>
      </c>
      <c r="M50" s="58" t="s">
        <v>4</v>
      </c>
      <c r="N50" s="13">
        <v>200000</v>
      </c>
      <c r="O50" s="14" t="s">
        <v>1007</v>
      </c>
      <c r="P50" s="15" t="s">
        <v>3</v>
      </c>
      <c r="Q50" s="3" t="s">
        <v>153</v>
      </c>
      <c r="R50" s="1" t="s">
        <v>0</v>
      </c>
      <c r="S50" s="52" t="s">
        <v>78</v>
      </c>
      <c r="T50" s="137"/>
    </row>
    <row r="51" spans="1:20" ht="12" customHeight="1" x14ac:dyDescent="0.2">
      <c r="A51" s="47">
        <v>46015</v>
      </c>
      <c r="B51" s="57" t="s">
        <v>995</v>
      </c>
      <c r="C51" s="15">
        <v>24246828</v>
      </c>
      <c r="D51" s="52" t="s">
        <v>994</v>
      </c>
      <c r="E51" s="52" t="s">
        <v>65</v>
      </c>
      <c r="F51" s="52" t="s">
        <v>993</v>
      </c>
      <c r="G51" s="52" t="s">
        <v>993</v>
      </c>
      <c r="H51" s="3" t="s">
        <v>992</v>
      </c>
      <c r="I51" s="61">
        <v>816010</v>
      </c>
      <c r="J51" s="15" t="s">
        <v>991</v>
      </c>
      <c r="K51" s="12" t="s">
        <v>990</v>
      </c>
      <c r="L51" s="12" t="s">
        <v>1226</v>
      </c>
      <c r="M51" s="58" t="s">
        <v>560</v>
      </c>
      <c r="N51" s="13">
        <v>100000</v>
      </c>
      <c r="O51" s="14" t="s">
        <v>1006</v>
      </c>
      <c r="P51" s="15" t="s">
        <v>3</v>
      </c>
      <c r="Q51" s="3" t="s">
        <v>153</v>
      </c>
      <c r="R51" s="1" t="s">
        <v>0</v>
      </c>
      <c r="S51" s="52" t="s">
        <v>78</v>
      </c>
      <c r="T51" s="137"/>
    </row>
    <row r="52" spans="1:20" ht="12" customHeight="1" x14ac:dyDescent="0.2">
      <c r="A52" s="47">
        <v>46022</v>
      </c>
      <c r="B52" s="57" t="s">
        <v>995</v>
      </c>
      <c r="C52" s="15">
        <v>24246828</v>
      </c>
      <c r="D52" s="52" t="s">
        <v>994</v>
      </c>
      <c r="E52" s="52" t="s">
        <v>65</v>
      </c>
      <c r="F52" s="52" t="s">
        <v>993</v>
      </c>
      <c r="G52" s="52" t="s">
        <v>993</v>
      </c>
      <c r="H52" s="3" t="s">
        <v>992</v>
      </c>
      <c r="I52" s="61">
        <v>816010</v>
      </c>
      <c r="J52" s="15" t="s">
        <v>991</v>
      </c>
      <c r="K52" s="12" t="s">
        <v>990</v>
      </c>
      <c r="L52" s="12" t="s">
        <v>1226</v>
      </c>
      <c r="M52" s="58" t="s">
        <v>108</v>
      </c>
      <c r="N52" s="13">
        <v>100000</v>
      </c>
      <c r="O52" s="14" t="s">
        <v>1005</v>
      </c>
      <c r="P52" s="15" t="s">
        <v>3</v>
      </c>
      <c r="Q52" s="3" t="s">
        <v>153</v>
      </c>
      <c r="R52" s="1" t="s">
        <v>0</v>
      </c>
      <c r="S52" s="52" t="s">
        <v>78</v>
      </c>
      <c r="T52" s="137"/>
    </row>
    <row r="53" spans="1:20" ht="12" customHeight="1" x14ac:dyDescent="0.2">
      <c r="A53" s="47">
        <v>46030</v>
      </c>
      <c r="B53" s="57" t="s">
        <v>995</v>
      </c>
      <c r="C53" s="15">
        <v>24246828</v>
      </c>
      <c r="D53" s="52" t="s">
        <v>994</v>
      </c>
      <c r="E53" s="52" t="s">
        <v>65</v>
      </c>
      <c r="F53" s="52" t="s">
        <v>993</v>
      </c>
      <c r="G53" s="52" t="s">
        <v>993</v>
      </c>
      <c r="H53" s="3" t="s">
        <v>992</v>
      </c>
      <c r="I53" s="61">
        <v>816010</v>
      </c>
      <c r="J53" s="15" t="s">
        <v>991</v>
      </c>
      <c r="K53" s="12" t="s">
        <v>990</v>
      </c>
      <c r="L53" s="12" t="s">
        <v>1226</v>
      </c>
      <c r="M53" s="127" t="s">
        <v>113</v>
      </c>
      <c r="N53" s="100">
        <v>400000</v>
      </c>
      <c r="O53" s="101" t="s">
        <v>1004</v>
      </c>
      <c r="P53" s="136" t="s">
        <v>3</v>
      </c>
      <c r="Q53" s="3" t="s">
        <v>153</v>
      </c>
      <c r="R53" s="1" t="s">
        <v>0</v>
      </c>
      <c r="S53" s="52" t="s">
        <v>78</v>
      </c>
      <c r="T53" s="137"/>
    </row>
    <row r="54" spans="1:20" ht="12" customHeight="1" x14ac:dyDescent="0.2">
      <c r="A54" s="47">
        <v>46055</v>
      </c>
      <c r="B54" s="57" t="s">
        <v>995</v>
      </c>
      <c r="C54" s="15">
        <v>24246828</v>
      </c>
      <c r="D54" s="52" t="s">
        <v>994</v>
      </c>
      <c r="E54" s="52" t="s">
        <v>65</v>
      </c>
      <c r="F54" s="52" t="s">
        <v>993</v>
      </c>
      <c r="G54" s="52" t="s">
        <v>993</v>
      </c>
      <c r="H54" s="3" t="s">
        <v>992</v>
      </c>
      <c r="I54" s="61">
        <v>816010</v>
      </c>
      <c r="J54" s="15" t="s">
        <v>991</v>
      </c>
      <c r="K54" s="12" t="s">
        <v>990</v>
      </c>
      <c r="L54" s="12" t="s">
        <v>1226</v>
      </c>
      <c r="M54" s="58" t="s">
        <v>5</v>
      </c>
      <c r="N54" s="13">
        <v>150000</v>
      </c>
      <c r="O54" s="14" t="s">
        <v>1003</v>
      </c>
      <c r="P54" s="15" t="s">
        <v>3</v>
      </c>
      <c r="Q54" s="3" t="s">
        <v>153</v>
      </c>
      <c r="R54" s="1" t="s">
        <v>0</v>
      </c>
      <c r="S54" s="52" t="s">
        <v>78</v>
      </c>
      <c r="T54" s="137"/>
    </row>
    <row r="55" spans="1:20" ht="12" customHeight="1" x14ac:dyDescent="0.2">
      <c r="A55" s="47">
        <v>46055</v>
      </c>
      <c r="B55" s="57" t="s">
        <v>995</v>
      </c>
      <c r="C55" s="15">
        <v>24246828</v>
      </c>
      <c r="D55" s="52" t="s">
        <v>994</v>
      </c>
      <c r="E55" s="52" t="s">
        <v>65</v>
      </c>
      <c r="F55" s="52" t="s">
        <v>993</v>
      </c>
      <c r="G55" s="52" t="s">
        <v>993</v>
      </c>
      <c r="H55" s="3" t="s">
        <v>992</v>
      </c>
      <c r="I55" s="61">
        <v>816010</v>
      </c>
      <c r="J55" s="15" t="s">
        <v>991</v>
      </c>
      <c r="K55" s="12" t="s">
        <v>990</v>
      </c>
      <c r="L55" s="12" t="s">
        <v>1226</v>
      </c>
      <c r="M55" s="58" t="s">
        <v>85</v>
      </c>
      <c r="N55" s="13">
        <v>500000</v>
      </c>
      <c r="O55" s="14" t="s">
        <v>1002</v>
      </c>
      <c r="P55" s="15" t="s">
        <v>3</v>
      </c>
      <c r="Q55" s="3" t="s">
        <v>153</v>
      </c>
      <c r="R55" s="1" t="s">
        <v>0</v>
      </c>
      <c r="S55" s="52" t="s">
        <v>78</v>
      </c>
      <c r="T55" s="137"/>
    </row>
    <row r="56" spans="1:20" ht="12" customHeight="1" x14ac:dyDescent="0.2">
      <c r="A56" s="47">
        <v>46071</v>
      </c>
      <c r="B56" s="57" t="s">
        <v>995</v>
      </c>
      <c r="C56" s="15">
        <v>24246828</v>
      </c>
      <c r="D56" s="52" t="s">
        <v>994</v>
      </c>
      <c r="E56" s="52" t="s">
        <v>65</v>
      </c>
      <c r="F56" s="52" t="s">
        <v>993</v>
      </c>
      <c r="G56" s="52" t="s">
        <v>993</v>
      </c>
      <c r="H56" s="3" t="s">
        <v>992</v>
      </c>
      <c r="I56" s="61">
        <v>816010</v>
      </c>
      <c r="J56" s="15" t="s">
        <v>991</v>
      </c>
      <c r="K56" s="12" t="s">
        <v>990</v>
      </c>
      <c r="L56" s="12" t="s">
        <v>1226</v>
      </c>
      <c r="M56" s="58" t="s">
        <v>85</v>
      </c>
      <c r="N56" s="13">
        <v>500000</v>
      </c>
      <c r="O56" s="14" t="s">
        <v>1001</v>
      </c>
      <c r="P56" s="15" t="s">
        <v>3</v>
      </c>
      <c r="Q56" s="3" t="s">
        <v>153</v>
      </c>
      <c r="R56" s="1" t="s">
        <v>0</v>
      </c>
      <c r="S56" s="52" t="s">
        <v>78</v>
      </c>
      <c r="T56" s="137"/>
    </row>
    <row r="57" spans="1:20" ht="12" customHeight="1" x14ac:dyDescent="0.2">
      <c r="A57" s="47">
        <v>46111</v>
      </c>
      <c r="B57" s="57" t="s">
        <v>995</v>
      </c>
      <c r="C57" s="15">
        <v>24246828</v>
      </c>
      <c r="D57" s="52" t="s">
        <v>994</v>
      </c>
      <c r="E57" s="52" t="s">
        <v>65</v>
      </c>
      <c r="F57" s="52" t="s">
        <v>993</v>
      </c>
      <c r="G57" s="52" t="s">
        <v>993</v>
      </c>
      <c r="H57" s="3" t="s">
        <v>992</v>
      </c>
      <c r="I57" s="61">
        <v>816010</v>
      </c>
      <c r="J57" s="15" t="s">
        <v>991</v>
      </c>
      <c r="K57" s="12" t="s">
        <v>990</v>
      </c>
      <c r="L57" s="12" t="s">
        <v>1226</v>
      </c>
      <c r="M57" s="58" t="s">
        <v>47</v>
      </c>
      <c r="N57" s="13">
        <v>200000</v>
      </c>
      <c r="O57" s="14" t="s">
        <v>1000</v>
      </c>
      <c r="P57" s="15" t="s">
        <v>3</v>
      </c>
      <c r="Q57" s="3" t="s">
        <v>153</v>
      </c>
      <c r="R57" s="1" t="s">
        <v>0</v>
      </c>
      <c r="S57" s="52" t="s">
        <v>78</v>
      </c>
      <c r="T57" s="137"/>
    </row>
    <row r="58" spans="1:20" ht="12" customHeight="1" x14ac:dyDescent="0.2">
      <c r="A58" s="55">
        <v>46114</v>
      </c>
      <c r="B58" s="57" t="s">
        <v>995</v>
      </c>
      <c r="C58" s="15">
        <v>24246828</v>
      </c>
      <c r="D58" s="52" t="s">
        <v>994</v>
      </c>
      <c r="E58" s="52" t="s">
        <v>65</v>
      </c>
      <c r="F58" s="52" t="s">
        <v>993</v>
      </c>
      <c r="G58" s="52" t="s">
        <v>993</v>
      </c>
      <c r="H58" s="3" t="s">
        <v>992</v>
      </c>
      <c r="I58" s="61">
        <v>816010</v>
      </c>
      <c r="J58" s="15" t="s">
        <v>991</v>
      </c>
      <c r="K58" s="12" t="s">
        <v>990</v>
      </c>
      <c r="L58" s="12" t="s">
        <v>1226</v>
      </c>
      <c r="M58" s="58" t="s">
        <v>47</v>
      </c>
      <c r="N58" s="13">
        <v>200000</v>
      </c>
      <c r="O58" s="12" t="s">
        <v>999</v>
      </c>
      <c r="P58" s="15" t="s">
        <v>3</v>
      </c>
      <c r="Q58" s="3" t="s">
        <v>153</v>
      </c>
      <c r="R58" s="1" t="s">
        <v>0</v>
      </c>
      <c r="S58" s="52" t="s">
        <v>78</v>
      </c>
      <c r="T58" s="137"/>
    </row>
    <row r="59" spans="1:20" ht="12" customHeight="1" x14ac:dyDescent="0.2">
      <c r="A59" s="47">
        <v>46129</v>
      </c>
      <c r="B59" s="57" t="s">
        <v>995</v>
      </c>
      <c r="C59" s="15">
        <v>24246828</v>
      </c>
      <c r="D59" s="52" t="s">
        <v>994</v>
      </c>
      <c r="E59" s="52" t="s">
        <v>65</v>
      </c>
      <c r="F59" s="52" t="s">
        <v>993</v>
      </c>
      <c r="G59" s="52" t="s">
        <v>993</v>
      </c>
      <c r="H59" s="3" t="s">
        <v>992</v>
      </c>
      <c r="I59" s="61">
        <v>816010</v>
      </c>
      <c r="J59" s="15" t="s">
        <v>991</v>
      </c>
      <c r="K59" s="12" t="s">
        <v>990</v>
      </c>
      <c r="L59" s="12" t="s">
        <v>1226</v>
      </c>
      <c r="M59" s="125" t="s">
        <v>47</v>
      </c>
      <c r="N59" s="13">
        <v>200000</v>
      </c>
      <c r="O59" s="14" t="s">
        <v>998</v>
      </c>
      <c r="P59" s="15" t="s">
        <v>3</v>
      </c>
      <c r="Q59" s="3" t="s">
        <v>153</v>
      </c>
      <c r="R59" s="1" t="s">
        <v>0</v>
      </c>
      <c r="S59" s="52" t="s">
        <v>78</v>
      </c>
      <c r="T59" s="137"/>
    </row>
    <row r="60" spans="1:20" ht="12" customHeight="1" x14ac:dyDescent="0.2">
      <c r="A60" s="47">
        <v>46130</v>
      </c>
      <c r="B60" s="57" t="s">
        <v>995</v>
      </c>
      <c r="C60" s="15">
        <v>24246828</v>
      </c>
      <c r="D60" s="52" t="s">
        <v>994</v>
      </c>
      <c r="E60" s="52" t="s">
        <v>65</v>
      </c>
      <c r="F60" s="52" t="s">
        <v>993</v>
      </c>
      <c r="G60" s="52" t="s">
        <v>993</v>
      </c>
      <c r="H60" s="3" t="s">
        <v>992</v>
      </c>
      <c r="I60" s="61">
        <v>816010</v>
      </c>
      <c r="J60" s="15" t="s">
        <v>991</v>
      </c>
      <c r="K60" s="12" t="s">
        <v>990</v>
      </c>
      <c r="L60" s="12" t="s">
        <v>1226</v>
      </c>
      <c r="M60" s="125" t="s">
        <v>84</v>
      </c>
      <c r="N60" s="13">
        <v>0</v>
      </c>
      <c r="O60" s="14" t="s">
        <v>81</v>
      </c>
      <c r="P60" s="15" t="s">
        <v>68</v>
      </c>
      <c r="Q60" s="3" t="s">
        <v>153</v>
      </c>
      <c r="R60" s="1" t="s">
        <v>0</v>
      </c>
      <c r="S60" s="52" t="s">
        <v>78</v>
      </c>
      <c r="T60" s="137"/>
    </row>
    <row r="61" spans="1:20" ht="12" customHeight="1" x14ac:dyDescent="0.2">
      <c r="A61" s="47">
        <v>46130</v>
      </c>
      <c r="B61" s="57" t="s">
        <v>995</v>
      </c>
      <c r="C61" s="15">
        <v>24246828</v>
      </c>
      <c r="D61" s="52" t="s">
        <v>994</v>
      </c>
      <c r="E61" s="52" t="s">
        <v>65</v>
      </c>
      <c r="F61" s="52" t="s">
        <v>993</v>
      </c>
      <c r="G61" s="52" t="s">
        <v>993</v>
      </c>
      <c r="H61" s="3" t="s">
        <v>992</v>
      </c>
      <c r="I61" s="61">
        <v>816010</v>
      </c>
      <c r="J61" s="15" t="s">
        <v>991</v>
      </c>
      <c r="K61" s="12" t="s">
        <v>990</v>
      </c>
      <c r="L61" s="12" t="s">
        <v>1226</v>
      </c>
      <c r="M61" s="125" t="s">
        <v>84</v>
      </c>
      <c r="N61" s="13">
        <v>0</v>
      </c>
      <c r="O61" s="14" t="s">
        <v>81</v>
      </c>
      <c r="P61" s="15" t="s">
        <v>68</v>
      </c>
      <c r="Q61" s="3" t="s">
        <v>153</v>
      </c>
      <c r="R61" s="1" t="s">
        <v>0</v>
      </c>
      <c r="S61" s="52" t="s">
        <v>78</v>
      </c>
      <c r="T61" s="137"/>
    </row>
    <row r="62" spans="1:20" ht="12" customHeight="1" x14ac:dyDescent="0.2">
      <c r="A62" s="60">
        <v>46150</v>
      </c>
      <c r="B62" s="57" t="s">
        <v>995</v>
      </c>
      <c r="C62" s="15">
        <v>24246828</v>
      </c>
      <c r="D62" s="52" t="s">
        <v>994</v>
      </c>
      <c r="E62" s="52" t="s">
        <v>65</v>
      </c>
      <c r="F62" s="52" t="s">
        <v>993</v>
      </c>
      <c r="G62" s="52" t="s">
        <v>993</v>
      </c>
      <c r="H62" s="3" t="s">
        <v>992</v>
      </c>
      <c r="I62" s="61">
        <v>816010</v>
      </c>
      <c r="J62" s="15" t="s">
        <v>991</v>
      </c>
      <c r="K62" s="12" t="s">
        <v>990</v>
      </c>
      <c r="L62" s="12" t="s">
        <v>1226</v>
      </c>
      <c r="M62" s="58" t="s">
        <v>105</v>
      </c>
      <c r="N62" s="13">
        <v>100000</v>
      </c>
      <c r="O62" s="61" t="s">
        <v>997</v>
      </c>
      <c r="P62" s="15" t="s">
        <v>3</v>
      </c>
      <c r="Q62" s="3" t="s">
        <v>153</v>
      </c>
      <c r="R62" s="1" t="s">
        <v>0</v>
      </c>
      <c r="S62" s="52" t="s">
        <v>78</v>
      </c>
      <c r="T62" s="137"/>
    </row>
    <row r="63" spans="1:20" ht="12" customHeight="1" x14ac:dyDescent="0.2">
      <c r="A63" s="60">
        <v>46150</v>
      </c>
      <c r="B63" s="57" t="s">
        <v>995</v>
      </c>
      <c r="C63" s="15">
        <v>24246828</v>
      </c>
      <c r="D63" s="52" t="s">
        <v>994</v>
      </c>
      <c r="E63" s="52" t="s">
        <v>65</v>
      </c>
      <c r="F63" s="52" t="s">
        <v>993</v>
      </c>
      <c r="G63" s="52" t="s">
        <v>993</v>
      </c>
      <c r="H63" s="3" t="s">
        <v>992</v>
      </c>
      <c r="I63" s="61">
        <v>816010</v>
      </c>
      <c r="J63" s="15" t="s">
        <v>991</v>
      </c>
      <c r="K63" s="12" t="s">
        <v>990</v>
      </c>
      <c r="L63" s="12" t="s">
        <v>1226</v>
      </c>
      <c r="M63" s="58" t="s">
        <v>82</v>
      </c>
      <c r="N63" s="13">
        <v>200000</v>
      </c>
      <c r="O63" s="61" t="s">
        <v>996</v>
      </c>
      <c r="P63" s="15" t="s">
        <v>3</v>
      </c>
      <c r="Q63" s="3" t="s">
        <v>153</v>
      </c>
      <c r="R63" s="1" t="s">
        <v>0</v>
      </c>
      <c r="S63" s="52" t="s">
        <v>78</v>
      </c>
      <c r="T63" s="137"/>
    </row>
    <row r="64" spans="1:20" ht="12" customHeight="1" x14ac:dyDescent="0.2">
      <c r="A64" s="60">
        <v>46150.868923611109</v>
      </c>
      <c r="B64" s="57" t="s">
        <v>995</v>
      </c>
      <c r="C64" s="15">
        <v>24246828</v>
      </c>
      <c r="D64" s="52" t="s">
        <v>994</v>
      </c>
      <c r="E64" s="52" t="s">
        <v>65</v>
      </c>
      <c r="F64" s="52" t="s">
        <v>993</v>
      </c>
      <c r="G64" s="52" t="s">
        <v>993</v>
      </c>
      <c r="H64" s="3" t="s">
        <v>992</v>
      </c>
      <c r="I64" s="61">
        <v>816010</v>
      </c>
      <c r="J64" s="15" t="s">
        <v>991</v>
      </c>
      <c r="K64" s="12" t="s">
        <v>990</v>
      </c>
      <c r="L64" s="12" t="s">
        <v>1226</v>
      </c>
      <c r="M64" s="58" t="s">
        <v>8</v>
      </c>
      <c r="N64" s="13">
        <v>0</v>
      </c>
      <c r="O64" s="14" t="s">
        <v>81</v>
      </c>
      <c r="P64" s="15" t="s">
        <v>68</v>
      </c>
      <c r="Q64" s="3" t="s">
        <v>153</v>
      </c>
      <c r="R64" s="1" t="s">
        <v>0</v>
      </c>
      <c r="S64" s="52" t="s">
        <v>78</v>
      </c>
      <c r="T64" s="137"/>
    </row>
    <row r="65" spans="1:20" ht="12" customHeight="1" x14ac:dyDescent="0.2">
      <c r="A65" s="60">
        <v>46150.876932870371</v>
      </c>
      <c r="B65" s="57" t="s">
        <v>995</v>
      </c>
      <c r="C65" s="15">
        <v>24246828</v>
      </c>
      <c r="D65" s="52" t="s">
        <v>994</v>
      </c>
      <c r="E65" s="52" t="s">
        <v>65</v>
      </c>
      <c r="F65" s="52" t="s">
        <v>993</v>
      </c>
      <c r="G65" s="52" t="s">
        <v>993</v>
      </c>
      <c r="H65" s="3" t="s">
        <v>992</v>
      </c>
      <c r="I65" s="61">
        <v>816010</v>
      </c>
      <c r="J65" s="15" t="s">
        <v>991</v>
      </c>
      <c r="K65" s="12" t="s">
        <v>990</v>
      </c>
      <c r="L65" s="12" t="s">
        <v>1226</v>
      </c>
      <c r="M65" s="58" t="s">
        <v>84</v>
      </c>
      <c r="N65" s="13">
        <v>0</v>
      </c>
      <c r="O65" s="14" t="s">
        <v>81</v>
      </c>
      <c r="P65" s="15" t="s">
        <v>68</v>
      </c>
      <c r="Q65" s="3" t="s">
        <v>153</v>
      </c>
      <c r="R65" s="1" t="s">
        <v>0</v>
      </c>
      <c r="S65" s="52" t="s">
        <v>78</v>
      </c>
      <c r="T65" s="137"/>
    </row>
    <row r="66" spans="1:20" ht="12" customHeight="1" x14ac:dyDescent="0.2">
      <c r="A66" s="60">
        <v>46150.882256944446</v>
      </c>
      <c r="B66" s="57" t="s">
        <v>995</v>
      </c>
      <c r="C66" s="15">
        <v>24246828</v>
      </c>
      <c r="D66" s="52" t="s">
        <v>994</v>
      </c>
      <c r="E66" s="52" t="s">
        <v>65</v>
      </c>
      <c r="F66" s="52" t="s">
        <v>993</v>
      </c>
      <c r="G66" s="52" t="s">
        <v>993</v>
      </c>
      <c r="H66" s="3" t="s">
        <v>992</v>
      </c>
      <c r="I66" s="61">
        <v>816010</v>
      </c>
      <c r="J66" s="15" t="s">
        <v>991</v>
      </c>
      <c r="K66" s="12" t="s">
        <v>990</v>
      </c>
      <c r="L66" s="12" t="s">
        <v>1226</v>
      </c>
      <c r="M66" s="58" t="s">
        <v>8</v>
      </c>
      <c r="N66" s="13">
        <v>0</v>
      </c>
      <c r="O66" s="14" t="s">
        <v>81</v>
      </c>
      <c r="P66" s="15" t="s">
        <v>68</v>
      </c>
      <c r="Q66" s="3" t="s">
        <v>153</v>
      </c>
      <c r="R66" s="1" t="s">
        <v>0</v>
      </c>
      <c r="S66" s="52" t="s">
        <v>78</v>
      </c>
      <c r="T66" s="137"/>
    </row>
    <row r="67" spans="1:20" ht="12" customHeight="1" x14ac:dyDescent="0.2">
      <c r="A67" s="172">
        <v>46174</v>
      </c>
      <c r="B67" s="173" t="s">
        <v>995</v>
      </c>
      <c r="C67" s="15">
        <v>24246828</v>
      </c>
      <c r="D67" s="52" t="s">
        <v>994</v>
      </c>
      <c r="E67" s="52" t="s">
        <v>65</v>
      </c>
      <c r="F67" s="52" t="s">
        <v>993</v>
      </c>
      <c r="G67" s="52" t="s">
        <v>993</v>
      </c>
      <c r="H67" s="3" t="s">
        <v>992</v>
      </c>
      <c r="I67" s="61">
        <v>816010</v>
      </c>
      <c r="J67" s="15" t="s">
        <v>991</v>
      </c>
      <c r="K67" s="12" t="s">
        <v>990</v>
      </c>
      <c r="L67" s="12" t="s">
        <v>1226</v>
      </c>
      <c r="M67" s="145" t="s">
        <v>4</v>
      </c>
      <c r="N67">
        <v>200000</v>
      </c>
      <c r="O67" t="s">
        <v>1341</v>
      </c>
      <c r="P67" s="106" t="s">
        <v>1351</v>
      </c>
      <c r="Q67" s="3" t="s">
        <v>153</v>
      </c>
      <c r="R67" s="1" t="s">
        <v>0</v>
      </c>
      <c r="S67" s="52" t="s">
        <v>78</v>
      </c>
      <c r="T67" s="137"/>
    </row>
    <row r="68" spans="1:20" ht="12" customHeight="1" x14ac:dyDescent="0.2">
      <c r="A68" s="172">
        <v>46195</v>
      </c>
      <c r="B68" s="173" t="s">
        <v>995</v>
      </c>
      <c r="C68" s="15">
        <v>24246828</v>
      </c>
      <c r="D68" s="52" t="s">
        <v>994</v>
      </c>
      <c r="E68" s="52" t="s">
        <v>65</v>
      </c>
      <c r="F68" s="52" t="s">
        <v>993</v>
      </c>
      <c r="G68" s="52" t="s">
        <v>993</v>
      </c>
      <c r="H68" s="3" t="s">
        <v>992</v>
      </c>
      <c r="I68" s="61">
        <v>816010</v>
      </c>
      <c r="J68" s="15" t="s">
        <v>991</v>
      </c>
      <c r="K68" s="12" t="s">
        <v>990</v>
      </c>
      <c r="L68" s="12" t="s">
        <v>1226</v>
      </c>
      <c r="M68" s="145" t="s">
        <v>132</v>
      </c>
      <c r="N68">
        <v>400000</v>
      </c>
      <c r="O68" t="s">
        <v>1343</v>
      </c>
      <c r="P68" s="106" t="s">
        <v>3</v>
      </c>
      <c r="Q68" s="3" t="s">
        <v>153</v>
      </c>
      <c r="R68" s="1" t="s">
        <v>0</v>
      </c>
      <c r="S68" s="52" t="s">
        <v>78</v>
      </c>
      <c r="T68" s="137"/>
    </row>
    <row r="69" spans="1:20" ht="12" customHeight="1" x14ac:dyDescent="0.2">
      <c r="A69" s="172">
        <v>46232</v>
      </c>
      <c r="B69" s="173" t="s">
        <v>995</v>
      </c>
      <c r="C69" s="15">
        <v>24246828</v>
      </c>
      <c r="D69" s="52" t="s">
        <v>994</v>
      </c>
      <c r="E69" s="52" t="s">
        <v>65</v>
      </c>
      <c r="F69" s="52" t="s">
        <v>993</v>
      </c>
      <c r="G69" s="52" t="s">
        <v>993</v>
      </c>
      <c r="H69" s="3" t="s">
        <v>992</v>
      </c>
      <c r="I69" s="61">
        <v>816010</v>
      </c>
      <c r="J69" s="15" t="s">
        <v>991</v>
      </c>
      <c r="K69" s="12" t="s">
        <v>990</v>
      </c>
      <c r="L69" s="12" t="s">
        <v>1226</v>
      </c>
      <c r="M69" s="145" t="s">
        <v>1337</v>
      </c>
      <c r="N69">
        <v>500000</v>
      </c>
      <c r="O69" t="s">
        <v>1347</v>
      </c>
      <c r="P69" s="106" t="s">
        <v>3</v>
      </c>
      <c r="Q69" s="3" t="s">
        <v>153</v>
      </c>
      <c r="R69" s="1" t="s">
        <v>0</v>
      </c>
      <c r="S69" s="52" t="s">
        <v>78</v>
      </c>
      <c r="T69" s="137"/>
    </row>
    <row r="70" spans="1:20" ht="12" customHeight="1" x14ac:dyDescent="0.2">
      <c r="A70" s="60">
        <v>46246</v>
      </c>
      <c r="B70" s="57" t="s">
        <v>995</v>
      </c>
      <c r="C70" s="15">
        <v>24246828</v>
      </c>
      <c r="D70" s="52" t="s">
        <v>994</v>
      </c>
      <c r="E70" s="52" t="s">
        <v>65</v>
      </c>
      <c r="F70" s="52" t="s">
        <v>993</v>
      </c>
      <c r="G70" s="52" t="s">
        <v>993</v>
      </c>
      <c r="H70" s="3" t="s">
        <v>992</v>
      </c>
      <c r="I70" s="61">
        <v>816010</v>
      </c>
      <c r="J70" s="15" t="s">
        <v>991</v>
      </c>
      <c r="K70" s="12" t="s">
        <v>990</v>
      </c>
      <c r="L70" s="61" t="s">
        <v>15</v>
      </c>
      <c r="M70" s="58" t="s">
        <v>1356</v>
      </c>
      <c r="N70" s="13">
        <v>200000</v>
      </c>
      <c r="O70" s="14" t="s">
        <v>1355</v>
      </c>
      <c r="P70" s="15" t="s">
        <v>3</v>
      </c>
      <c r="Q70" s="3" t="s">
        <v>153</v>
      </c>
      <c r="R70" s="1" t="s">
        <v>0</v>
      </c>
      <c r="S70" s="52" t="s">
        <v>78</v>
      </c>
      <c r="T70" s="137"/>
    </row>
    <row r="71" spans="1:20" ht="12" customHeight="1" x14ac:dyDescent="0.2">
      <c r="A71" s="60">
        <v>46150</v>
      </c>
      <c r="B71" s="57" t="s">
        <v>1127</v>
      </c>
      <c r="C71" s="15">
        <v>8025220078</v>
      </c>
      <c r="D71" s="52" t="s">
        <v>68</v>
      </c>
      <c r="E71" s="52" t="s">
        <v>118</v>
      </c>
      <c r="F71" s="52" t="s">
        <v>248</v>
      </c>
      <c r="G71" s="52" t="s">
        <v>248</v>
      </c>
      <c r="H71" s="3" t="s">
        <v>1357</v>
      </c>
      <c r="I71" s="61" t="s">
        <v>1128</v>
      </c>
      <c r="J71" s="15" t="s">
        <v>987</v>
      </c>
      <c r="K71" s="12" t="s">
        <v>1352</v>
      </c>
      <c r="L71" s="12" t="s">
        <v>1227</v>
      </c>
      <c r="M71" s="58" t="s">
        <v>105</v>
      </c>
      <c r="N71" s="13">
        <v>30</v>
      </c>
      <c r="O71" s="61" t="s">
        <v>989</v>
      </c>
      <c r="P71" s="15" t="s">
        <v>123</v>
      </c>
      <c r="Q71" s="3" t="s">
        <v>153</v>
      </c>
      <c r="R71" s="1" t="s">
        <v>0</v>
      </c>
      <c r="S71" s="52" t="s">
        <v>68</v>
      </c>
      <c r="T71" s="137"/>
    </row>
    <row r="72" spans="1:20" ht="12" customHeight="1" x14ac:dyDescent="0.2">
      <c r="A72" s="60">
        <v>46150.438252314816</v>
      </c>
      <c r="B72" s="57" t="s">
        <v>1127</v>
      </c>
      <c r="C72" s="15">
        <v>8025220078</v>
      </c>
      <c r="D72" s="52" t="s">
        <v>68</v>
      </c>
      <c r="E72" s="52" t="s">
        <v>118</v>
      </c>
      <c r="F72" s="52" t="s">
        <v>248</v>
      </c>
      <c r="G72" s="52" t="s">
        <v>248</v>
      </c>
      <c r="H72" s="3" t="s">
        <v>1357</v>
      </c>
      <c r="I72" s="61" t="s">
        <v>1128</v>
      </c>
      <c r="J72" s="15" t="s">
        <v>987</v>
      </c>
      <c r="K72" s="12" t="s">
        <v>1352</v>
      </c>
      <c r="L72" s="12" t="s">
        <v>1227</v>
      </c>
      <c r="M72" s="58" t="s">
        <v>51</v>
      </c>
      <c r="N72" s="13">
        <v>0</v>
      </c>
      <c r="O72" s="14" t="s">
        <v>81</v>
      </c>
      <c r="P72" s="15" t="s">
        <v>68</v>
      </c>
      <c r="Q72" s="3" t="s">
        <v>153</v>
      </c>
      <c r="R72" s="1" t="s">
        <v>0</v>
      </c>
      <c r="S72" s="52" t="s">
        <v>68</v>
      </c>
      <c r="T72" s="137"/>
    </row>
    <row r="73" spans="1:20" ht="12" customHeight="1" x14ac:dyDescent="0.2">
      <c r="A73" s="60">
        <v>46150.438252314816</v>
      </c>
      <c r="B73" s="57" t="s">
        <v>1127</v>
      </c>
      <c r="C73" s="15">
        <v>8025220078</v>
      </c>
      <c r="D73" s="52" t="s">
        <v>68</v>
      </c>
      <c r="E73" s="52" t="s">
        <v>118</v>
      </c>
      <c r="F73" s="52" t="s">
        <v>248</v>
      </c>
      <c r="G73" s="52" t="s">
        <v>248</v>
      </c>
      <c r="H73" s="3" t="s">
        <v>1357</v>
      </c>
      <c r="I73" s="61" t="s">
        <v>1128</v>
      </c>
      <c r="J73" s="15" t="s">
        <v>987</v>
      </c>
      <c r="K73" s="12" t="s">
        <v>1352</v>
      </c>
      <c r="L73" s="12" t="s">
        <v>1227</v>
      </c>
      <c r="M73" s="58" t="s">
        <v>1336</v>
      </c>
      <c r="N73" s="13">
        <v>60000</v>
      </c>
      <c r="O73" s="14" t="s">
        <v>1350</v>
      </c>
      <c r="P73" s="15" t="s">
        <v>3</v>
      </c>
      <c r="Q73" s="3" t="s">
        <v>153</v>
      </c>
      <c r="R73" s="1" t="s">
        <v>0</v>
      </c>
      <c r="S73" s="52" t="s">
        <v>68</v>
      </c>
      <c r="T73" s="137"/>
    </row>
    <row r="74" spans="1:20" ht="12" customHeight="1" x14ac:dyDescent="0.2">
      <c r="A74" s="47">
        <v>45924</v>
      </c>
      <c r="B74" s="57" t="s">
        <v>986</v>
      </c>
      <c r="C74" s="15">
        <v>1004773723</v>
      </c>
      <c r="D74" s="52" t="s">
        <v>68</v>
      </c>
      <c r="E74" s="52" t="s">
        <v>65</v>
      </c>
      <c r="F74" s="52" t="s">
        <v>338</v>
      </c>
      <c r="G74" s="52" t="s">
        <v>206</v>
      </c>
      <c r="H74" s="3" t="s">
        <v>1129</v>
      </c>
      <c r="I74" s="61">
        <v>190001</v>
      </c>
      <c r="J74" s="15" t="s">
        <v>985</v>
      </c>
      <c r="K74" s="12" t="s">
        <v>984</v>
      </c>
      <c r="L74" s="12" t="s">
        <v>1228</v>
      </c>
      <c r="M74" s="58" t="s">
        <v>6</v>
      </c>
      <c r="N74" s="13">
        <v>200000</v>
      </c>
      <c r="O74" s="14" t="s">
        <v>983</v>
      </c>
      <c r="P74" s="15" t="s">
        <v>3</v>
      </c>
      <c r="Q74" s="3" t="s">
        <v>153</v>
      </c>
      <c r="R74" s="1" t="s">
        <v>0</v>
      </c>
      <c r="S74" s="52" t="s">
        <v>68</v>
      </c>
      <c r="T74" s="137"/>
    </row>
    <row r="75" spans="1:20" ht="12" customHeight="1" x14ac:dyDescent="0.2">
      <c r="A75" s="47">
        <v>45897</v>
      </c>
      <c r="B75" s="57" t="s">
        <v>982</v>
      </c>
      <c r="C75" s="15">
        <v>13079041</v>
      </c>
      <c r="D75" s="52" t="s">
        <v>68</v>
      </c>
      <c r="E75" s="52" t="s">
        <v>65</v>
      </c>
      <c r="F75" s="52" t="s">
        <v>338</v>
      </c>
      <c r="G75" s="52" t="s">
        <v>206</v>
      </c>
      <c r="H75" s="3" t="s">
        <v>981</v>
      </c>
      <c r="I75" s="61">
        <v>190001</v>
      </c>
      <c r="J75" s="15" t="s">
        <v>980</v>
      </c>
      <c r="K75" s="12" t="s">
        <v>979</v>
      </c>
      <c r="L75" s="12" t="s">
        <v>1229</v>
      </c>
      <c r="M75" s="58" t="s">
        <v>102</v>
      </c>
      <c r="N75" s="13">
        <v>300000</v>
      </c>
      <c r="O75" s="14" t="s">
        <v>978</v>
      </c>
      <c r="P75" s="15" t="s">
        <v>3</v>
      </c>
      <c r="Q75" s="3" t="s">
        <v>153</v>
      </c>
      <c r="R75" s="1" t="s">
        <v>0</v>
      </c>
      <c r="S75" s="52" t="s">
        <v>68</v>
      </c>
      <c r="T75" s="137"/>
    </row>
    <row r="76" spans="1:20" ht="12" customHeight="1" x14ac:dyDescent="0.2">
      <c r="A76" s="47">
        <v>45948.860393518517</v>
      </c>
      <c r="B76" s="57" t="s">
        <v>976</v>
      </c>
      <c r="C76" s="15">
        <v>75060017</v>
      </c>
      <c r="D76" s="52" t="s">
        <v>68</v>
      </c>
      <c r="E76" s="52" t="s">
        <v>65</v>
      </c>
      <c r="F76" s="52" t="s">
        <v>294</v>
      </c>
      <c r="G76" s="52" t="s">
        <v>293</v>
      </c>
      <c r="H76" s="3" t="s">
        <v>975</v>
      </c>
      <c r="I76" s="61">
        <v>170001</v>
      </c>
      <c r="J76" s="15" t="s">
        <v>974</v>
      </c>
      <c r="K76" s="12" t="s">
        <v>973</v>
      </c>
      <c r="L76" s="12" t="s">
        <v>1230</v>
      </c>
      <c r="M76" s="58" t="s">
        <v>115</v>
      </c>
      <c r="N76" s="13">
        <v>300000</v>
      </c>
      <c r="O76" s="14" t="s">
        <v>977</v>
      </c>
      <c r="P76" s="15" t="s">
        <v>3</v>
      </c>
      <c r="Q76" s="3" t="s">
        <v>153</v>
      </c>
      <c r="R76" s="1" t="s">
        <v>0</v>
      </c>
      <c r="S76" s="52" t="s">
        <v>68</v>
      </c>
      <c r="T76" s="137"/>
    </row>
    <row r="77" spans="1:20" ht="12" customHeight="1" x14ac:dyDescent="0.2">
      <c r="A77" s="47">
        <v>46055</v>
      </c>
      <c r="B77" s="57" t="s">
        <v>976</v>
      </c>
      <c r="C77" s="15">
        <v>75060017</v>
      </c>
      <c r="D77" s="52" t="s">
        <v>68</v>
      </c>
      <c r="E77" s="52" t="s">
        <v>65</v>
      </c>
      <c r="F77" s="52" t="s">
        <v>294</v>
      </c>
      <c r="G77" s="52" t="s">
        <v>293</v>
      </c>
      <c r="H77" s="3" t="s">
        <v>975</v>
      </c>
      <c r="I77" s="61">
        <v>170001</v>
      </c>
      <c r="J77" s="15" t="s">
        <v>974</v>
      </c>
      <c r="K77" s="12" t="s">
        <v>973</v>
      </c>
      <c r="L77" s="12" t="s">
        <v>1230</v>
      </c>
      <c r="M77" s="58" t="s">
        <v>5</v>
      </c>
      <c r="N77" s="13">
        <v>150000</v>
      </c>
      <c r="O77" s="14" t="s">
        <v>972</v>
      </c>
      <c r="P77" s="15" t="s">
        <v>114</v>
      </c>
      <c r="Q77" s="3" t="s">
        <v>153</v>
      </c>
      <c r="R77" s="1" t="s">
        <v>0</v>
      </c>
      <c r="S77" s="52" t="s">
        <v>68</v>
      </c>
      <c r="T77" s="137"/>
    </row>
    <row r="78" spans="1:20" ht="12" customHeight="1" x14ac:dyDescent="0.2">
      <c r="A78" s="47">
        <v>45885.569548611114</v>
      </c>
      <c r="B78" s="57" t="s">
        <v>964</v>
      </c>
      <c r="C78" s="15">
        <v>42085517</v>
      </c>
      <c r="D78" s="52" t="s">
        <v>963</v>
      </c>
      <c r="E78" s="52" t="s">
        <v>65</v>
      </c>
      <c r="F78" s="52" t="s">
        <v>98</v>
      </c>
      <c r="G78" s="52" t="s">
        <v>97</v>
      </c>
      <c r="H78" s="3" t="s">
        <v>962</v>
      </c>
      <c r="I78" s="61">
        <v>660008</v>
      </c>
      <c r="J78" s="15" t="s">
        <v>961</v>
      </c>
      <c r="K78" s="12" t="s">
        <v>960</v>
      </c>
      <c r="L78" s="12" t="s">
        <v>1231</v>
      </c>
      <c r="M78" s="58" t="s">
        <v>108</v>
      </c>
      <c r="N78" s="13">
        <v>200000</v>
      </c>
      <c r="O78" s="14" t="s">
        <v>971</v>
      </c>
      <c r="P78" s="15" t="s">
        <v>1</v>
      </c>
      <c r="Q78" s="3" t="s">
        <v>153</v>
      </c>
      <c r="R78" s="1" t="s">
        <v>0</v>
      </c>
      <c r="S78" s="52" t="s">
        <v>78</v>
      </c>
      <c r="T78" s="137"/>
    </row>
    <row r="79" spans="1:20" ht="12" customHeight="1" x14ac:dyDescent="0.2">
      <c r="A79" s="47">
        <v>45932</v>
      </c>
      <c r="B79" s="57" t="s">
        <v>964</v>
      </c>
      <c r="C79" s="15">
        <v>42085517</v>
      </c>
      <c r="D79" s="52" t="s">
        <v>963</v>
      </c>
      <c r="E79" s="52" t="s">
        <v>65</v>
      </c>
      <c r="F79" s="52" t="s">
        <v>98</v>
      </c>
      <c r="G79" s="52" t="s">
        <v>97</v>
      </c>
      <c r="H79" s="3" t="s">
        <v>962</v>
      </c>
      <c r="I79" s="61">
        <v>660008</v>
      </c>
      <c r="J79" s="15" t="s">
        <v>961</v>
      </c>
      <c r="K79" s="12" t="s">
        <v>960</v>
      </c>
      <c r="L79" s="12" t="s">
        <v>1231</v>
      </c>
      <c r="M79" s="58" t="s">
        <v>2</v>
      </c>
      <c r="N79" s="13">
        <v>100000</v>
      </c>
      <c r="O79" s="14" t="s">
        <v>970</v>
      </c>
      <c r="P79" s="15" t="s">
        <v>1</v>
      </c>
      <c r="Q79" s="3" t="s">
        <v>153</v>
      </c>
      <c r="R79" s="1" t="s">
        <v>0</v>
      </c>
      <c r="S79" s="52" t="s">
        <v>78</v>
      </c>
      <c r="T79" s="137"/>
    </row>
    <row r="80" spans="1:20" ht="12" customHeight="1" x14ac:dyDescent="0.2">
      <c r="A80" s="47">
        <v>45943</v>
      </c>
      <c r="B80" s="57" t="s">
        <v>964</v>
      </c>
      <c r="C80" s="15">
        <v>42085517</v>
      </c>
      <c r="D80" s="52" t="s">
        <v>963</v>
      </c>
      <c r="E80" s="52" t="s">
        <v>65</v>
      </c>
      <c r="F80" s="52" t="s">
        <v>98</v>
      </c>
      <c r="G80" s="52" t="s">
        <v>97</v>
      </c>
      <c r="H80" s="3" t="s">
        <v>962</v>
      </c>
      <c r="I80" s="61">
        <v>660008</v>
      </c>
      <c r="J80" s="15" t="s">
        <v>961</v>
      </c>
      <c r="K80" s="12" t="s">
        <v>960</v>
      </c>
      <c r="L80" s="12" t="s">
        <v>1231</v>
      </c>
      <c r="M80" s="127" t="s">
        <v>112</v>
      </c>
      <c r="N80" s="100">
        <v>100000</v>
      </c>
      <c r="O80" s="101" t="s">
        <v>969</v>
      </c>
      <c r="P80" s="15" t="s">
        <v>1</v>
      </c>
      <c r="Q80" s="3" t="s">
        <v>153</v>
      </c>
      <c r="R80" s="1" t="s">
        <v>0</v>
      </c>
      <c r="S80" s="52" t="s">
        <v>78</v>
      </c>
      <c r="T80" s="137"/>
    </row>
    <row r="81" spans="1:20" ht="12" customHeight="1" x14ac:dyDescent="0.2">
      <c r="A81" s="47">
        <v>46014</v>
      </c>
      <c r="B81" s="57" t="s">
        <v>964</v>
      </c>
      <c r="C81" s="15">
        <v>42085517</v>
      </c>
      <c r="D81" s="52" t="s">
        <v>963</v>
      </c>
      <c r="E81" s="52" t="s">
        <v>65</v>
      </c>
      <c r="F81" s="52" t="s">
        <v>98</v>
      </c>
      <c r="G81" s="52" t="s">
        <v>97</v>
      </c>
      <c r="H81" s="3" t="s">
        <v>962</v>
      </c>
      <c r="I81" s="61">
        <v>660008</v>
      </c>
      <c r="J81" s="15" t="s">
        <v>961</v>
      </c>
      <c r="K81" s="12" t="s">
        <v>960</v>
      </c>
      <c r="L81" s="12" t="s">
        <v>1231</v>
      </c>
      <c r="M81" s="127" t="s">
        <v>968</v>
      </c>
      <c r="N81" s="100">
        <v>200000</v>
      </c>
      <c r="O81" s="101" t="s">
        <v>967</v>
      </c>
      <c r="P81" s="15" t="s">
        <v>1</v>
      </c>
      <c r="Q81" s="3" t="s">
        <v>153</v>
      </c>
      <c r="R81" s="1" t="s">
        <v>0</v>
      </c>
      <c r="S81" s="52" t="s">
        <v>78</v>
      </c>
      <c r="T81" s="137"/>
    </row>
    <row r="82" spans="1:20" ht="12" customHeight="1" x14ac:dyDescent="0.2">
      <c r="A82" s="47">
        <v>46015</v>
      </c>
      <c r="B82" s="57" t="s">
        <v>964</v>
      </c>
      <c r="C82" s="15">
        <v>42085517</v>
      </c>
      <c r="D82" s="52" t="s">
        <v>963</v>
      </c>
      <c r="E82" s="52" t="s">
        <v>65</v>
      </c>
      <c r="F82" s="52" t="s">
        <v>98</v>
      </c>
      <c r="G82" s="52" t="s">
        <v>97</v>
      </c>
      <c r="H82" s="3" t="s">
        <v>962</v>
      </c>
      <c r="I82" s="61">
        <v>660008</v>
      </c>
      <c r="J82" s="15" t="s">
        <v>961</v>
      </c>
      <c r="K82" s="12" t="s">
        <v>960</v>
      </c>
      <c r="L82" s="12" t="s">
        <v>1231</v>
      </c>
      <c r="M82" s="127" t="s">
        <v>121</v>
      </c>
      <c r="N82" s="100">
        <v>100000</v>
      </c>
      <c r="O82" s="101" t="s">
        <v>966</v>
      </c>
      <c r="P82" s="15" t="s">
        <v>1</v>
      </c>
      <c r="Q82" s="3" t="s">
        <v>153</v>
      </c>
      <c r="R82" s="1" t="s">
        <v>0</v>
      </c>
      <c r="S82" s="52" t="s">
        <v>78</v>
      </c>
      <c r="T82" s="137"/>
    </row>
    <row r="83" spans="1:20" ht="12" customHeight="1" x14ac:dyDescent="0.2">
      <c r="A83" s="47">
        <v>46022</v>
      </c>
      <c r="B83" s="57" t="s">
        <v>964</v>
      </c>
      <c r="C83" s="15">
        <v>42085517</v>
      </c>
      <c r="D83" s="52" t="s">
        <v>963</v>
      </c>
      <c r="E83" s="52" t="s">
        <v>65</v>
      </c>
      <c r="F83" s="52" t="s">
        <v>98</v>
      </c>
      <c r="G83" s="52" t="s">
        <v>97</v>
      </c>
      <c r="H83" s="3" t="s">
        <v>962</v>
      </c>
      <c r="I83" s="61">
        <v>660008</v>
      </c>
      <c r="J83" s="15" t="s">
        <v>961</v>
      </c>
      <c r="K83" s="12" t="s">
        <v>960</v>
      </c>
      <c r="L83" s="12" t="s">
        <v>1231</v>
      </c>
      <c r="M83" s="58" t="s">
        <v>108</v>
      </c>
      <c r="N83" s="13">
        <v>100000</v>
      </c>
      <c r="O83" s="14" t="s">
        <v>965</v>
      </c>
      <c r="P83" s="15" t="s">
        <v>1</v>
      </c>
      <c r="Q83" s="3" t="s">
        <v>153</v>
      </c>
      <c r="R83" s="1" t="s">
        <v>0</v>
      </c>
      <c r="S83" s="52" t="s">
        <v>78</v>
      </c>
      <c r="T83" s="137"/>
    </row>
    <row r="84" spans="1:20" ht="12" customHeight="1" x14ac:dyDescent="0.2">
      <c r="A84" s="47">
        <v>46129</v>
      </c>
      <c r="B84" s="57" t="s">
        <v>964</v>
      </c>
      <c r="C84" s="15">
        <v>42085517</v>
      </c>
      <c r="D84" s="52" t="s">
        <v>963</v>
      </c>
      <c r="E84" s="52" t="s">
        <v>65</v>
      </c>
      <c r="F84" s="52" t="s">
        <v>98</v>
      </c>
      <c r="G84" s="52" t="s">
        <v>97</v>
      </c>
      <c r="H84" s="3" t="s">
        <v>962</v>
      </c>
      <c r="I84" s="61">
        <v>660008</v>
      </c>
      <c r="J84" s="15" t="s">
        <v>961</v>
      </c>
      <c r="K84" s="12" t="s">
        <v>960</v>
      </c>
      <c r="L84" s="12" t="s">
        <v>1231</v>
      </c>
      <c r="M84" s="125" t="s">
        <v>84</v>
      </c>
      <c r="N84" s="13">
        <v>0</v>
      </c>
      <c r="O84" s="14" t="s">
        <v>81</v>
      </c>
      <c r="P84" s="15" t="s">
        <v>68</v>
      </c>
      <c r="Q84" s="3" t="s">
        <v>153</v>
      </c>
      <c r="R84" s="1" t="s">
        <v>0</v>
      </c>
      <c r="S84" s="52" t="s">
        <v>78</v>
      </c>
      <c r="T84" s="137"/>
    </row>
    <row r="85" spans="1:20" ht="12" customHeight="1" x14ac:dyDescent="0.2">
      <c r="A85" s="47">
        <v>46129</v>
      </c>
      <c r="B85" s="57" t="s">
        <v>964</v>
      </c>
      <c r="C85" s="15">
        <v>42085517</v>
      </c>
      <c r="D85" s="52" t="s">
        <v>963</v>
      </c>
      <c r="E85" s="52" t="s">
        <v>65</v>
      </c>
      <c r="F85" s="52" t="s">
        <v>98</v>
      </c>
      <c r="G85" s="52" t="s">
        <v>97</v>
      </c>
      <c r="H85" s="3" t="s">
        <v>962</v>
      </c>
      <c r="I85" s="61">
        <v>660008</v>
      </c>
      <c r="J85" s="15" t="s">
        <v>961</v>
      </c>
      <c r="K85" s="12" t="s">
        <v>960</v>
      </c>
      <c r="L85" s="12" t="s">
        <v>1231</v>
      </c>
      <c r="M85" s="125" t="s">
        <v>74</v>
      </c>
      <c r="N85" s="13">
        <v>0</v>
      </c>
      <c r="O85" s="14" t="s">
        <v>81</v>
      </c>
      <c r="P85" s="15" t="s">
        <v>68</v>
      </c>
      <c r="Q85" s="3" t="s">
        <v>153</v>
      </c>
      <c r="R85" s="1" t="s">
        <v>0</v>
      </c>
      <c r="S85" s="52" t="s">
        <v>78</v>
      </c>
      <c r="T85" s="137"/>
    </row>
    <row r="86" spans="1:20" ht="12" customHeight="1" x14ac:dyDescent="0.2">
      <c r="A86" s="47">
        <v>46129</v>
      </c>
      <c r="B86" s="57" t="s">
        <v>964</v>
      </c>
      <c r="C86" s="15">
        <v>42085517</v>
      </c>
      <c r="D86" s="52" t="s">
        <v>963</v>
      </c>
      <c r="E86" s="52" t="s">
        <v>65</v>
      </c>
      <c r="F86" s="52" t="s">
        <v>98</v>
      </c>
      <c r="G86" s="52" t="s">
        <v>97</v>
      </c>
      <c r="H86" s="3" t="s">
        <v>962</v>
      </c>
      <c r="I86" s="61">
        <v>660008</v>
      </c>
      <c r="J86" s="15" t="s">
        <v>961</v>
      </c>
      <c r="K86" s="12" t="s">
        <v>960</v>
      </c>
      <c r="L86" s="12" t="s">
        <v>1231</v>
      </c>
      <c r="M86" s="125" t="s">
        <v>47</v>
      </c>
      <c r="N86" s="13">
        <v>200000</v>
      </c>
      <c r="O86" s="14" t="s">
        <v>959</v>
      </c>
      <c r="P86" s="15" t="s">
        <v>1</v>
      </c>
      <c r="Q86" s="3" t="s">
        <v>153</v>
      </c>
      <c r="R86" s="1" t="s">
        <v>0</v>
      </c>
      <c r="S86" s="52" t="s">
        <v>78</v>
      </c>
      <c r="T86" s="137"/>
    </row>
    <row r="87" spans="1:20" ht="12" customHeight="1" x14ac:dyDescent="0.2">
      <c r="A87" s="47">
        <v>45966</v>
      </c>
      <c r="B87" s="57" t="s">
        <v>958</v>
      </c>
      <c r="C87" s="15">
        <v>4612227</v>
      </c>
      <c r="D87" s="52" t="s">
        <v>957</v>
      </c>
      <c r="E87" s="52" t="s">
        <v>65</v>
      </c>
      <c r="F87" s="52" t="s">
        <v>338</v>
      </c>
      <c r="G87" s="52" t="s">
        <v>206</v>
      </c>
      <c r="H87" s="3" t="s">
        <v>1130</v>
      </c>
      <c r="I87" s="61">
        <v>190007</v>
      </c>
      <c r="J87" s="15" t="s">
        <v>956</v>
      </c>
      <c r="K87" s="12" t="s">
        <v>955</v>
      </c>
      <c r="L87" s="12" t="s">
        <v>1232</v>
      </c>
      <c r="M87" s="58" t="s">
        <v>2</v>
      </c>
      <c r="N87" s="13">
        <v>100000</v>
      </c>
      <c r="O87" s="14" t="s">
        <v>954</v>
      </c>
      <c r="P87" s="15" t="s">
        <v>106</v>
      </c>
      <c r="Q87" s="3" t="s">
        <v>153</v>
      </c>
      <c r="R87" s="1" t="s">
        <v>0</v>
      </c>
      <c r="S87" s="52" t="s">
        <v>78</v>
      </c>
      <c r="T87" s="137"/>
    </row>
    <row r="88" spans="1:20" ht="12" customHeight="1" x14ac:dyDescent="0.2">
      <c r="A88" s="60">
        <v>46147</v>
      </c>
      <c r="B88" s="57" t="s">
        <v>952</v>
      </c>
      <c r="C88" s="15" t="s">
        <v>951</v>
      </c>
      <c r="D88" s="52" t="s">
        <v>950</v>
      </c>
      <c r="E88" s="52" t="s">
        <v>99</v>
      </c>
      <c r="F88" s="52" t="s">
        <v>949</v>
      </c>
      <c r="G88" s="52" t="s">
        <v>948</v>
      </c>
      <c r="H88" s="3" t="s">
        <v>1131</v>
      </c>
      <c r="I88" s="61" t="s">
        <v>1132</v>
      </c>
      <c r="J88" s="15" t="s">
        <v>947</v>
      </c>
      <c r="K88" s="12" t="s">
        <v>946</v>
      </c>
      <c r="L88" s="12" t="s">
        <v>1233</v>
      </c>
      <c r="M88" s="58" t="s">
        <v>105</v>
      </c>
      <c r="N88" s="13">
        <v>100000</v>
      </c>
      <c r="O88" s="61" t="s">
        <v>953</v>
      </c>
      <c r="P88" s="15" t="s">
        <v>3</v>
      </c>
      <c r="Q88" s="3" t="s">
        <v>153</v>
      </c>
      <c r="R88" s="1" t="s">
        <v>0</v>
      </c>
      <c r="S88" s="52" t="s">
        <v>78</v>
      </c>
      <c r="T88" s="137"/>
    </row>
    <row r="89" spans="1:20" ht="12" customHeight="1" x14ac:dyDescent="0.2">
      <c r="A89" s="60">
        <v>46148.421400462961</v>
      </c>
      <c r="B89" s="57" t="s">
        <v>952</v>
      </c>
      <c r="C89" s="15" t="s">
        <v>951</v>
      </c>
      <c r="D89" s="52" t="s">
        <v>950</v>
      </c>
      <c r="E89" s="52" t="s">
        <v>99</v>
      </c>
      <c r="F89" s="52" t="s">
        <v>949</v>
      </c>
      <c r="G89" s="52" t="s">
        <v>948</v>
      </c>
      <c r="H89" s="3" t="s">
        <v>1131</v>
      </c>
      <c r="I89" s="61" t="s">
        <v>1132</v>
      </c>
      <c r="J89" s="15" t="s">
        <v>947</v>
      </c>
      <c r="K89" s="12" t="s">
        <v>946</v>
      </c>
      <c r="L89" s="12" t="s">
        <v>1233</v>
      </c>
      <c r="M89" s="58" t="s">
        <v>84</v>
      </c>
      <c r="N89" s="13">
        <v>0</v>
      </c>
      <c r="O89" s="14" t="s">
        <v>81</v>
      </c>
      <c r="P89" s="15" t="s">
        <v>68</v>
      </c>
      <c r="Q89" s="3" t="s">
        <v>153</v>
      </c>
      <c r="R89" s="1" t="s">
        <v>0</v>
      </c>
      <c r="S89" s="52" t="s">
        <v>78</v>
      </c>
      <c r="T89" s="137"/>
    </row>
    <row r="90" spans="1:20" ht="12" customHeight="1" x14ac:dyDescent="0.2">
      <c r="A90" s="47">
        <v>45888.884722222225</v>
      </c>
      <c r="B90" s="57" t="s">
        <v>936</v>
      </c>
      <c r="C90" s="15">
        <v>42081364</v>
      </c>
      <c r="D90" s="52" t="s">
        <v>935</v>
      </c>
      <c r="E90" s="52" t="s">
        <v>65</v>
      </c>
      <c r="F90" s="52" t="s">
        <v>98</v>
      </c>
      <c r="G90" s="52" t="s">
        <v>97</v>
      </c>
      <c r="H90" s="3" t="s">
        <v>934</v>
      </c>
      <c r="I90" s="61">
        <v>660007</v>
      </c>
      <c r="J90" s="15" t="s">
        <v>933</v>
      </c>
      <c r="K90" s="12" t="s">
        <v>932</v>
      </c>
      <c r="L90" s="12" t="s">
        <v>1234</v>
      </c>
      <c r="M90" s="130" t="s">
        <v>717</v>
      </c>
      <c r="N90" s="102">
        <v>200000</v>
      </c>
      <c r="O90" s="103" t="s">
        <v>945</v>
      </c>
      <c r="P90" s="15" t="s">
        <v>1</v>
      </c>
      <c r="Q90" s="3" t="s">
        <v>153</v>
      </c>
      <c r="R90" s="1" t="s">
        <v>0</v>
      </c>
      <c r="S90" s="52" t="s">
        <v>78</v>
      </c>
      <c r="T90" s="137"/>
    </row>
    <row r="91" spans="1:20" ht="12" customHeight="1" x14ac:dyDescent="0.2">
      <c r="A91" s="47">
        <v>45932</v>
      </c>
      <c r="B91" s="57" t="s">
        <v>936</v>
      </c>
      <c r="C91" s="15">
        <v>42081364</v>
      </c>
      <c r="D91" s="52" t="s">
        <v>935</v>
      </c>
      <c r="E91" s="52" t="s">
        <v>65</v>
      </c>
      <c r="F91" s="52" t="s">
        <v>98</v>
      </c>
      <c r="G91" s="52" t="s">
        <v>97</v>
      </c>
      <c r="H91" s="3" t="s">
        <v>934</v>
      </c>
      <c r="I91" s="61">
        <v>660007</v>
      </c>
      <c r="J91" s="15" t="s">
        <v>933</v>
      </c>
      <c r="K91" s="12" t="s">
        <v>932</v>
      </c>
      <c r="L91" s="12" t="s">
        <v>1234</v>
      </c>
      <c r="M91" s="127" t="s">
        <v>944</v>
      </c>
      <c r="N91" s="100">
        <v>100000</v>
      </c>
      <c r="O91" s="101" t="s">
        <v>943</v>
      </c>
      <c r="P91" s="15" t="s">
        <v>1</v>
      </c>
      <c r="Q91" s="3" t="s">
        <v>153</v>
      </c>
      <c r="R91" s="1" t="s">
        <v>0</v>
      </c>
      <c r="S91" s="52" t="s">
        <v>78</v>
      </c>
      <c r="T91" s="137"/>
    </row>
    <row r="92" spans="1:20" ht="12" customHeight="1" x14ac:dyDescent="0.2">
      <c r="A92" s="47">
        <v>45943</v>
      </c>
      <c r="B92" s="57" t="s">
        <v>936</v>
      </c>
      <c r="C92" s="15">
        <v>42081364</v>
      </c>
      <c r="D92" s="52" t="s">
        <v>935</v>
      </c>
      <c r="E92" s="52" t="s">
        <v>65</v>
      </c>
      <c r="F92" s="52" t="s">
        <v>98</v>
      </c>
      <c r="G92" s="52" t="s">
        <v>97</v>
      </c>
      <c r="H92" s="3" t="s">
        <v>934</v>
      </c>
      <c r="I92" s="61">
        <v>660007</v>
      </c>
      <c r="J92" s="15" t="s">
        <v>933</v>
      </c>
      <c r="K92" s="12" t="s">
        <v>932</v>
      </c>
      <c r="L92" s="12" t="s">
        <v>1234</v>
      </c>
      <c r="M92" s="58" t="s">
        <v>2</v>
      </c>
      <c r="N92" s="13">
        <v>100000</v>
      </c>
      <c r="O92" s="14" t="s">
        <v>942</v>
      </c>
      <c r="P92" s="15" t="s">
        <v>1</v>
      </c>
      <c r="Q92" s="3" t="s">
        <v>153</v>
      </c>
      <c r="R92" s="1" t="s">
        <v>0</v>
      </c>
      <c r="S92" s="52" t="s">
        <v>78</v>
      </c>
      <c r="T92" s="137"/>
    </row>
    <row r="93" spans="1:20" ht="12" customHeight="1" x14ac:dyDescent="0.2">
      <c r="A93" s="47">
        <v>46014</v>
      </c>
      <c r="B93" s="57" t="s">
        <v>936</v>
      </c>
      <c r="C93" s="15">
        <v>42081364</v>
      </c>
      <c r="D93" s="52" t="s">
        <v>935</v>
      </c>
      <c r="E93" s="52" t="s">
        <v>65</v>
      </c>
      <c r="F93" s="52" t="s">
        <v>98</v>
      </c>
      <c r="G93" s="52" t="s">
        <v>97</v>
      </c>
      <c r="H93" s="3" t="s">
        <v>934</v>
      </c>
      <c r="I93" s="61">
        <v>660007</v>
      </c>
      <c r="J93" s="15" t="s">
        <v>933</v>
      </c>
      <c r="K93" s="12" t="s">
        <v>932</v>
      </c>
      <c r="L93" s="12" t="s">
        <v>1234</v>
      </c>
      <c r="M93" s="130" t="s">
        <v>112</v>
      </c>
      <c r="N93" s="102">
        <v>200000</v>
      </c>
      <c r="O93" s="103" t="s">
        <v>941</v>
      </c>
      <c r="P93" s="15" t="s">
        <v>1</v>
      </c>
      <c r="Q93" s="3" t="s">
        <v>153</v>
      </c>
      <c r="R93" s="1" t="s">
        <v>0</v>
      </c>
      <c r="S93" s="52" t="s">
        <v>78</v>
      </c>
      <c r="T93" s="137"/>
    </row>
    <row r="94" spans="1:20" ht="12" customHeight="1" x14ac:dyDescent="0.2">
      <c r="A94" s="47">
        <v>46022</v>
      </c>
      <c r="B94" s="57" t="s">
        <v>936</v>
      </c>
      <c r="C94" s="15">
        <v>42081364</v>
      </c>
      <c r="D94" s="52" t="s">
        <v>935</v>
      </c>
      <c r="E94" s="52" t="s">
        <v>65</v>
      </c>
      <c r="F94" s="52" t="s">
        <v>98</v>
      </c>
      <c r="G94" s="52" t="s">
        <v>97</v>
      </c>
      <c r="H94" s="3" t="s">
        <v>934</v>
      </c>
      <c r="I94" s="61">
        <v>660007</v>
      </c>
      <c r="J94" s="15" t="s">
        <v>933</v>
      </c>
      <c r="K94" s="12" t="s">
        <v>932</v>
      </c>
      <c r="L94" s="12" t="s">
        <v>1234</v>
      </c>
      <c r="M94" s="127" t="s">
        <v>112</v>
      </c>
      <c r="N94" s="100">
        <v>300000</v>
      </c>
      <c r="O94" s="101" t="s">
        <v>940</v>
      </c>
      <c r="P94" s="15" t="s">
        <v>1</v>
      </c>
      <c r="Q94" s="3" t="s">
        <v>153</v>
      </c>
      <c r="R94" s="1" t="s">
        <v>0</v>
      </c>
      <c r="S94" s="52" t="s">
        <v>78</v>
      </c>
      <c r="T94" s="137"/>
    </row>
    <row r="95" spans="1:20" ht="12" customHeight="1" x14ac:dyDescent="0.2">
      <c r="A95" s="47">
        <v>46055</v>
      </c>
      <c r="B95" s="57" t="s">
        <v>936</v>
      </c>
      <c r="C95" s="15">
        <v>42081364</v>
      </c>
      <c r="D95" s="52" t="s">
        <v>935</v>
      </c>
      <c r="E95" s="52" t="s">
        <v>65</v>
      </c>
      <c r="F95" s="52" t="s">
        <v>98</v>
      </c>
      <c r="G95" s="52" t="s">
        <v>97</v>
      </c>
      <c r="H95" s="3" t="s">
        <v>934</v>
      </c>
      <c r="I95" s="61">
        <v>660007</v>
      </c>
      <c r="J95" s="15" t="s">
        <v>933</v>
      </c>
      <c r="K95" s="12" t="s">
        <v>932</v>
      </c>
      <c r="L95" s="12" t="s">
        <v>1234</v>
      </c>
      <c r="M95" s="58" t="s">
        <v>5</v>
      </c>
      <c r="N95" s="13">
        <v>150000</v>
      </c>
      <c r="O95" s="14" t="s">
        <v>939</v>
      </c>
      <c r="P95" s="15" t="s">
        <v>1</v>
      </c>
      <c r="Q95" s="3" t="s">
        <v>153</v>
      </c>
      <c r="R95" s="1" t="s">
        <v>0</v>
      </c>
      <c r="S95" s="52" t="s">
        <v>78</v>
      </c>
      <c r="T95" s="137"/>
    </row>
    <row r="96" spans="1:20" ht="12" customHeight="1" x14ac:dyDescent="0.2">
      <c r="A96" s="55">
        <v>46125</v>
      </c>
      <c r="B96" s="57" t="s">
        <v>936</v>
      </c>
      <c r="C96" s="15">
        <v>42081364</v>
      </c>
      <c r="D96" s="52" t="s">
        <v>935</v>
      </c>
      <c r="E96" s="52" t="s">
        <v>65</v>
      </c>
      <c r="F96" s="52" t="s">
        <v>98</v>
      </c>
      <c r="G96" s="52" t="s">
        <v>97</v>
      </c>
      <c r="H96" s="3" t="s">
        <v>934</v>
      </c>
      <c r="I96" s="61">
        <v>660007</v>
      </c>
      <c r="J96" s="15" t="s">
        <v>933</v>
      </c>
      <c r="K96" s="12" t="s">
        <v>932</v>
      </c>
      <c r="L96" s="12" t="s">
        <v>1234</v>
      </c>
      <c r="M96" s="58" t="s">
        <v>2</v>
      </c>
      <c r="N96" s="13">
        <v>100000</v>
      </c>
      <c r="O96" s="12" t="s">
        <v>938</v>
      </c>
      <c r="P96" s="15" t="s">
        <v>1</v>
      </c>
      <c r="Q96" s="3" t="s">
        <v>153</v>
      </c>
      <c r="R96" s="1" t="s">
        <v>0</v>
      </c>
      <c r="S96" s="52" t="s">
        <v>78</v>
      </c>
      <c r="T96" s="137"/>
    </row>
    <row r="97" spans="1:20" ht="12" customHeight="1" x14ac:dyDescent="0.2">
      <c r="A97" s="47">
        <v>46125.469930555555</v>
      </c>
      <c r="B97" s="57" t="s">
        <v>936</v>
      </c>
      <c r="C97" s="15">
        <v>42081364</v>
      </c>
      <c r="D97" s="52" t="s">
        <v>935</v>
      </c>
      <c r="E97" s="52" t="s">
        <v>65</v>
      </c>
      <c r="F97" s="52" t="s">
        <v>98</v>
      </c>
      <c r="G97" s="52" t="s">
        <v>97</v>
      </c>
      <c r="H97" s="3" t="s">
        <v>934</v>
      </c>
      <c r="I97" s="61">
        <v>660007</v>
      </c>
      <c r="J97" s="15" t="s">
        <v>933</v>
      </c>
      <c r="K97" s="12" t="s">
        <v>932</v>
      </c>
      <c r="L97" s="12" t="s">
        <v>1234</v>
      </c>
      <c r="M97" s="125" t="s">
        <v>51</v>
      </c>
      <c r="N97" s="13">
        <v>0</v>
      </c>
      <c r="O97" s="14" t="s">
        <v>81</v>
      </c>
      <c r="P97" s="15" t="s">
        <v>68</v>
      </c>
      <c r="Q97" s="3" t="s">
        <v>153</v>
      </c>
      <c r="R97" s="1" t="s">
        <v>0</v>
      </c>
      <c r="S97" s="52" t="s">
        <v>78</v>
      </c>
      <c r="T97" s="137"/>
    </row>
    <row r="98" spans="1:20" ht="12" customHeight="1" x14ac:dyDescent="0.2">
      <c r="A98" s="47">
        <v>46129</v>
      </c>
      <c r="B98" s="57" t="s">
        <v>936</v>
      </c>
      <c r="C98" s="15">
        <v>42081364</v>
      </c>
      <c r="D98" s="52" t="s">
        <v>935</v>
      </c>
      <c r="E98" s="52" t="s">
        <v>65</v>
      </c>
      <c r="F98" s="52" t="s">
        <v>98</v>
      </c>
      <c r="G98" s="52" t="s">
        <v>97</v>
      </c>
      <c r="H98" s="3" t="s">
        <v>934</v>
      </c>
      <c r="I98" s="61">
        <v>660007</v>
      </c>
      <c r="J98" s="15" t="s">
        <v>933</v>
      </c>
      <c r="K98" s="12" t="s">
        <v>932</v>
      </c>
      <c r="L98" s="12" t="s">
        <v>1234</v>
      </c>
      <c r="M98" s="125" t="s">
        <v>47</v>
      </c>
      <c r="N98" s="13">
        <v>200000</v>
      </c>
      <c r="O98" s="14" t="s">
        <v>937</v>
      </c>
      <c r="P98" s="15" t="s">
        <v>1</v>
      </c>
      <c r="Q98" s="3" t="s">
        <v>153</v>
      </c>
      <c r="R98" s="1" t="s">
        <v>0</v>
      </c>
      <c r="S98" s="52" t="s">
        <v>78</v>
      </c>
      <c r="T98" s="137"/>
    </row>
    <row r="99" spans="1:20" ht="12" customHeight="1" x14ac:dyDescent="0.2">
      <c r="A99" s="47">
        <v>46130</v>
      </c>
      <c r="B99" s="57" t="s">
        <v>936</v>
      </c>
      <c r="C99" s="15">
        <v>42081364</v>
      </c>
      <c r="D99" s="52" t="s">
        <v>935</v>
      </c>
      <c r="E99" s="52" t="s">
        <v>65</v>
      </c>
      <c r="F99" s="52" t="s">
        <v>98</v>
      </c>
      <c r="G99" s="52" t="s">
        <v>97</v>
      </c>
      <c r="H99" s="3" t="s">
        <v>934</v>
      </c>
      <c r="I99" s="61">
        <v>660007</v>
      </c>
      <c r="J99" s="15" t="s">
        <v>933</v>
      </c>
      <c r="K99" s="12" t="s">
        <v>932</v>
      </c>
      <c r="L99" s="12" t="s">
        <v>1234</v>
      </c>
      <c r="M99" s="125" t="s">
        <v>8</v>
      </c>
      <c r="N99" s="13">
        <v>0</v>
      </c>
      <c r="O99" s="14" t="s">
        <v>81</v>
      </c>
      <c r="P99" s="15" t="s">
        <v>68</v>
      </c>
      <c r="Q99" s="3" t="s">
        <v>153</v>
      </c>
      <c r="R99" s="1" t="s">
        <v>0</v>
      </c>
      <c r="S99" s="52" t="s">
        <v>78</v>
      </c>
      <c r="T99" s="137"/>
    </row>
    <row r="100" spans="1:20" ht="12" customHeight="1" x14ac:dyDescent="0.2">
      <c r="A100" s="47">
        <v>46130</v>
      </c>
      <c r="B100" s="57" t="s">
        <v>936</v>
      </c>
      <c r="C100" s="15">
        <v>42081364</v>
      </c>
      <c r="D100" s="52" t="s">
        <v>935</v>
      </c>
      <c r="E100" s="52" t="s">
        <v>65</v>
      </c>
      <c r="F100" s="52" t="s">
        <v>98</v>
      </c>
      <c r="G100" s="52" t="s">
        <v>97</v>
      </c>
      <c r="H100" s="3" t="s">
        <v>934</v>
      </c>
      <c r="I100" s="61">
        <v>660007</v>
      </c>
      <c r="J100" s="15" t="s">
        <v>933</v>
      </c>
      <c r="K100" s="12" t="s">
        <v>932</v>
      </c>
      <c r="L100" s="12" t="s">
        <v>1234</v>
      </c>
      <c r="M100" s="125" t="s">
        <v>79</v>
      </c>
      <c r="N100" s="13">
        <v>0</v>
      </c>
      <c r="O100" s="14" t="s">
        <v>81</v>
      </c>
      <c r="P100" s="15" t="s">
        <v>68</v>
      </c>
      <c r="Q100" s="3" t="s">
        <v>153</v>
      </c>
      <c r="R100" s="1" t="s">
        <v>0</v>
      </c>
      <c r="S100" s="52" t="s">
        <v>78</v>
      </c>
      <c r="T100" s="137"/>
    </row>
    <row r="101" spans="1:20" ht="12" customHeight="1" x14ac:dyDescent="0.2">
      <c r="A101" s="47">
        <v>45725.485819872687</v>
      </c>
      <c r="B101" s="57" t="s">
        <v>920</v>
      </c>
      <c r="C101" s="15">
        <v>34566045</v>
      </c>
      <c r="D101" s="52" t="s">
        <v>919</v>
      </c>
      <c r="E101" s="52" t="s">
        <v>65</v>
      </c>
      <c r="F101" s="52" t="s">
        <v>164</v>
      </c>
      <c r="G101" s="52" t="s">
        <v>206</v>
      </c>
      <c r="H101" s="3" t="s">
        <v>918</v>
      </c>
      <c r="I101" s="61">
        <v>190008</v>
      </c>
      <c r="J101" s="15" t="s">
        <v>917</v>
      </c>
      <c r="K101" s="12" t="s">
        <v>916</v>
      </c>
      <c r="L101" s="12" t="s">
        <v>1235</v>
      </c>
      <c r="M101" s="58" t="s">
        <v>8</v>
      </c>
      <c r="N101" s="13">
        <v>100000</v>
      </c>
      <c r="O101" s="14" t="s">
        <v>931</v>
      </c>
      <c r="P101" s="15" t="s">
        <v>1</v>
      </c>
      <c r="Q101" s="3" t="s">
        <v>153</v>
      </c>
      <c r="R101" s="1" t="s">
        <v>0</v>
      </c>
      <c r="S101" s="52" t="s">
        <v>78</v>
      </c>
      <c r="T101" s="137"/>
    </row>
    <row r="102" spans="1:20" ht="12" customHeight="1" x14ac:dyDescent="0.2">
      <c r="A102" s="47">
        <v>45725.485819872687</v>
      </c>
      <c r="B102" s="57" t="s">
        <v>920</v>
      </c>
      <c r="C102" s="15">
        <v>34566045</v>
      </c>
      <c r="D102" s="52" t="s">
        <v>919</v>
      </c>
      <c r="E102" s="52" t="s">
        <v>65</v>
      </c>
      <c r="F102" s="52" t="s">
        <v>164</v>
      </c>
      <c r="G102" s="52" t="s">
        <v>206</v>
      </c>
      <c r="H102" s="3" t="s">
        <v>918</v>
      </c>
      <c r="I102" s="61">
        <v>190008</v>
      </c>
      <c r="J102" s="15" t="s">
        <v>917</v>
      </c>
      <c r="K102" s="12" t="s">
        <v>916</v>
      </c>
      <c r="L102" s="12" t="s">
        <v>1235</v>
      </c>
      <c r="M102" s="129" t="s">
        <v>180</v>
      </c>
      <c r="N102" s="13">
        <v>20000</v>
      </c>
      <c r="O102" s="14" t="s">
        <v>930</v>
      </c>
      <c r="P102" s="15" t="s">
        <v>1</v>
      </c>
      <c r="Q102" s="3" t="s">
        <v>153</v>
      </c>
      <c r="R102" s="1" t="s">
        <v>0</v>
      </c>
      <c r="S102" s="52" t="s">
        <v>78</v>
      </c>
      <c r="T102" s="137"/>
    </row>
    <row r="103" spans="1:20" ht="12" customHeight="1" x14ac:dyDescent="0.2">
      <c r="A103" s="47">
        <v>45851</v>
      </c>
      <c r="B103" s="57" t="s">
        <v>920</v>
      </c>
      <c r="C103" s="15">
        <v>34566045</v>
      </c>
      <c r="D103" s="52" t="s">
        <v>919</v>
      </c>
      <c r="E103" s="52" t="s">
        <v>65</v>
      </c>
      <c r="F103" s="52" t="s">
        <v>164</v>
      </c>
      <c r="G103" s="52" t="s">
        <v>206</v>
      </c>
      <c r="H103" s="3" t="s">
        <v>918</v>
      </c>
      <c r="I103" s="61">
        <v>190008</v>
      </c>
      <c r="J103" s="15" t="s">
        <v>917</v>
      </c>
      <c r="K103" s="12" t="s">
        <v>916</v>
      </c>
      <c r="L103" s="12" t="s">
        <v>1235</v>
      </c>
      <c r="M103" s="58" t="s">
        <v>108</v>
      </c>
      <c r="N103" s="13">
        <v>200000</v>
      </c>
      <c r="O103" s="14" t="s">
        <v>929</v>
      </c>
      <c r="P103" s="15" t="s">
        <v>3</v>
      </c>
      <c r="Q103" s="3" t="s">
        <v>153</v>
      </c>
      <c r="R103" s="1" t="s">
        <v>0</v>
      </c>
      <c r="S103" s="52" t="s">
        <v>78</v>
      </c>
      <c r="T103" s="137"/>
    </row>
    <row r="104" spans="1:20" ht="12" customHeight="1" x14ac:dyDescent="0.2">
      <c r="A104" s="47">
        <v>45876</v>
      </c>
      <c r="B104" s="57" t="s">
        <v>920</v>
      </c>
      <c r="C104" s="15">
        <v>34566045</v>
      </c>
      <c r="D104" s="52" t="s">
        <v>919</v>
      </c>
      <c r="E104" s="52" t="s">
        <v>65</v>
      </c>
      <c r="F104" s="52" t="s">
        <v>164</v>
      </c>
      <c r="G104" s="52" t="s">
        <v>206</v>
      </c>
      <c r="H104" s="3" t="s">
        <v>918</v>
      </c>
      <c r="I104" s="61">
        <v>190008</v>
      </c>
      <c r="J104" s="15" t="s">
        <v>917</v>
      </c>
      <c r="K104" s="12" t="s">
        <v>916</v>
      </c>
      <c r="L104" s="12" t="s">
        <v>1235</v>
      </c>
      <c r="M104" s="58" t="s">
        <v>84</v>
      </c>
      <c r="N104" s="13">
        <v>120000</v>
      </c>
      <c r="O104" s="14" t="s">
        <v>928</v>
      </c>
      <c r="P104" s="15" t="s">
        <v>3</v>
      </c>
      <c r="Q104" s="3" t="s">
        <v>153</v>
      </c>
      <c r="R104" s="1" t="s">
        <v>0</v>
      </c>
      <c r="S104" s="52" t="s">
        <v>78</v>
      </c>
      <c r="T104" s="137"/>
    </row>
    <row r="105" spans="1:20" ht="12" customHeight="1" x14ac:dyDescent="0.2">
      <c r="A105" s="47">
        <v>45906</v>
      </c>
      <c r="B105" s="57" t="s">
        <v>920</v>
      </c>
      <c r="C105" s="15">
        <v>34566045</v>
      </c>
      <c r="D105" s="52" t="s">
        <v>919</v>
      </c>
      <c r="E105" s="52" t="s">
        <v>65</v>
      </c>
      <c r="F105" s="52" t="s">
        <v>164</v>
      </c>
      <c r="G105" s="52" t="s">
        <v>206</v>
      </c>
      <c r="H105" s="3" t="s">
        <v>918</v>
      </c>
      <c r="I105" s="61">
        <v>190008</v>
      </c>
      <c r="J105" s="15" t="s">
        <v>917</v>
      </c>
      <c r="K105" s="12" t="s">
        <v>916</v>
      </c>
      <c r="L105" s="12" t="s">
        <v>1235</v>
      </c>
      <c r="M105" s="58" t="s">
        <v>623</v>
      </c>
      <c r="N105" s="13">
        <v>300000</v>
      </c>
      <c r="O105" s="14" t="s">
        <v>927</v>
      </c>
      <c r="P105" s="15" t="s">
        <v>1</v>
      </c>
      <c r="Q105" s="3" t="s">
        <v>153</v>
      </c>
      <c r="R105" s="1" t="s">
        <v>0</v>
      </c>
      <c r="S105" s="52" t="s">
        <v>78</v>
      </c>
      <c r="T105" s="137"/>
    </row>
    <row r="106" spans="1:20" ht="12" customHeight="1" x14ac:dyDescent="0.2">
      <c r="A106" s="47">
        <v>45930</v>
      </c>
      <c r="B106" s="57" t="s">
        <v>920</v>
      </c>
      <c r="C106" s="15">
        <v>34566045</v>
      </c>
      <c r="D106" s="52" t="s">
        <v>919</v>
      </c>
      <c r="E106" s="52" t="s">
        <v>65</v>
      </c>
      <c r="F106" s="52" t="s">
        <v>164</v>
      </c>
      <c r="G106" s="52" t="s">
        <v>206</v>
      </c>
      <c r="H106" s="3" t="s">
        <v>918</v>
      </c>
      <c r="I106" s="61">
        <v>190008</v>
      </c>
      <c r="J106" s="15" t="s">
        <v>917</v>
      </c>
      <c r="K106" s="12" t="s">
        <v>916</v>
      </c>
      <c r="L106" s="12" t="s">
        <v>1235</v>
      </c>
      <c r="M106" s="58" t="s">
        <v>6</v>
      </c>
      <c r="N106" s="13">
        <v>200000</v>
      </c>
      <c r="O106" s="14" t="s">
        <v>926</v>
      </c>
      <c r="P106" s="15" t="s">
        <v>1</v>
      </c>
      <c r="Q106" s="3" t="s">
        <v>153</v>
      </c>
      <c r="R106" s="1" t="s">
        <v>0</v>
      </c>
      <c r="S106" s="52" t="s">
        <v>78</v>
      </c>
      <c r="T106" s="137"/>
    </row>
    <row r="107" spans="1:20" ht="12" customHeight="1" x14ac:dyDescent="0.2">
      <c r="A107" s="47">
        <v>46022</v>
      </c>
      <c r="B107" s="57" t="s">
        <v>920</v>
      </c>
      <c r="C107" s="15">
        <v>34566045</v>
      </c>
      <c r="D107" s="52" t="s">
        <v>919</v>
      </c>
      <c r="E107" s="52" t="s">
        <v>65</v>
      </c>
      <c r="F107" s="52" t="s">
        <v>164</v>
      </c>
      <c r="G107" s="52" t="s">
        <v>206</v>
      </c>
      <c r="H107" s="3" t="s">
        <v>918</v>
      </c>
      <c r="I107" s="61">
        <v>190008</v>
      </c>
      <c r="J107" s="15" t="s">
        <v>917</v>
      </c>
      <c r="K107" s="12" t="s">
        <v>916</v>
      </c>
      <c r="L107" s="12" t="s">
        <v>1235</v>
      </c>
      <c r="M107" s="58" t="s">
        <v>112</v>
      </c>
      <c r="N107" s="13">
        <v>100000</v>
      </c>
      <c r="O107" s="14" t="s">
        <v>925</v>
      </c>
      <c r="P107" s="15" t="s">
        <v>3</v>
      </c>
      <c r="Q107" s="3" t="s">
        <v>153</v>
      </c>
      <c r="R107" s="1" t="s">
        <v>0</v>
      </c>
      <c r="S107" s="52" t="s">
        <v>78</v>
      </c>
      <c r="T107" s="137"/>
    </row>
    <row r="108" spans="1:20" ht="12" customHeight="1" x14ac:dyDescent="0.2">
      <c r="A108" s="47">
        <v>46055</v>
      </c>
      <c r="B108" s="57" t="s">
        <v>920</v>
      </c>
      <c r="C108" s="15">
        <v>34566045</v>
      </c>
      <c r="D108" s="52" t="s">
        <v>919</v>
      </c>
      <c r="E108" s="52" t="s">
        <v>65</v>
      </c>
      <c r="F108" s="52" t="s">
        <v>164</v>
      </c>
      <c r="G108" s="52" t="s">
        <v>206</v>
      </c>
      <c r="H108" s="3" t="s">
        <v>918</v>
      </c>
      <c r="I108" s="61">
        <v>190008</v>
      </c>
      <c r="J108" s="15" t="s">
        <v>917</v>
      </c>
      <c r="K108" s="12" t="s">
        <v>916</v>
      </c>
      <c r="L108" s="12" t="s">
        <v>1235</v>
      </c>
      <c r="M108" s="58" t="s">
        <v>85</v>
      </c>
      <c r="N108" s="13">
        <v>500000</v>
      </c>
      <c r="O108" s="14" t="s">
        <v>924</v>
      </c>
      <c r="P108" s="15" t="s">
        <v>1</v>
      </c>
      <c r="Q108" s="3" t="s">
        <v>153</v>
      </c>
      <c r="R108" s="1" t="s">
        <v>0</v>
      </c>
      <c r="S108" s="52" t="s">
        <v>78</v>
      </c>
      <c r="T108" s="137"/>
    </row>
    <row r="109" spans="1:20" ht="12" customHeight="1" x14ac:dyDescent="0.2">
      <c r="A109" s="60">
        <v>46067</v>
      </c>
      <c r="B109" s="57" t="s">
        <v>920</v>
      </c>
      <c r="C109" s="15">
        <v>34566045</v>
      </c>
      <c r="D109" s="52" t="s">
        <v>919</v>
      </c>
      <c r="E109" s="52" t="s">
        <v>65</v>
      </c>
      <c r="F109" s="52" t="s">
        <v>164</v>
      </c>
      <c r="G109" s="52" t="s">
        <v>206</v>
      </c>
      <c r="H109" s="3" t="s">
        <v>918</v>
      </c>
      <c r="I109" s="61">
        <v>190008</v>
      </c>
      <c r="J109" s="15" t="s">
        <v>917</v>
      </c>
      <c r="K109" s="12" t="s">
        <v>916</v>
      </c>
      <c r="L109" s="12" t="s">
        <v>1235</v>
      </c>
      <c r="M109" s="58" t="s">
        <v>85</v>
      </c>
      <c r="N109" s="13">
        <v>500000</v>
      </c>
      <c r="O109" s="14" t="s">
        <v>923</v>
      </c>
      <c r="P109" s="15" t="s">
        <v>52</v>
      </c>
      <c r="Q109" s="3" t="s">
        <v>153</v>
      </c>
      <c r="R109" s="1" t="s">
        <v>0</v>
      </c>
      <c r="S109" s="52" t="s">
        <v>78</v>
      </c>
      <c r="T109" s="137"/>
    </row>
    <row r="110" spans="1:20" ht="12" customHeight="1" x14ac:dyDescent="0.2">
      <c r="A110" s="55">
        <v>46110</v>
      </c>
      <c r="B110" s="57" t="s">
        <v>920</v>
      </c>
      <c r="C110" s="15">
        <v>34566045</v>
      </c>
      <c r="D110" s="52" t="s">
        <v>919</v>
      </c>
      <c r="E110" s="52" t="s">
        <v>65</v>
      </c>
      <c r="F110" s="52" t="s">
        <v>164</v>
      </c>
      <c r="G110" s="52" t="s">
        <v>206</v>
      </c>
      <c r="H110" s="3" t="s">
        <v>918</v>
      </c>
      <c r="I110" s="61">
        <v>190008</v>
      </c>
      <c r="J110" s="15" t="s">
        <v>917</v>
      </c>
      <c r="K110" s="12" t="s">
        <v>916</v>
      </c>
      <c r="L110" s="12" t="s">
        <v>1235</v>
      </c>
      <c r="M110" s="58" t="s">
        <v>47</v>
      </c>
      <c r="N110" s="13">
        <v>200000</v>
      </c>
      <c r="O110" s="12" t="s">
        <v>922</v>
      </c>
      <c r="P110" s="15" t="s">
        <v>1</v>
      </c>
      <c r="Q110" s="3" t="s">
        <v>153</v>
      </c>
      <c r="R110" s="1" t="s">
        <v>0</v>
      </c>
      <c r="S110" s="52" t="s">
        <v>78</v>
      </c>
      <c r="T110" s="137"/>
    </row>
    <row r="111" spans="1:20" ht="12" customHeight="1" x14ac:dyDescent="0.2">
      <c r="A111" s="60">
        <v>46141</v>
      </c>
      <c r="B111" s="57" t="s">
        <v>920</v>
      </c>
      <c r="C111" s="15">
        <v>34566045</v>
      </c>
      <c r="D111" s="52" t="s">
        <v>919</v>
      </c>
      <c r="E111" s="52" t="s">
        <v>65</v>
      </c>
      <c r="F111" s="52" t="s">
        <v>164</v>
      </c>
      <c r="G111" s="52" t="s">
        <v>206</v>
      </c>
      <c r="H111" s="3" t="s">
        <v>918</v>
      </c>
      <c r="I111" s="61">
        <v>190008</v>
      </c>
      <c r="J111" s="15" t="s">
        <v>917</v>
      </c>
      <c r="K111" s="12" t="s">
        <v>916</v>
      </c>
      <c r="L111" s="12" t="s">
        <v>1235</v>
      </c>
      <c r="M111" s="58" t="s">
        <v>82</v>
      </c>
      <c r="N111" s="13">
        <v>200000</v>
      </c>
      <c r="O111" s="61" t="s">
        <v>921</v>
      </c>
      <c r="P111" s="15" t="s">
        <v>3</v>
      </c>
      <c r="Q111" s="3" t="s">
        <v>153</v>
      </c>
      <c r="R111" s="1" t="s">
        <v>0</v>
      </c>
      <c r="S111" s="52" t="s">
        <v>78</v>
      </c>
      <c r="T111" s="137"/>
    </row>
    <row r="112" spans="1:20" ht="12" customHeight="1" x14ac:dyDescent="0.2">
      <c r="A112" s="55">
        <v>46141</v>
      </c>
      <c r="B112" s="57" t="s">
        <v>920</v>
      </c>
      <c r="C112" s="15">
        <v>34566045</v>
      </c>
      <c r="D112" s="52" t="s">
        <v>919</v>
      </c>
      <c r="E112" s="52" t="s">
        <v>65</v>
      </c>
      <c r="F112" s="52" t="s">
        <v>164</v>
      </c>
      <c r="G112" s="52" t="s">
        <v>206</v>
      </c>
      <c r="H112" s="3" t="s">
        <v>918</v>
      </c>
      <c r="I112" s="61">
        <v>190008</v>
      </c>
      <c r="J112" s="15" t="s">
        <v>917</v>
      </c>
      <c r="K112" s="12" t="s">
        <v>916</v>
      </c>
      <c r="L112" s="12" t="s">
        <v>1235</v>
      </c>
      <c r="M112" s="58" t="s">
        <v>85</v>
      </c>
      <c r="N112" s="13">
        <v>0</v>
      </c>
      <c r="O112" s="14" t="s">
        <v>81</v>
      </c>
      <c r="P112" s="15" t="s">
        <v>68</v>
      </c>
      <c r="Q112" s="3" t="s">
        <v>153</v>
      </c>
      <c r="R112" s="1" t="s">
        <v>0</v>
      </c>
      <c r="S112" s="52" t="s">
        <v>78</v>
      </c>
      <c r="T112" s="137"/>
    </row>
    <row r="113" spans="1:20" ht="12" customHeight="1" x14ac:dyDescent="0.2">
      <c r="A113" s="55">
        <v>46141</v>
      </c>
      <c r="B113" s="57" t="s">
        <v>920</v>
      </c>
      <c r="C113" s="15">
        <v>34566045</v>
      </c>
      <c r="D113" s="52" t="s">
        <v>919</v>
      </c>
      <c r="E113" s="52" t="s">
        <v>65</v>
      </c>
      <c r="F113" s="52" t="s">
        <v>164</v>
      </c>
      <c r="G113" s="52" t="s">
        <v>206</v>
      </c>
      <c r="H113" s="3" t="s">
        <v>918</v>
      </c>
      <c r="I113" s="61">
        <v>190008</v>
      </c>
      <c r="J113" s="15" t="s">
        <v>917</v>
      </c>
      <c r="K113" s="12" t="s">
        <v>916</v>
      </c>
      <c r="L113" s="12" t="s">
        <v>1235</v>
      </c>
      <c r="M113" s="58" t="s">
        <v>51</v>
      </c>
      <c r="N113" s="13">
        <v>0</v>
      </c>
      <c r="O113" s="14" t="s">
        <v>81</v>
      </c>
      <c r="P113" s="15" t="s">
        <v>68</v>
      </c>
      <c r="Q113" s="3" t="s">
        <v>153</v>
      </c>
      <c r="R113" s="1" t="s">
        <v>0</v>
      </c>
      <c r="S113" s="52" t="s">
        <v>78</v>
      </c>
      <c r="T113" s="137"/>
    </row>
    <row r="114" spans="1:20" ht="12" customHeight="1" x14ac:dyDescent="0.2">
      <c r="A114" s="47">
        <v>45932.754594907405</v>
      </c>
      <c r="B114" s="57" t="s">
        <v>915</v>
      </c>
      <c r="C114" s="15">
        <v>30337930</v>
      </c>
      <c r="D114" s="52" t="s">
        <v>68</v>
      </c>
      <c r="E114" s="52" t="s">
        <v>65</v>
      </c>
      <c r="F114" s="52" t="s">
        <v>294</v>
      </c>
      <c r="G114" s="52" t="s">
        <v>293</v>
      </c>
      <c r="H114" s="3" t="s">
        <v>1133</v>
      </c>
      <c r="I114" s="61">
        <v>170002</v>
      </c>
      <c r="J114" s="15" t="s">
        <v>914</v>
      </c>
      <c r="K114" s="12" t="s">
        <v>913</v>
      </c>
      <c r="L114" s="12" t="s">
        <v>1215</v>
      </c>
      <c r="M114" s="58" t="s">
        <v>102</v>
      </c>
      <c r="N114" s="13">
        <v>300000</v>
      </c>
      <c r="O114" s="14" t="s">
        <v>912</v>
      </c>
      <c r="P114" s="15" t="s">
        <v>3</v>
      </c>
      <c r="Q114" s="3" t="s">
        <v>153</v>
      </c>
      <c r="R114" s="1" t="s">
        <v>0</v>
      </c>
      <c r="S114" s="52" t="s">
        <v>68</v>
      </c>
      <c r="T114" s="137"/>
    </row>
    <row r="115" spans="1:20" ht="12" customHeight="1" x14ac:dyDescent="0.2">
      <c r="A115" s="47">
        <v>45888.767233796294</v>
      </c>
      <c r="B115" s="57" t="s">
        <v>910</v>
      </c>
      <c r="C115" s="15">
        <v>1053860357</v>
      </c>
      <c r="D115" s="52" t="s">
        <v>68</v>
      </c>
      <c r="E115" s="52" t="s">
        <v>65</v>
      </c>
      <c r="F115" s="52" t="s">
        <v>294</v>
      </c>
      <c r="G115" s="52" t="s">
        <v>293</v>
      </c>
      <c r="H115" s="3" t="s">
        <v>909</v>
      </c>
      <c r="I115" s="61">
        <v>170001</v>
      </c>
      <c r="J115" s="15" t="s">
        <v>908</v>
      </c>
      <c r="K115" s="12" t="s">
        <v>907</v>
      </c>
      <c r="L115" s="12" t="s">
        <v>1236</v>
      </c>
      <c r="M115" s="58" t="s">
        <v>84</v>
      </c>
      <c r="N115" s="13">
        <v>120000</v>
      </c>
      <c r="O115" s="14" t="s">
        <v>911</v>
      </c>
      <c r="P115" s="15" t="s">
        <v>3</v>
      </c>
      <c r="Q115" s="3" t="s">
        <v>153</v>
      </c>
      <c r="R115" s="1" t="s">
        <v>0</v>
      </c>
      <c r="S115" s="52" t="s">
        <v>68</v>
      </c>
      <c r="T115" s="137"/>
    </row>
    <row r="116" spans="1:20" ht="12" customHeight="1" x14ac:dyDescent="0.2">
      <c r="A116" s="47">
        <v>45888.767233796294</v>
      </c>
      <c r="B116" s="57" t="s">
        <v>910</v>
      </c>
      <c r="C116" s="15">
        <v>1053860357</v>
      </c>
      <c r="D116" s="52" t="s">
        <v>68</v>
      </c>
      <c r="E116" s="52" t="s">
        <v>65</v>
      </c>
      <c r="F116" s="52" t="s">
        <v>294</v>
      </c>
      <c r="G116" s="52" t="s">
        <v>293</v>
      </c>
      <c r="H116" s="3" t="s">
        <v>909</v>
      </c>
      <c r="I116" s="61">
        <v>170001</v>
      </c>
      <c r="J116" s="15" t="s">
        <v>908</v>
      </c>
      <c r="K116" s="12" t="s">
        <v>907</v>
      </c>
      <c r="L116" s="12" t="s">
        <v>1236</v>
      </c>
      <c r="M116" s="58" t="s">
        <v>2</v>
      </c>
      <c r="N116" s="13">
        <v>100000</v>
      </c>
      <c r="O116" s="14" t="s">
        <v>906</v>
      </c>
      <c r="P116" s="15" t="s">
        <v>1</v>
      </c>
      <c r="Q116" s="3" t="s">
        <v>153</v>
      </c>
      <c r="R116" s="1" t="s">
        <v>0</v>
      </c>
      <c r="S116" s="52" t="s">
        <v>68</v>
      </c>
      <c r="T116" s="137"/>
    </row>
    <row r="117" spans="1:20" ht="12" customHeight="1" x14ac:dyDescent="0.2">
      <c r="A117" s="47">
        <v>45805.787673611114</v>
      </c>
      <c r="B117" s="57" t="s">
        <v>904</v>
      </c>
      <c r="C117" s="15">
        <v>38847495</v>
      </c>
      <c r="D117" s="52" t="s">
        <v>903</v>
      </c>
      <c r="E117" s="52" t="s">
        <v>381</v>
      </c>
      <c r="F117" s="52" t="s">
        <v>380</v>
      </c>
      <c r="G117" s="52" t="s">
        <v>380</v>
      </c>
      <c r="H117" s="3" t="s">
        <v>379</v>
      </c>
      <c r="I117" s="61">
        <v>1648</v>
      </c>
      <c r="J117" s="15" t="s">
        <v>902</v>
      </c>
      <c r="K117" s="12" t="s">
        <v>901</v>
      </c>
      <c r="L117" s="12" t="s">
        <v>1237</v>
      </c>
      <c r="M117" s="58" t="s">
        <v>4</v>
      </c>
      <c r="N117" s="13">
        <v>200000</v>
      </c>
      <c r="O117" s="14" t="s">
        <v>905</v>
      </c>
      <c r="P117" s="15" t="s">
        <v>109</v>
      </c>
      <c r="Q117" s="3" t="s">
        <v>153</v>
      </c>
      <c r="R117" s="1" t="s">
        <v>0</v>
      </c>
      <c r="S117" s="52" t="s">
        <v>78</v>
      </c>
      <c r="T117" s="137"/>
    </row>
    <row r="118" spans="1:20" ht="12" customHeight="1" x14ac:dyDescent="0.2">
      <c r="A118" s="47">
        <v>45819.787673217594</v>
      </c>
      <c r="B118" s="57" t="s">
        <v>904</v>
      </c>
      <c r="C118" s="15">
        <v>38847495</v>
      </c>
      <c r="D118" s="52" t="s">
        <v>903</v>
      </c>
      <c r="E118" s="52" t="s">
        <v>381</v>
      </c>
      <c r="F118" s="52" t="s">
        <v>380</v>
      </c>
      <c r="G118" s="52" t="s">
        <v>380</v>
      </c>
      <c r="H118" s="3" t="s">
        <v>379</v>
      </c>
      <c r="I118" s="61">
        <v>1648</v>
      </c>
      <c r="J118" s="15" t="s">
        <v>902</v>
      </c>
      <c r="K118" s="12" t="s">
        <v>901</v>
      </c>
      <c r="L118" s="12" t="s">
        <v>1237</v>
      </c>
      <c r="M118" s="58" t="s">
        <v>4</v>
      </c>
      <c r="N118" s="13">
        <v>200000</v>
      </c>
      <c r="O118" s="14" t="s">
        <v>900</v>
      </c>
      <c r="P118" s="15" t="s">
        <v>109</v>
      </c>
      <c r="Q118" s="3" t="s">
        <v>153</v>
      </c>
      <c r="R118" s="1" t="s">
        <v>0</v>
      </c>
      <c r="S118" s="52" t="s">
        <v>78</v>
      </c>
      <c r="T118" s="137"/>
    </row>
    <row r="119" spans="1:20" ht="12" customHeight="1" x14ac:dyDescent="0.2">
      <c r="A119" s="47">
        <v>45814.657298993057</v>
      </c>
      <c r="B119" s="57" t="s">
        <v>899</v>
      </c>
      <c r="C119" s="15">
        <v>40369286</v>
      </c>
      <c r="D119" s="52" t="s">
        <v>898</v>
      </c>
      <c r="E119" s="52" t="s">
        <v>65</v>
      </c>
      <c r="F119" s="52" t="s">
        <v>897</v>
      </c>
      <c r="G119" s="52" t="s">
        <v>896</v>
      </c>
      <c r="H119" s="3" t="s">
        <v>895</v>
      </c>
      <c r="I119" s="61">
        <v>500003</v>
      </c>
      <c r="J119" s="15" t="s">
        <v>894</v>
      </c>
      <c r="K119" s="12" t="s">
        <v>893</v>
      </c>
      <c r="L119" s="12" t="s">
        <v>1238</v>
      </c>
      <c r="M119" s="58" t="s">
        <v>104</v>
      </c>
      <c r="N119" s="13">
        <v>120000</v>
      </c>
      <c r="O119" s="14" t="s">
        <v>892</v>
      </c>
      <c r="P119" s="15" t="s">
        <v>3</v>
      </c>
      <c r="Q119" s="3" t="s">
        <v>153</v>
      </c>
      <c r="R119" s="1" t="s">
        <v>0</v>
      </c>
      <c r="S119" s="52" t="s">
        <v>78</v>
      </c>
      <c r="T119" s="137"/>
    </row>
    <row r="120" spans="1:20" ht="12" customHeight="1" x14ac:dyDescent="0.2">
      <c r="A120" s="55">
        <v>45856</v>
      </c>
      <c r="B120" s="57" t="s">
        <v>891</v>
      </c>
      <c r="C120" s="15">
        <v>43872922</v>
      </c>
      <c r="D120" s="52" t="s">
        <v>890</v>
      </c>
      <c r="E120" s="52" t="s">
        <v>65</v>
      </c>
      <c r="F120" s="52" t="s">
        <v>66</v>
      </c>
      <c r="G120" s="52" t="s">
        <v>67</v>
      </c>
      <c r="H120" s="3" t="s">
        <v>1134</v>
      </c>
      <c r="I120" s="61" t="s">
        <v>1135</v>
      </c>
      <c r="J120" s="15" t="s">
        <v>889</v>
      </c>
      <c r="K120" s="12" t="s">
        <v>888</v>
      </c>
      <c r="L120" s="12" t="s">
        <v>1215</v>
      </c>
      <c r="M120" s="58" t="s">
        <v>1366</v>
      </c>
      <c r="N120" s="13">
        <v>1500000</v>
      </c>
      <c r="O120" s="61" t="s">
        <v>887</v>
      </c>
      <c r="P120" s="15" t="s">
        <v>1</v>
      </c>
      <c r="Q120" s="3" t="s">
        <v>153</v>
      </c>
      <c r="R120" s="1" t="s">
        <v>0</v>
      </c>
      <c r="S120" s="52" t="s">
        <v>78</v>
      </c>
      <c r="T120" s="137"/>
    </row>
    <row r="121" spans="1:20" ht="12" customHeight="1" x14ac:dyDescent="0.2">
      <c r="A121" s="47">
        <v>45834.847430555557</v>
      </c>
      <c r="B121" s="57" t="s">
        <v>882</v>
      </c>
      <c r="C121" s="15">
        <v>29832605</v>
      </c>
      <c r="D121" s="52" t="s">
        <v>881</v>
      </c>
      <c r="E121" s="52" t="s">
        <v>65</v>
      </c>
      <c r="F121" s="52" t="s">
        <v>124</v>
      </c>
      <c r="G121" s="52" t="s">
        <v>880</v>
      </c>
      <c r="H121" s="3" t="s">
        <v>1136</v>
      </c>
      <c r="I121" s="61" t="s">
        <v>1137</v>
      </c>
      <c r="J121" s="15" t="s">
        <v>879</v>
      </c>
      <c r="K121" s="12" t="s">
        <v>878</v>
      </c>
      <c r="L121" s="12" t="s">
        <v>1239</v>
      </c>
      <c r="M121" s="58" t="s">
        <v>2</v>
      </c>
      <c r="N121" s="13">
        <v>200000</v>
      </c>
      <c r="O121" s="14" t="s">
        <v>886</v>
      </c>
      <c r="P121" s="15" t="s">
        <v>106</v>
      </c>
      <c r="Q121" s="3" t="s">
        <v>153</v>
      </c>
      <c r="R121" s="1" t="s">
        <v>0</v>
      </c>
      <c r="S121" s="52" t="s">
        <v>78</v>
      </c>
      <c r="T121" s="137"/>
    </row>
    <row r="122" spans="1:20" ht="12" customHeight="1" x14ac:dyDescent="0.2">
      <c r="A122" s="47">
        <v>45851</v>
      </c>
      <c r="B122" s="57" t="s">
        <v>882</v>
      </c>
      <c r="C122" s="15">
        <v>29832605</v>
      </c>
      <c r="D122" s="52" t="s">
        <v>881</v>
      </c>
      <c r="E122" s="52" t="s">
        <v>65</v>
      </c>
      <c r="F122" s="52" t="s">
        <v>124</v>
      </c>
      <c r="G122" s="52" t="s">
        <v>880</v>
      </c>
      <c r="H122" s="3" t="s">
        <v>1136</v>
      </c>
      <c r="I122" s="61" t="s">
        <v>1137</v>
      </c>
      <c r="J122" s="15" t="s">
        <v>879</v>
      </c>
      <c r="K122" s="12" t="s">
        <v>878</v>
      </c>
      <c r="L122" s="12" t="s">
        <v>1239</v>
      </c>
      <c r="M122" s="58" t="s">
        <v>885</v>
      </c>
      <c r="N122" s="13">
        <v>1000000</v>
      </c>
      <c r="O122" s="14" t="s">
        <v>1138</v>
      </c>
      <c r="P122" s="15" t="s">
        <v>109</v>
      </c>
      <c r="Q122" s="3" t="s">
        <v>153</v>
      </c>
      <c r="R122" s="1" t="s">
        <v>0</v>
      </c>
      <c r="S122" s="52" t="s">
        <v>78</v>
      </c>
      <c r="T122" s="137"/>
    </row>
    <row r="123" spans="1:20" ht="12" customHeight="1" x14ac:dyDescent="0.2">
      <c r="A123" s="47">
        <v>45856</v>
      </c>
      <c r="B123" s="57" t="s">
        <v>882</v>
      </c>
      <c r="C123" s="15">
        <v>29832605</v>
      </c>
      <c r="D123" s="52" t="s">
        <v>881</v>
      </c>
      <c r="E123" s="52" t="s">
        <v>65</v>
      </c>
      <c r="F123" s="52" t="s">
        <v>124</v>
      </c>
      <c r="G123" s="52" t="s">
        <v>880</v>
      </c>
      <c r="H123" s="3" t="s">
        <v>1136</v>
      </c>
      <c r="I123" s="61" t="s">
        <v>1137</v>
      </c>
      <c r="J123" s="15" t="s">
        <v>879</v>
      </c>
      <c r="K123" s="12" t="s">
        <v>878</v>
      </c>
      <c r="L123" s="12" t="s">
        <v>1239</v>
      </c>
      <c r="M123" s="58" t="s">
        <v>108</v>
      </c>
      <c r="N123" s="13">
        <v>200000</v>
      </c>
      <c r="O123" s="14" t="s">
        <v>884</v>
      </c>
      <c r="P123" s="15" t="s">
        <v>1</v>
      </c>
      <c r="Q123" s="3" t="s">
        <v>153</v>
      </c>
      <c r="R123" s="1" t="s">
        <v>0</v>
      </c>
      <c r="S123" s="52" t="s">
        <v>78</v>
      </c>
      <c r="T123" s="137"/>
    </row>
    <row r="124" spans="1:20" ht="12" customHeight="1" x14ac:dyDescent="0.2">
      <c r="A124" s="47">
        <v>45907</v>
      </c>
      <c r="B124" s="57" t="s">
        <v>882</v>
      </c>
      <c r="C124" s="15">
        <v>29832605</v>
      </c>
      <c r="D124" s="52" t="s">
        <v>881</v>
      </c>
      <c r="E124" s="52" t="s">
        <v>65</v>
      </c>
      <c r="F124" s="52" t="s">
        <v>124</v>
      </c>
      <c r="G124" s="52" t="s">
        <v>880</v>
      </c>
      <c r="H124" s="3" t="s">
        <v>1136</v>
      </c>
      <c r="I124" s="61" t="s">
        <v>1137</v>
      </c>
      <c r="J124" s="15" t="s">
        <v>879</v>
      </c>
      <c r="K124" s="12" t="s">
        <v>878</v>
      </c>
      <c r="L124" s="12" t="s">
        <v>1239</v>
      </c>
      <c r="M124" s="58" t="s">
        <v>48</v>
      </c>
      <c r="N124" s="13">
        <v>500000</v>
      </c>
      <c r="O124" s="14" t="s">
        <v>1139</v>
      </c>
      <c r="P124" s="15" t="s">
        <v>109</v>
      </c>
      <c r="Q124" s="3" t="s">
        <v>153</v>
      </c>
      <c r="R124" s="1" t="s">
        <v>0</v>
      </c>
      <c r="S124" s="52" t="s">
        <v>78</v>
      </c>
      <c r="T124" s="137"/>
    </row>
    <row r="125" spans="1:20" ht="12" customHeight="1" x14ac:dyDescent="0.2">
      <c r="A125" s="47">
        <v>45927</v>
      </c>
      <c r="B125" s="57" t="s">
        <v>882</v>
      </c>
      <c r="C125" s="15">
        <v>29832605</v>
      </c>
      <c r="D125" s="52" t="s">
        <v>881</v>
      </c>
      <c r="E125" s="52" t="s">
        <v>65</v>
      </c>
      <c r="F125" s="52" t="s">
        <v>124</v>
      </c>
      <c r="G125" s="52" t="s">
        <v>880</v>
      </c>
      <c r="H125" s="3" t="s">
        <v>1136</v>
      </c>
      <c r="I125" s="61" t="s">
        <v>1137</v>
      </c>
      <c r="J125" s="15" t="s">
        <v>879</v>
      </c>
      <c r="K125" s="12" t="s">
        <v>878</v>
      </c>
      <c r="L125" s="12" t="s">
        <v>1239</v>
      </c>
      <c r="M125" s="58" t="s">
        <v>48</v>
      </c>
      <c r="N125" s="13">
        <v>500000</v>
      </c>
      <c r="O125" s="14" t="s">
        <v>883</v>
      </c>
      <c r="P125" s="15" t="s">
        <v>3</v>
      </c>
      <c r="Q125" s="3" t="s">
        <v>153</v>
      </c>
      <c r="R125" s="1" t="s">
        <v>0</v>
      </c>
      <c r="S125" s="52" t="s">
        <v>78</v>
      </c>
      <c r="T125" s="137"/>
    </row>
    <row r="126" spans="1:20" ht="12" customHeight="1" x14ac:dyDescent="0.2">
      <c r="A126" s="55">
        <v>46111</v>
      </c>
      <c r="B126" s="57" t="s">
        <v>882</v>
      </c>
      <c r="C126" s="15">
        <v>29832605</v>
      </c>
      <c r="D126" s="52" t="s">
        <v>881</v>
      </c>
      <c r="E126" s="52" t="s">
        <v>65</v>
      </c>
      <c r="F126" s="52" t="s">
        <v>124</v>
      </c>
      <c r="G126" s="52" t="s">
        <v>880</v>
      </c>
      <c r="H126" s="3" t="s">
        <v>1136</v>
      </c>
      <c r="I126" s="61" t="s">
        <v>1137</v>
      </c>
      <c r="J126" s="15" t="s">
        <v>879</v>
      </c>
      <c r="K126" s="12" t="s">
        <v>878</v>
      </c>
      <c r="L126" s="12" t="s">
        <v>1239</v>
      </c>
      <c r="M126" s="58" t="s">
        <v>47</v>
      </c>
      <c r="N126" s="13">
        <v>200000</v>
      </c>
      <c r="O126" s="12">
        <v>42188</v>
      </c>
      <c r="P126" s="15" t="s">
        <v>114</v>
      </c>
      <c r="Q126" s="3" t="s">
        <v>153</v>
      </c>
      <c r="R126" s="1" t="s">
        <v>0</v>
      </c>
      <c r="S126" s="52" t="s">
        <v>78</v>
      </c>
      <c r="T126" s="137"/>
    </row>
    <row r="127" spans="1:20" ht="12" customHeight="1" x14ac:dyDescent="0.2">
      <c r="A127" s="55">
        <v>46239</v>
      </c>
      <c r="B127" s="57" t="s">
        <v>882</v>
      </c>
      <c r="C127" s="15">
        <v>29832605</v>
      </c>
      <c r="D127" s="52" t="s">
        <v>881</v>
      </c>
      <c r="E127" s="52" t="s">
        <v>65</v>
      </c>
      <c r="F127" s="52" t="s">
        <v>124</v>
      </c>
      <c r="G127" s="52" t="s">
        <v>880</v>
      </c>
      <c r="H127" s="3" t="s">
        <v>1333</v>
      </c>
      <c r="I127" s="61"/>
      <c r="J127" s="15" t="s">
        <v>879</v>
      </c>
      <c r="K127" s="12" t="s">
        <v>878</v>
      </c>
      <c r="L127" s="12" t="s">
        <v>1239</v>
      </c>
      <c r="M127" s="58" t="s">
        <v>104</v>
      </c>
      <c r="N127" s="13">
        <v>100000</v>
      </c>
      <c r="O127" s="12" t="s">
        <v>1348</v>
      </c>
      <c r="P127" s="15" t="s">
        <v>3</v>
      </c>
      <c r="Q127" s="3" t="s">
        <v>153</v>
      </c>
      <c r="R127" s="1" t="s">
        <v>0</v>
      </c>
      <c r="S127" s="52" t="s">
        <v>78</v>
      </c>
      <c r="T127" s="137"/>
    </row>
    <row r="128" spans="1:20" ht="12" customHeight="1" x14ac:dyDescent="0.2">
      <c r="A128" s="135">
        <v>46280</v>
      </c>
      <c r="B128" s="57" t="s">
        <v>882</v>
      </c>
      <c r="M128" s="58" t="s">
        <v>746</v>
      </c>
      <c r="N128" s="13">
        <v>300000</v>
      </c>
      <c r="O128">
        <v>411140</v>
      </c>
      <c r="P128" s="15" t="s">
        <v>109</v>
      </c>
      <c r="Q128" s="3" t="s">
        <v>153</v>
      </c>
      <c r="R128" s="1" t="s">
        <v>0</v>
      </c>
    </row>
    <row r="129" spans="1:20" ht="12" customHeight="1" x14ac:dyDescent="0.2">
      <c r="A129" s="55">
        <v>45781</v>
      </c>
      <c r="B129" s="57" t="s">
        <v>1140</v>
      </c>
      <c r="C129" s="15">
        <v>10298946</v>
      </c>
      <c r="D129" s="52" t="s">
        <v>68</v>
      </c>
      <c r="E129" s="52" t="s">
        <v>65</v>
      </c>
      <c r="F129" s="52" t="s">
        <v>164</v>
      </c>
      <c r="G129" s="52" t="s">
        <v>206</v>
      </c>
      <c r="H129" s="3" t="s">
        <v>875</v>
      </c>
      <c r="I129" s="61">
        <v>190001</v>
      </c>
      <c r="J129" s="15" t="s">
        <v>874</v>
      </c>
      <c r="K129" s="12" t="s">
        <v>873</v>
      </c>
      <c r="L129" s="61" t="s">
        <v>1315</v>
      </c>
      <c r="M129" s="129" t="s">
        <v>8</v>
      </c>
      <c r="N129" s="104">
        <v>120000</v>
      </c>
      <c r="O129" s="15" t="s">
        <v>877</v>
      </c>
      <c r="P129" s="3" t="s">
        <v>1</v>
      </c>
      <c r="Q129" s="3" t="s">
        <v>153</v>
      </c>
      <c r="R129" s="1" t="s">
        <v>0</v>
      </c>
      <c r="S129" s="52" t="s">
        <v>68</v>
      </c>
      <c r="T129" s="137"/>
    </row>
    <row r="130" spans="1:20" ht="12" customHeight="1" x14ac:dyDescent="0.2">
      <c r="A130" s="55">
        <v>46053</v>
      </c>
      <c r="B130" s="57" t="s">
        <v>1140</v>
      </c>
      <c r="C130" s="15">
        <v>10298946</v>
      </c>
      <c r="D130" s="52" t="s">
        <v>68</v>
      </c>
      <c r="E130" s="52" t="s">
        <v>65</v>
      </c>
      <c r="F130" s="52" t="s">
        <v>164</v>
      </c>
      <c r="G130" s="52" t="s">
        <v>206</v>
      </c>
      <c r="H130" s="3" t="s">
        <v>875</v>
      </c>
      <c r="I130" s="61">
        <v>190001</v>
      </c>
      <c r="J130" s="15" t="s">
        <v>874</v>
      </c>
      <c r="K130" s="12" t="s">
        <v>873</v>
      </c>
      <c r="L130" s="61" t="s">
        <v>1315</v>
      </c>
      <c r="M130" s="58" t="s">
        <v>85</v>
      </c>
      <c r="N130" s="13">
        <v>500000</v>
      </c>
      <c r="O130" s="14" t="s">
        <v>872</v>
      </c>
      <c r="P130" s="15" t="s">
        <v>3</v>
      </c>
      <c r="Q130" s="3" t="s">
        <v>153</v>
      </c>
      <c r="R130" s="1" t="s">
        <v>0</v>
      </c>
      <c r="S130" s="52" t="s">
        <v>68</v>
      </c>
      <c r="T130" s="137"/>
    </row>
    <row r="131" spans="1:20" ht="12" customHeight="1" x14ac:dyDescent="0.2">
      <c r="A131" s="55">
        <v>45824</v>
      </c>
      <c r="B131" s="57" t="s">
        <v>867</v>
      </c>
      <c r="C131" s="15">
        <v>13700726</v>
      </c>
      <c r="D131" s="52" t="s">
        <v>866</v>
      </c>
      <c r="E131" s="52" t="s">
        <v>65</v>
      </c>
      <c r="F131" s="52" t="s">
        <v>73</v>
      </c>
      <c r="G131" s="52" t="s">
        <v>865</v>
      </c>
      <c r="H131" s="3" t="s">
        <v>864</v>
      </c>
      <c r="I131" s="61">
        <v>682551</v>
      </c>
      <c r="J131" s="15" t="s">
        <v>863</v>
      </c>
      <c r="K131" s="12" t="s">
        <v>862</v>
      </c>
      <c r="L131" s="12" t="s">
        <v>1106</v>
      </c>
      <c r="M131" s="58" t="s">
        <v>4</v>
      </c>
      <c r="N131" s="13">
        <v>200000</v>
      </c>
      <c r="O131" s="14" t="s">
        <v>871</v>
      </c>
      <c r="P131" s="15" t="s">
        <v>3</v>
      </c>
      <c r="Q131" s="3" t="s">
        <v>153</v>
      </c>
      <c r="R131" s="1" t="s">
        <v>0</v>
      </c>
      <c r="S131" s="52" t="s">
        <v>78</v>
      </c>
      <c r="T131" s="137"/>
    </row>
    <row r="132" spans="1:20" ht="12" customHeight="1" x14ac:dyDescent="0.2">
      <c r="A132" s="55">
        <v>45828</v>
      </c>
      <c r="B132" s="57" t="s">
        <v>867</v>
      </c>
      <c r="C132" s="15">
        <v>13700726</v>
      </c>
      <c r="D132" s="52" t="s">
        <v>866</v>
      </c>
      <c r="E132" s="52" t="s">
        <v>65</v>
      </c>
      <c r="F132" s="52" t="s">
        <v>73</v>
      </c>
      <c r="G132" s="52" t="s">
        <v>865</v>
      </c>
      <c r="H132" s="3" t="s">
        <v>864</v>
      </c>
      <c r="I132" s="61">
        <v>682551</v>
      </c>
      <c r="J132" s="15" t="s">
        <v>863</v>
      </c>
      <c r="K132" s="12" t="s">
        <v>862</v>
      </c>
      <c r="L132" s="12" t="s">
        <v>1106</v>
      </c>
      <c r="M132" s="58" t="s">
        <v>104</v>
      </c>
      <c r="N132" s="13">
        <v>120000</v>
      </c>
      <c r="O132" s="14" t="s">
        <v>870</v>
      </c>
      <c r="P132" s="15" t="s">
        <v>3</v>
      </c>
      <c r="Q132" s="3" t="s">
        <v>153</v>
      </c>
      <c r="R132" s="1" t="s">
        <v>0</v>
      </c>
      <c r="S132" s="52" t="s">
        <v>78</v>
      </c>
      <c r="T132" s="137"/>
    </row>
    <row r="133" spans="1:20" ht="12" customHeight="1" x14ac:dyDescent="0.2">
      <c r="A133" s="55">
        <v>46051</v>
      </c>
      <c r="B133" s="57" t="s">
        <v>867</v>
      </c>
      <c r="C133" s="15">
        <v>13700726</v>
      </c>
      <c r="D133" s="52" t="s">
        <v>866</v>
      </c>
      <c r="E133" s="52" t="s">
        <v>65</v>
      </c>
      <c r="F133" s="52" t="s">
        <v>73</v>
      </c>
      <c r="G133" s="52" t="s">
        <v>865</v>
      </c>
      <c r="H133" s="3" t="s">
        <v>864</v>
      </c>
      <c r="I133" s="61">
        <v>682551</v>
      </c>
      <c r="J133" s="15" t="s">
        <v>863</v>
      </c>
      <c r="K133" s="12" t="s">
        <v>862</v>
      </c>
      <c r="L133" s="12" t="s">
        <v>1106</v>
      </c>
      <c r="M133" s="58" t="s">
        <v>5</v>
      </c>
      <c r="N133" s="13">
        <v>150000</v>
      </c>
      <c r="O133" s="14" t="s">
        <v>869</v>
      </c>
      <c r="P133" s="15" t="s">
        <v>3</v>
      </c>
      <c r="Q133" s="3" t="s">
        <v>153</v>
      </c>
      <c r="R133" s="1" t="s">
        <v>0</v>
      </c>
      <c r="S133" s="52" t="s">
        <v>78</v>
      </c>
      <c r="T133" s="137"/>
    </row>
    <row r="134" spans="1:20" ht="12" customHeight="1" x14ac:dyDescent="0.2">
      <c r="A134" s="55">
        <v>46128</v>
      </c>
      <c r="B134" s="57" t="s">
        <v>867</v>
      </c>
      <c r="C134" s="15">
        <v>13700726</v>
      </c>
      <c r="D134" s="52" t="s">
        <v>866</v>
      </c>
      <c r="E134" s="52" t="s">
        <v>65</v>
      </c>
      <c r="F134" s="52" t="s">
        <v>73</v>
      </c>
      <c r="G134" s="52" t="s">
        <v>865</v>
      </c>
      <c r="H134" s="3" t="s">
        <v>864</v>
      </c>
      <c r="I134" s="61">
        <v>682551</v>
      </c>
      <c r="J134" s="15" t="s">
        <v>863</v>
      </c>
      <c r="K134" s="12" t="s">
        <v>862</v>
      </c>
      <c r="L134" s="12" t="s">
        <v>1106</v>
      </c>
      <c r="M134" s="125" t="s">
        <v>47</v>
      </c>
      <c r="N134" s="13">
        <v>200000</v>
      </c>
      <c r="O134" s="14" t="s">
        <v>868</v>
      </c>
      <c r="P134" s="15" t="s">
        <v>3</v>
      </c>
      <c r="Q134" s="3" t="s">
        <v>153</v>
      </c>
      <c r="R134" s="1" t="s">
        <v>0</v>
      </c>
      <c r="S134" s="52" t="s">
        <v>78</v>
      </c>
      <c r="T134" s="137"/>
    </row>
    <row r="135" spans="1:20" ht="12" customHeight="1" x14ac:dyDescent="0.2">
      <c r="A135" s="55">
        <v>46128</v>
      </c>
      <c r="B135" s="57" t="s">
        <v>867</v>
      </c>
      <c r="C135" s="15">
        <v>13700726</v>
      </c>
      <c r="D135" s="52" t="s">
        <v>866</v>
      </c>
      <c r="E135" s="52" t="s">
        <v>65</v>
      </c>
      <c r="F135" s="52" t="s">
        <v>73</v>
      </c>
      <c r="G135" s="52" t="s">
        <v>865</v>
      </c>
      <c r="H135" s="3" t="s">
        <v>864</v>
      </c>
      <c r="I135" s="61">
        <v>682551</v>
      </c>
      <c r="J135" s="15" t="s">
        <v>863</v>
      </c>
      <c r="K135" s="12" t="s">
        <v>862</v>
      </c>
      <c r="L135" s="12" t="s">
        <v>1106</v>
      </c>
      <c r="M135" s="125" t="s">
        <v>8</v>
      </c>
      <c r="N135" s="13">
        <v>0</v>
      </c>
      <c r="O135" s="14" t="s">
        <v>81</v>
      </c>
      <c r="P135" s="15" t="s">
        <v>68</v>
      </c>
      <c r="Q135" s="3" t="s">
        <v>153</v>
      </c>
      <c r="R135" s="1" t="s">
        <v>0</v>
      </c>
      <c r="S135" s="52" t="s">
        <v>78</v>
      </c>
      <c r="T135" s="137"/>
    </row>
    <row r="136" spans="1:20" ht="12" customHeight="1" x14ac:dyDescent="0.2">
      <c r="A136" s="55">
        <v>46128</v>
      </c>
      <c r="B136" s="57" t="s">
        <v>867</v>
      </c>
      <c r="C136" s="15">
        <v>13700726</v>
      </c>
      <c r="D136" s="52" t="s">
        <v>866</v>
      </c>
      <c r="E136" s="52" t="s">
        <v>65</v>
      </c>
      <c r="F136" s="52" t="s">
        <v>73</v>
      </c>
      <c r="G136" s="52" t="s">
        <v>865</v>
      </c>
      <c r="H136" s="3" t="s">
        <v>864</v>
      </c>
      <c r="I136" s="61">
        <v>682551</v>
      </c>
      <c r="J136" s="15" t="s">
        <v>863</v>
      </c>
      <c r="K136" s="12" t="s">
        <v>862</v>
      </c>
      <c r="L136" s="12" t="s">
        <v>1106</v>
      </c>
      <c r="M136" s="125" t="s">
        <v>84</v>
      </c>
      <c r="N136" s="13">
        <v>0</v>
      </c>
      <c r="O136" s="14" t="s">
        <v>81</v>
      </c>
      <c r="P136" s="15" t="s">
        <v>68</v>
      </c>
      <c r="Q136" s="3" t="s">
        <v>153</v>
      </c>
      <c r="R136" s="1" t="s">
        <v>0</v>
      </c>
      <c r="S136" s="52" t="s">
        <v>78</v>
      </c>
      <c r="T136" s="137"/>
    </row>
    <row r="137" spans="1:20" ht="12" customHeight="1" x14ac:dyDescent="0.2">
      <c r="A137" s="55">
        <v>45846</v>
      </c>
      <c r="B137" s="57" t="s">
        <v>861</v>
      </c>
      <c r="C137" s="15">
        <v>30332751</v>
      </c>
      <c r="D137" s="52" t="s">
        <v>860</v>
      </c>
      <c r="E137" s="52" t="s">
        <v>65</v>
      </c>
      <c r="F137" s="52" t="s">
        <v>294</v>
      </c>
      <c r="G137" s="52" t="s">
        <v>293</v>
      </c>
      <c r="H137" s="3" t="s">
        <v>859</v>
      </c>
      <c r="I137" s="61" t="s">
        <v>1141</v>
      </c>
      <c r="J137" s="15" t="s">
        <v>858</v>
      </c>
      <c r="K137" s="12" t="s">
        <v>857</v>
      </c>
      <c r="L137" s="12" t="s">
        <v>1240</v>
      </c>
      <c r="M137" s="134" t="s">
        <v>130</v>
      </c>
      <c r="N137" s="133">
        <v>300000</v>
      </c>
      <c r="O137" s="14" t="s">
        <v>550</v>
      </c>
      <c r="P137" s="107" t="s">
        <v>348</v>
      </c>
      <c r="Q137" s="3" t="s">
        <v>153</v>
      </c>
      <c r="R137" s="1" t="s">
        <v>0</v>
      </c>
      <c r="S137" s="52" t="s">
        <v>78</v>
      </c>
      <c r="T137" s="137"/>
    </row>
    <row r="138" spans="1:20" ht="12" customHeight="1" x14ac:dyDescent="0.2">
      <c r="A138" s="55">
        <v>46003</v>
      </c>
      <c r="B138" s="57" t="s">
        <v>854</v>
      </c>
      <c r="C138" s="15">
        <v>34553021</v>
      </c>
      <c r="D138" s="52" t="s">
        <v>68</v>
      </c>
      <c r="E138" s="52" t="s">
        <v>65</v>
      </c>
      <c r="F138" s="52" t="s">
        <v>294</v>
      </c>
      <c r="G138" s="52" t="s">
        <v>352</v>
      </c>
      <c r="H138" s="3" t="s">
        <v>853</v>
      </c>
      <c r="I138" s="61">
        <v>175030</v>
      </c>
      <c r="J138" s="15" t="s">
        <v>852</v>
      </c>
      <c r="K138" s="12" t="s">
        <v>851</v>
      </c>
      <c r="L138" s="12" t="s">
        <v>1241</v>
      </c>
      <c r="M138" s="58" t="s">
        <v>2</v>
      </c>
      <c r="N138" s="13">
        <v>100000</v>
      </c>
      <c r="O138" s="14" t="s">
        <v>856</v>
      </c>
      <c r="P138" s="15" t="s">
        <v>3</v>
      </c>
      <c r="Q138" s="3" t="s">
        <v>153</v>
      </c>
      <c r="R138" s="1" t="s">
        <v>0</v>
      </c>
      <c r="S138" s="52" t="s">
        <v>68</v>
      </c>
      <c r="T138" s="137"/>
    </row>
    <row r="139" spans="1:20" ht="12" customHeight="1" x14ac:dyDescent="0.2">
      <c r="A139" s="55">
        <v>46053</v>
      </c>
      <c r="B139" s="57" t="s">
        <v>854</v>
      </c>
      <c r="C139" s="15">
        <v>34553021</v>
      </c>
      <c r="D139" s="52" t="s">
        <v>68</v>
      </c>
      <c r="E139" s="52" t="s">
        <v>65</v>
      </c>
      <c r="F139" s="52" t="s">
        <v>294</v>
      </c>
      <c r="G139" s="52" t="s">
        <v>352</v>
      </c>
      <c r="H139" s="3" t="s">
        <v>853</v>
      </c>
      <c r="I139" s="61">
        <v>175030</v>
      </c>
      <c r="J139" s="15" t="s">
        <v>852</v>
      </c>
      <c r="K139" s="12" t="s">
        <v>851</v>
      </c>
      <c r="L139" s="12" t="s">
        <v>1241</v>
      </c>
      <c r="M139" s="58" t="s">
        <v>5</v>
      </c>
      <c r="N139" s="13">
        <v>150000</v>
      </c>
      <c r="O139" s="14" t="s">
        <v>855</v>
      </c>
      <c r="P139" s="15" t="s">
        <v>3</v>
      </c>
      <c r="Q139" s="3" t="s">
        <v>153</v>
      </c>
      <c r="R139" s="1" t="s">
        <v>0</v>
      </c>
      <c r="S139" s="52" t="s">
        <v>68</v>
      </c>
      <c r="T139" s="137"/>
    </row>
    <row r="140" spans="1:20" ht="12" customHeight="1" x14ac:dyDescent="0.2">
      <c r="A140" s="55">
        <v>46109</v>
      </c>
      <c r="B140" s="57" t="s">
        <v>854</v>
      </c>
      <c r="C140" s="15">
        <v>34553021</v>
      </c>
      <c r="D140" s="52" t="s">
        <v>68</v>
      </c>
      <c r="E140" s="52" t="s">
        <v>65</v>
      </c>
      <c r="F140" s="52" t="s">
        <v>294</v>
      </c>
      <c r="G140" s="52" t="s">
        <v>352</v>
      </c>
      <c r="H140" s="3" t="s">
        <v>853</v>
      </c>
      <c r="I140" s="61">
        <v>175030</v>
      </c>
      <c r="J140" s="15" t="s">
        <v>852</v>
      </c>
      <c r="K140" s="12" t="s">
        <v>851</v>
      </c>
      <c r="L140" s="12" t="s">
        <v>1241</v>
      </c>
      <c r="M140" s="58" t="s">
        <v>2</v>
      </c>
      <c r="N140" s="13">
        <v>100000</v>
      </c>
      <c r="O140" s="14" t="s">
        <v>850</v>
      </c>
      <c r="P140" s="15" t="s">
        <v>3</v>
      </c>
      <c r="Q140" s="3" t="s">
        <v>153</v>
      </c>
      <c r="R140" s="1" t="s">
        <v>0</v>
      </c>
      <c r="S140" s="52" t="s">
        <v>68</v>
      </c>
      <c r="T140" s="137"/>
    </row>
    <row r="141" spans="1:20" ht="12" customHeight="1" x14ac:dyDescent="0.2">
      <c r="A141" s="172">
        <v>46237</v>
      </c>
      <c r="B141" s="173" t="s">
        <v>854</v>
      </c>
      <c r="C141" s="15">
        <v>34553021</v>
      </c>
      <c r="D141" s="52" t="s">
        <v>68</v>
      </c>
      <c r="E141" s="52" t="s">
        <v>65</v>
      </c>
      <c r="F141" s="52" t="s">
        <v>294</v>
      </c>
      <c r="G141" s="52" t="s">
        <v>352</v>
      </c>
      <c r="H141" s="3" t="s">
        <v>853</v>
      </c>
      <c r="I141" s="61">
        <v>175030</v>
      </c>
      <c r="J141" s="15" t="s">
        <v>852</v>
      </c>
      <c r="K141" s="12" t="s">
        <v>851</v>
      </c>
      <c r="L141" s="12" t="s">
        <v>1241</v>
      </c>
      <c r="M141" s="145" t="s">
        <v>1336</v>
      </c>
      <c r="N141">
        <v>60000</v>
      </c>
      <c r="O141" t="s">
        <v>1348</v>
      </c>
      <c r="P141" s="106" t="s">
        <v>3</v>
      </c>
      <c r="Q141" s="3" t="s">
        <v>153</v>
      </c>
      <c r="R141" s="1" t="s">
        <v>0</v>
      </c>
      <c r="S141" s="52" t="s">
        <v>68</v>
      </c>
      <c r="T141" s="137"/>
    </row>
    <row r="142" spans="1:20" ht="12" customHeight="1" x14ac:dyDescent="0.2">
      <c r="A142" s="60">
        <v>46279</v>
      </c>
      <c r="B142" s="57" t="s">
        <v>854</v>
      </c>
      <c r="C142" s="15">
        <v>34553021</v>
      </c>
      <c r="D142" s="52" t="s">
        <v>68</v>
      </c>
      <c r="E142" s="52" t="s">
        <v>65</v>
      </c>
      <c r="F142" s="52" t="s">
        <v>294</v>
      </c>
      <c r="G142" s="52" t="s">
        <v>352</v>
      </c>
      <c r="H142" s="3" t="s">
        <v>853</v>
      </c>
      <c r="I142" s="61">
        <v>175030</v>
      </c>
      <c r="J142" s="15" t="s">
        <v>852</v>
      </c>
      <c r="K142" s="12" t="s">
        <v>851</v>
      </c>
      <c r="L142" s="12" t="s">
        <v>1241</v>
      </c>
      <c r="M142" s="58" t="s">
        <v>1336</v>
      </c>
      <c r="N142" s="13" t="s">
        <v>1378</v>
      </c>
      <c r="O142" s="14" t="s">
        <v>1376</v>
      </c>
      <c r="P142" s="15" t="s">
        <v>3</v>
      </c>
      <c r="Q142" s="3" t="s">
        <v>153</v>
      </c>
      <c r="R142" s="1" t="s">
        <v>0</v>
      </c>
      <c r="S142" s="52" t="s">
        <v>68</v>
      </c>
      <c r="T142" s="59"/>
    </row>
    <row r="143" spans="1:20" ht="12" customHeight="1" x14ac:dyDescent="0.2">
      <c r="A143" s="55">
        <v>45836</v>
      </c>
      <c r="B143" s="57" t="s">
        <v>847</v>
      </c>
      <c r="C143" s="15">
        <v>43793721</v>
      </c>
      <c r="D143" s="52" t="s">
        <v>1142</v>
      </c>
      <c r="E143" s="52" t="s">
        <v>65</v>
      </c>
      <c r="F143" s="52" t="s">
        <v>110</v>
      </c>
      <c r="G143" s="52" t="s">
        <v>128</v>
      </c>
      <c r="H143" s="3" t="s">
        <v>1143</v>
      </c>
      <c r="I143" s="61" t="s">
        <v>1144</v>
      </c>
      <c r="J143" s="15" t="s">
        <v>846</v>
      </c>
      <c r="K143" s="12" t="s">
        <v>845</v>
      </c>
      <c r="L143" s="12" t="s">
        <v>1242</v>
      </c>
      <c r="M143" s="58" t="s">
        <v>560</v>
      </c>
      <c r="N143" s="13">
        <v>500000</v>
      </c>
      <c r="O143" s="14" t="s">
        <v>849</v>
      </c>
      <c r="P143" s="15" t="s">
        <v>3</v>
      </c>
      <c r="Q143" s="3" t="s">
        <v>153</v>
      </c>
      <c r="R143" s="1" t="s">
        <v>0</v>
      </c>
      <c r="S143" s="52" t="s">
        <v>78</v>
      </c>
      <c r="T143" s="137"/>
    </row>
    <row r="144" spans="1:20" ht="12" customHeight="1" x14ac:dyDescent="0.2">
      <c r="A144" s="55">
        <v>45946</v>
      </c>
      <c r="B144" s="57" t="s">
        <v>847</v>
      </c>
      <c r="C144" s="15">
        <v>43793721</v>
      </c>
      <c r="D144" s="52" t="s">
        <v>1142</v>
      </c>
      <c r="E144" s="52" t="s">
        <v>65</v>
      </c>
      <c r="F144" s="52" t="s">
        <v>110</v>
      </c>
      <c r="G144" s="52" t="s">
        <v>128</v>
      </c>
      <c r="H144" s="3" t="s">
        <v>1143</v>
      </c>
      <c r="I144" s="61" t="s">
        <v>1144</v>
      </c>
      <c r="J144" s="15" t="s">
        <v>846</v>
      </c>
      <c r="K144" s="12" t="s">
        <v>845</v>
      </c>
      <c r="L144" s="12" t="s">
        <v>1242</v>
      </c>
      <c r="M144" s="127" t="s">
        <v>112</v>
      </c>
      <c r="N144" s="100">
        <v>200000</v>
      </c>
      <c r="O144" s="101" t="s">
        <v>848</v>
      </c>
      <c r="P144" s="15" t="s">
        <v>1</v>
      </c>
      <c r="Q144" s="3" t="s">
        <v>153</v>
      </c>
      <c r="R144" s="1" t="s">
        <v>0</v>
      </c>
      <c r="S144" s="52" t="s">
        <v>78</v>
      </c>
      <c r="T144" s="137"/>
    </row>
    <row r="145" spans="1:20" ht="12" customHeight="1" x14ac:dyDescent="0.2">
      <c r="A145" s="55">
        <v>46014</v>
      </c>
      <c r="B145" s="57" t="s">
        <v>847</v>
      </c>
      <c r="C145" s="15">
        <v>43793721</v>
      </c>
      <c r="D145" s="52" t="s">
        <v>1142</v>
      </c>
      <c r="E145" s="52" t="s">
        <v>65</v>
      </c>
      <c r="F145" s="52" t="s">
        <v>110</v>
      </c>
      <c r="G145" s="52" t="s">
        <v>128</v>
      </c>
      <c r="H145" s="3" t="s">
        <v>1143</v>
      </c>
      <c r="I145" s="61" t="s">
        <v>1144</v>
      </c>
      <c r="J145" s="15" t="s">
        <v>846</v>
      </c>
      <c r="K145" s="12" t="s">
        <v>845</v>
      </c>
      <c r="L145" s="12" t="s">
        <v>1242</v>
      </c>
      <c r="M145" s="127" t="s">
        <v>484</v>
      </c>
      <c r="N145" s="100">
        <v>200000</v>
      </c>
      <c r="O145" s="101" t="s">
        <v>844</v>
      </c>
      <c r="P145" s="15" t="s">
        <v>1</v>
      </c>
      <c r="Q145" s="3" t="s">
        <v>153</v>
      </c>
      <c r="R145" s="1" t="s">
        <v>0</v>
      </c>
      <c r="S145" s="52" t="s">
        <v>78</v>
      </c>
      <c r="T145" s="137"/>
    </row>
    <row r="146" spans="1:20" ht="12" customHeight="1" x14ac:dyDescent="0.2">
      <c r="A146" s="55">
        <v>46175</v>
      </c>
      <c r="B146" s="57" t="s">
        <v>847</v>
      </c>
      <c r="C146" s="15">
        <v>43793721</v>
      </c>
      <c r="D146" s="52" t="s">
        <v>1142</v>
      </c>
      <c r="E146" s="52" t="s">
        <v>65</v>
      </c>
      <c r="F146" s="52" t="s">
        <v>110</v>
      </c>
      <c r="G146" s="52" t="s">
        <v>128</v>
      </c>
      <c r="H146" s="3" t="s">
        <v>1143</v>
      </c>
      <c r="I146" s="61" t="s">
        <v>1144</v>
      </c>
      <c r="J146" s="15" t="s">
        <v>846</v>
      </c>
      <c r="K146" s="12" t="s">
        <v>845</v>
      </c>
      <c r="L146" s="12" t="s">
        <v>1242</v>
      </c>
      <c r="M146" s="58" t="s">
        <v>49</v>
      </c>
      <c r="N146" s="13">
        <v>1000000</v>
      </c>
      <c r="O146" s="14" t="s">
        <v>1109</v>
      </c>
      <c r="P146" s="15" t="s">
        <v>1</v>
      </c>
      <c r="Q146" s="3" t="s">
        <v>153</v>
      </c>
      <c r="R146" s="1" t="s">
        <v>0</v>
      </c>
      <c r="S146" s="52" t="s">
        <v>78</v>
      </c>
      <c r="T146" s="137"/>
    </row>
    <row r="147" spans="1:20" ht="12" customHeight="1" x14ac:dyDescent="0.2">
      <c r="A147" s="55">
        <v>46248</v>
      </c>
      <c r="B147" s="57" t="s">
        <v>847</v>
      </c>
      <c r="C147" s="15">
        <v>43793721</v>
      </c>
      <c r="D147" s="52" t="s">
        <v>1334</v>
      </c>
      <c r="E147" s="52" t="s">
        <v>65</v>
      </c>
      <c r="F147" s="52" t="s">
        <v>110</v>
      </c>
      <c r="G147" s="52" t="s">
        <v>128</v>
      </c>
      <c r="H147" s="3" t="s">
        <v>1335</v>
      </c>
      <c r="I147" s="61"/>
      <c r="J147" s="15" t="s">
        <v>846</v>
      </c>
      <c r="K147" s="12" t="s">
        <v>845</v>
      </c>
      <c r="L147" s="12" t="s">
        <v>1242</v>
      </c>
      <c r="M147" s="58" t="s">
        <v>1338</v>
      </c>
      <c r="N147" s="13">
        <v>2000000</v>
      </c>
      <c r="O147" s="14" t="s">
        <v>1349</v>
      </c>
      <c r="P147" s="15" t="s">
        <v>3</v>
      </c>
      <c r="Q147" s="3" t="s">
        <v>153</v>
      </c>
      <c r="R147" s="1" t="s">
        <v>0</v>
      </c>
      <c r="S147" s="52" t="s">
        <v>78</v>
      </c>
      <c r="T147" s="137"/>
    </row>
    <row r="148" spans="1:20" ht="12" customHeight="1" x14ac:dyDescent="0.2">
      <c r="A148" s="55">
        <v>45932.763553240744</v>
      </c>
      <c r="B148" s="57" t="s">
        <v>842</v>
      </c>
      <c r="C148" s="15">
        <v>1053848679</v>
      </c>
      <c r="D148" s="52" t="s">
        <v>841</v>
      </c>
      <c r="E148" s="52" t="s">
        <v>65</v>
      </c>
      <c r="F148" s="52" t="s">
        <v>294</v>
      </c>
      <c r="G148" s="52" t="s">
        <v>293</v>
      </c>
      <c r="H148" s="3" t="s">
        <v>840</v>
      </c>
      <c r="I148" s="61">
        <v>170001</v>
      </c>
      <c r="J148" s="15" t="s">
        <v>839</v>
      </c>
      <c r="K148" s="12" t="s">
        <v>838</v>
      </c>
      <c r="L148" s="12" t="s">
        <v>1243</v>
      </c>
      <c r="M148" s="58" t="s">
        <v>125</v>
      </c>
      <c r="N148" s="13">
        <v>200000</v>
      </c>
      <c r="O148" s="14" t="s">
        <v>843</v>
      </c>
      <c r="P148" s="15" t="s">
        <v>3</v>
      </c>
      <c r="Q148" s="3" t="s">
        <v>153</v>
      </c>
      <c r="R148" s="1" t="s">
        <v>0</v>
      </c>
      <c r="S148" s="52" t="s">
        <v>78</v>
      </c>
      <c r="T148" s="137"/>
    </row>
    <row r="149" spans="1:20" ht="12" customHeight="1" x14ac:dyDescent="0.2">
      <c r="A149" s="60">
        <v>46150</v>
      </c>
      <c r="B149" s="57" t="s">
        <v>842</v>
      </c>
      <c r="C149" s="15">
        <v>1053848679</v>
      </c>
      <c r="D149" s="52" t="s">
        <v>841</v>
      </c>
      <c r="E149" s="52" t="s">
        <v>65</v>
      </c>
      <c r="F149" s="52" t="s">
        <v>294</v>
      </c>
      <c r="G149" s="52" t="s">
        <v>293</v>
      </c>
      <c r="H149" s="3" t="s">
        <v>840</v>
      </c>
      <c r="I149" s="61">
        <v>170001</v>
      </c>
      <c r="J149" s="15" t="s">
        <v>839</v>
      </c>
      <c r="K149" s="12" t="s">
        <v>838</v>
      </c>
      <c r="L149" s="12" t="s">
        <v>1243</v>
      </c>
      <c r="M149" s="58" t="s">
        <v>837</v>
      </c>
      <c r="N149" s="13">
        <v>0</v>
      </c>
      <c r="O149" s="14" t="s">
        <v>80</v>
      </c>
      <c r="P149" s="15" t="s">
        <v>68</v>
      </c>
      <c r="Q149" s="3" t="s">
        <v>153</v>
      </c>
      <c r="R149" s="1" t="s">
        <v>0</v>
      </c>
      <c r="S149" s="52" t="s">
        <v>78</v>
      </c>
      <c r="T149" s="137"/>
    </row>
    <row r="150" spans="1:20" ht="12" customHeight="1" x14ac:dyDescent="0.2">
      <c r="A150" s="60">
        <v>46253</v>
      </c>
      <c r="B150" s="57" t="s">
        <v>842</v>
      </c>
      <c r="C150" s="15">
        <v>1053848679</v>
      </c>
      <c r="D150" s="52" t="s">
        <v>841</v>
      </c>
      <c r="E150" s="52" t="s">
        <v>65</v>
      </c>
      <c r="F150" s="52" t="s">
        <v>294</v>
      </c>
      <c r="G150" s="52" t="s">
        <v>293</v>
      </c>
      <c r="H150" s="3" t="s">
        <v>840</v>
      </c>
      <c r="I150" s="61">
        <v>170001</v>
      </c>
      <c r="J150" s="15" t="s">
        <v>839</v>
      </c>
      <c r="K150" s="12" t="s">
        <v>838</v>
      </c>
      <c r="L150" s="12" t="s">
        <v>1243</v>
      </c>
      <c r="M150" s="58" t="s">
        <v>8</v>
      </c>
      <c r="N150" s="13">
        <v>20000</v>
      </c>
      <c r="O150" s="14" t="s">
        <v>1350</v>
      </c>
      <c r="P150" s="15" t="s">
        <v>3</v>
      </c>
      <c r="Q150" s="3" t="s">
        <v>153</v>
      </c>
      <c r="R150" s="1" t="s">
        <v>0</v>
      </c>
      <c r="S150" s="52" t="s">
        <v>78</v>
      </c>
      <c r="T150" s="137"/>
    </row>
    <row r="151" spans="1:20" ht="12" customHeight="1" x14ac:dyDescent="0.2">
      <c r="A151" s="60">
        <v>46150</v>
      </c>
      <c r="B151" s="57" t="s">
        <v>835</v>
      </c>
      <c r="C151" s="15">
        <v>71593707</v>
      </c>
      <c r="D151" s="52" t="s">
        <v>834</v>
      </c>
      <c r="E151" s="52" t="s">
        <v>65</v>
      </c>
      <c r="F151" s="52" t="s">
        <v>119</v>
      </c>
      <c r="G151" s="52" t="s">
        <v>120</v>
      </c>
      <c r="H151" s="3" t="s">
        <v>833</v>
      </c>
      <c r="I151" s="61">
        <v>730006</v>
      </c>
      <c r="J151" s="15" t="s">
        <v>832</v>
      </c>
      <c r="K151" s="12" t="s">
        <v>831</v>
      </c>
      <c r="L151" s="12" t="s">
        <v>1244</v>
      </c>
      <c r="M151" s="58" t="s">
        <v>105</v>
      </c>
      <c r="N151" s="13">
        <v>100000</v>
      </c>
      <c r="O151" s="61" t="s">
        <v>836</v>
      </c>
      <c r="P151" s="15" t="s">
        <v>3</v>
      </c>
      <c r="Q151" s="3" t="s">
        <v>153</v>
      </c>
      <c r="R151" s="1" t="s">
        <v>0</v>
      </c>
      <c r="S151" s="52" t="s">
        <v>78</v>
      </c>
      <c r="T151" s="137"/>
    </row>
    <row r="152" spans="1:20" ht="12" customHeight="1" x14ac:dyDescent="0.2">
      <c r="A152" s="60">
        <v>46150.745474537034</v>
      </c>
      <c r="B152" s="57" t="s">
        <v>835</v>
      </c>
      <c r="C152" s="15">
        <v>71593707</v>
      </c>
      <c r="D152" s="52" t="s">
        <v>834</v>
      </c>
      <c r="E152" s="52" t="s">
        <v>65</v>
      </c>
      <c r="F152" s="52" t="s">
        <v>119</v>
      </c>
      <c r="G152" s="52" t="s">
        <v>120</v>
      </c>
      <c r="H152" s="3" t="s">
        <v>833</v>
      </c>
      <c r="I152" s="61">
        <v>730006</v>
      </c>
      <c r="J152" s="15" t="s">
        <v>832</v>
      </c>
      <c r="K152" s="12" t="s">
        <v>831</v>
      </c>
      <c r="L152" s="12" t="s">
        <v>1244</v>
      </c>
      <c r="M152" s="58" t="s">
        <v>8</v>
      </c>
      <c r="N152" s="13">
        <v>0</v>
      </c>
      <c r="O152" s="14" t="s">
        <v>81</v>
      </c>
      <c r="P152" s="15" t="s">
        <v>68</v>
      </c>
      <c r="Q152" s="3" t="s">
        <v>153</v>
      </c>
      <c r="R152" s="1" t="s">
        <v>0</v>
      </c>
      <c r="S152" s="52" t="s">
        <v>78</v>
      </c>
      <c r="T152" s="137"/>
    </row>
    <row r="153" spans="1:20" ht="12" customHeight="1" x14ac:dyDescent="0.2">
      <c r="A153" s="60">
        <v>46175</v>
      </c>
      <c r="B153" s="57" t="s">
        <v>835</v>
      </c>
      <c r="C153" s="15">
        <v>71593707</v>
      </c>
      <c r="D153" s="52" t="s">
        <v>834</v>
      </c>
      <c r="E153" s="52" t="s">
        <v>65</v>
      </c>
      <c r="F153" s="52" t="s">
        <v>119</v>
      </c>
      <c r="G153" s="52" t="s">
        <v>120</v>
      </c>
      <c r="H153" s="3" t="s">
        <v>833</v>
      </c>
      <c r="I153" s="61">
        <v>730006</v>
      </c>
      <c r="J153" s="15" t="s">
        <v>832</v>
      </c>
      <c r="K153" s="12" t="s">
        <v>831</v>
      </c>
      <c r="L153" s="12" t="s">
        <v>1244</v>
      </c>
      <c r="M153" s="58" t="s">
        <v>1336</v>
      </c>
      <c r="N153" s="13">
        <v>60000</v>
      </c>
      <c r="O153" s="14">
        <v>807815</v>
      </c>
      <c r="P153" s="15" t="s">
        <v>1351</v>
      </c>
      <c r="Q153" s="3" t="s">
        <v>153</v>
      </c>
      <c r="R153" s="1" t="s">
        <v>0</v>
      </c>
      <c r="S153" s="52" t="s">
        <v>78</v>
      </c>
      <c r="T153" s="137"/>
    </row>
    <row r="154" spans="1:20" ht="12" customHeight="1" x14ac:dyDescent="0.2">
      <c r="A154" s="60">
        <v>46219</v>
      </c>
      <c r="B154" s="57" t="s">
        <v>835</v>
      </c>
      <c r="C154" s="15">
        <v>71593707</v>
      </c>
      <c r="D154" s="52" t="s">
        <v>834</v>
      </c>
      <c r="E154" s="52" t="s">
        <v>65</v>
      </c>
      <c r="F154" s="52" t="s">
        <v>119</v>
      </c>
      <c r="G154" s="52" t="s">
        <v>120</v>
      </c>
      <c r="H154" s="3" t="s">
        <v>833</v>
      </c>
      <c r="I154" s="61">
        <v>730006</v>
      </c>
      <c r="J154" s="15" t="s">
        <v>832</v>
      </c>
      <c r="K154" s="12" t="s">
        <v>831</v>
      </c>
      <c r="L154" s="12" t="s">
        <v>1244</v>
      </c>
      <c r="M154" s="58" t="s">
        <v>104</v>
      </c>
      <c r="N154" s="13">
        <v>100000</v>
      </c>
      <c r="O154" s="14" t="s">
        <v>1345</v>
      </c>
      <c r="P154" s="15" t="s">
        <v>3</v>
      </c>
      <c r="Q154" s="3" t="s">
        <v>153</v>
      </c>
      <c r="R154" s="1" t="s">
        <v>0</v>
      </c>
      <c r="S154" s="52" t="s">
        <v>78</v>
      </c>
      <c r="T154" s="137"/>
    </row>
    <row r="155" spans="1:20" ht="12" customHeight="1" x14ac:dyDescent="0.2">
      <c r="A155" s="60">
        <v>46279</v>
      </c>
      <c r="B155" s="57" t="s">
        <v>835</v>
      </c>
      <c r="C155" s="15">
        <v>71593707</v>
      </c>
      <c r="D155" s="52" t="s">
        <v>834</v>
      </c>
      <c r="E155" s="52" t="s">
        <v>65</v>
      </c>
      <c r="F155" s="52" t="s">
        <v>119</v>
      </c>
      <c r="G155" s="52" t="s">
        <v>120</v>
      </c>
      <c r="H155" s="3" t="s">
        <v>833</v>
      </c>
      <c r="I155" s="61">
        <v>730006</v>
      </c>
      <c r="J155" s="15" t="s">
        <v>832</v>
      </c>
      <c r="K155" s="12" t="s">
        <v>831</v>
      </c>
      <c r="L155" s="12" t="s">
        <v>1244</v>
      </c>
      <c r="M155" s="58" t="s">
        <v>1336</v>
      </c>
      <c r="N155" s="13" t="s">
        <v>1378</v>
      </c>
      <c r="O155" s="14" t="s">
        <v>1376</v>
      </c>
      <c r="P155" s="15" t="s">
        <v>3</v>
      </c>
      <c r="Q155" s="3" t="s">
        <v>153</v>
      </c>
      <c r="R155" s="1" t="s">
        <v>0</v>
      </c>
      <c r="S155" s="52" t="s">
        <v>78</v>
      </c>
      <c r="T155" s="59"/>
    </row>
    <row r="156" spans="1:20" ht="12" customHeight="1" x14ac:dyDescent="0.2">
      <c r="A156" s="60">
        <v>45903</v>
      </c>
      <c r="B156" s="57" t="s">
        <v>829</v>
      </c>
      <c r="C156" s="15">
        <v>1063812968</v>
      </c>
      <c r="D156" s="52" t="s">
        <v>68</v>
      </c>
      <c r="E156" s="52" t="s">
        <v>65</v>
      </c>
      <c r="F156" s="52" t="s">
        <v>338</v>
      </c>
      <c r="G156" s="52" t="s">
        <v>828</v>
      </c>
      <c r="H156" s="3" t="s">
        <v>827</v>
      </c>
      <c r="I156" s="61">
        <v>193520</v>
      </c>
      <c r="J156" s="15" t="s">
        <v>826</v>
      </c>
      <c r="K156" s="12" t="s">
        <v>825</v>
      </c>
      <c r="L156" s="12" t="s">
        <v>1245</v>
      </c>
      <c r="M156" s="58" t="s">
        <v>102</v>
      </c>
      <c r="N156" s="13">
        <v>300000</v>
      </c>
      <c r="O156" s="14" t="s">
        <v>830</v>
      </c>
      <c r="P156" s="15" t="s">
        <v>3</v>
      </c>
      <c r="Q156" s="3" t="s">
        <v>153</v>
      </c>
      <c r="R156" s="1" t="s">
        <v>0</v>
      </c>
      <c r="S156" s="52" t="s">
        <v>68</v>
      </c>
      <c r="T156" s="137"/>
    </row>
    <row r="157" spans="1:20" ht="12" customHeight="1" x14ac:dyDescent="0.2">
      <c r="A157" s="60">
        <v>45903</v>
      </c>
      <c r="B157" s="57" t="s">
        <v>829</v>
      </c>
      <c r="C157" s="15">
        <v>1063812968</v>
      </c>
      <c r="D157" s="52" t="s">
        <v>68</v>
      </c>
      <c r="E157" s="52" t="s">
        <v>65</v>
      </c>
      <c r="F157" s="52" t="s">
        <v>338</v>
      </c>
      <c r="G157" s="52" t="s">
        <v>828</v>
      </c>
      <c r="H157" s="3" t="s">
        <v>827</v>
      </c>
      <c r="I157" s="61">
        <v>193520</v>
      </c>
      <c r="J157" s="15" t="s">
        <v>826</v>
      </c>
      <c r="K157" s="12" t="s">
        <v>825</v>
      </c>
      <c r="L157" s="12" t="s">
        <v>1245</v>
      </c>
      <c r="M157" s="58" t="s">
        <v>102</v>
      </c>
      <c r="N157" s="13">
        <v>300000</v>
      </c>
      <c r="O157" s="14" t="s">
        <v>824</v>
      </c>
      <c r="P157" s="15" t="s">
        <v>3</v>
      </c>
      <c r="Q157" s="3" t="s">
        <v>153</v>
      </c>
      <c r="R157" s="1" t="s">
        <v>0</v>
      </c>
      <c r="S157" s="52" t="s">
        <v>68</v>
      </c>
      <c r="T157" s="137"/>
    </row>
    <row r="158" spans="1:20" ht="12" customHeight="1" x14ac:dyDescent="0.2">
      <c r="A158" s="60">
        <v>45815.906029537036</v>
      </c>
      <c r="B158" s="57" t="s">
        <v>823</v>
      </c>
      <c r="C158" s="15">
        <v>31423160</v>
      </c>
      <c r="D158" s="52" t="s">
        <v>822</v>
      </c>
      <c r="E158" s="52" t="s">
        <v>65</v>
      </c>
      <c r="F158" s="52" t="s">
        <v>124</v>
      </c>
      <c r="G158" s="52" t="s">
        <v>67</v>
      </c>
      <c r="H158" s="3" t="s">
        <v>821</v>
      </c>
      <c r="I158" s="61">
        <v>762022</v>
      </c>
      <c r="J158" s="15" t="s">
        <v>820</v>
      </c>
      <c r="K158" s="12" t="s">
        <v>819</v>
      </c>
      <c r="L158" s="12" t="s">
        <v>1246</v>
      </c>
      <c r="M158" s="58" t="s">
        <v>104</v>
      </c>
      <c r="N158" s="13">
        <v>120000</v>
      </c>
      <c r="O158" s="14" t="s">
        <v>818</v>
      </c>
      <c r="P158" s="15" t="s">
        <v>1</v>
      </c>
      <c r="Q158" s="3" t="s">
        <v>153</v>
      </c>
      <c r="R158" s="1" t="s">
        <v>0</v>
      </c>
      <c r="S158" s="52" t="s">
        <v>78</v>
      </c>
      <c r="T158" s="137"/>
    </row>
    <row r="159" spans="1:20" ht="12" customHeight="1" x14ac:dyDescent="0.2">
      <c r="A159" s="60">
        <v>45854.510185185187</v>
      </c>
      <c r="B159" s="57" t="s">
        <v>817</v>
      </c>
      <c r="C159" s="15" t="s">
        <v>1146</v>
      </c>
      <c r="D159" s="52" t="s">
        <v>816</v>
      </c>
      <c r="E159" s="52" t="s">
        <v>118</v>
      </c>
      <c r="F159" s="52" t="s">
        <v>248</v>
      </c>
      <c r="G159" s="52" t="s">
        <v>248</v>
      </c>
      <c r="H159" s="3" t="s">
        <v>815</v>
      </c>
      <c r="I159" s="61" t="s">
        <v>1147</v>
      </c>
      <c r="J159" s="15" t="s">
        <v>814</v>
      </c>
      <c r="K159" s="12" t="s">
        <v>813</v>
      </c>
      <c r="L159" s="12" t="s">
        <v>1247</v>
      </c>
      <c r="M159" s="58" t="s">
        <v>108</v>
      </c>
      <c r="N159" s="13">
        <v>200000</v>
      </c>
      <c r="O159" s="14" t="s">
        <v>812</v>
      </c>
      <c r="P159" s="15" t="s">
        <v>50</v>
      </c>
      <c r="Q159" s="3" t="s">
        <v>153</v>
      </c>
      <c r="R159" s="1" t="s">
        <v>0</v>
      </c>
      <c r="S159" s="52" t="s">
        <v>78</v>
      </c>
      <c r="T159" s="137"/>
    </row>
    <row r="160" spans="1:20" ht="12" customHeight="1" x14ac:dyDescent="0.2">
      <c r="A160" s="60">
        <v>45830.865527465277</v>
      </c>
      <c r="B160" s="57" t="s">
        <v>807</v>
      </c>
      <c r="C160" s="15" t="s">
        <v>811</v>
      </c>
      <c r="D160" s="52" t="s">
        <v>810</v>
      </c>
      <c r="E160" s="52" t="s">
        <v>139</v>
      </c>
      <c r="F160" s="52" t="s">
        <v>248</v>
      </c>
      <c r="G160" s="52" t="s">
        <v>248</v>
      </c>
      <c r="H160" s="3" t="s">
        <v>1145</v>
      </c>
      <c r="I160" s="61" t="s">
        <v>1147</v>
      </c>
      <c r="J160" s="15" t="s">
        <v>805</v>
      </c>
      <c r="K160" s="12" t="s">
        <v>809</v>
      </c>
      <c r="L160" s="12" t="s">
        <v>1248</v>
      </c>
      <c r="M160" s="58" t="s">
        <v>104</v>
      </c>
      <c r="N160" s="13">
        <v>120000</v>
      </c>
      <c r="O160" s="14" t="s">
        <v>808</v>
      </c>
      <c r="P160" s="15" t="s">
        <v>50</v>
      </c>
      <c r="Q160" s="3" t="s">
        <v>153</v>
      </c>
      <c r="R160" s="1" t="s">
        <v>0</v>
      </c>
      <c r="S160" s="52" t="s">
        <v>78</v>
      </c>
      <c r="T160" s="137"/>
    </row>
    <row r="161" spans="1:20" ht="12" customHeight="1" x14ac:dyDescent="0.2">
      <c r="A161" s="60">
        <v>46150</v>
      </c>
      <c r="B161" s="57" t="s">
        <v>807</v>
      </c>
      <c r="C161" s="15" t="s">
        <v>811</v>
      </c>
      <c r="D161" s="52" t="s">
        <v>806</v>
      </c>
      <c r="E161" s="52" t="s">
        <v>118</v>
      </c>
      <c r="F161" s="52" t="s">
        <v>248</v>
      </c>
      <c r="G161" s="52" t="s">
        <v>248</v>
      </c>
      <c r="H161" s="3" t="s">
        <v>1145</v>
      </c>
      <c r="I161" s="61" t="s">
        <v>1147</v>
      </c>
      <c r="J161" s="15" t="s">
        <v>805</v>
      </c>
      <c r="K161" s="12" t="s">
        <v>804</v>
      </c>
      <c r="L161" s="12" t="s">
        <v>1248</v>
      </c>
      <c r="M161" s="58" t="s">
        <v>79</v>
      </c>
      <c r="N161" s="13">
        <v>0</v>
      </c>
      <c r="O161" s="14" t="s">
        <v>80</v>
      </c>
      <c r="P161" s="15" t="s">
        <v>68</v>
      </c>
      <c r="Q161" s="3" t="s">
        <v>153</v>
      </c>
      <c r="R161" s="1" t="s">
        <v>0</v>
      </c>
      <c r="S161" s="52" t="s">
        <v>78</v>
      </c>
      <c r="T161" s="137"/>
    </row>
    <row r="162" spans="1:20" ht="12" customHeight="1" x14ac:dyDescent="0.2">
      <c r="A162" s="60">
        <v>45829.672404675926</v>
      </c>
      <c r="B162" s="57" t="s">
        <v>802</v>
      </c>
      <c r="C162" s="15">
        <v>94287342</v>
      </c>
      <c r="D162" s="52" t="s">
        <v>68</v>
      </c>
      <c r="E162" s="52" t="s">
        <v>65</v>
      </c>
      <c r="F162" s="52" t="s">
        <v>66</v>
      </c>
      <c r="G162" s="52" t="s">
        <v>69</v>
      </c>
      <c r="H162" s="3" t="s">
        <v>1148</v>
      </c>
      <c r="I162" s="61">
        <v>762530</v>
      </c>
      <c r="J162" s="15" t="s">
        <v>801</v>
      </c>
      <c r="K162" s="12" t="s">
        <v>800</v>
      </c>
      <c r="L162" s="12" t="s">
        <v>1249</v>
      </c>
      <c r="M162" s="58" t="s">
        <v>104</v>
      </c>
      <c r="N162" s="13">
        <v>120000</v>
      </c>
      <c r="O162" s="14" t="s">
        <v>803</v>
      </c>
      <c r="P162" s="15" t="s">
        <v>106</v>
      </c>
      <c r="Q162" s="3" t="s">
        <v>153</v>
      </c>
      <c r="R162" s="1" t="s">
        <v>0</v>
      </c>
      <c r="S162" s="52" t="s">
        <v>68</v>
      </c>
      <c r="T162" s="137"/>
    </row>
    <row r="163" spans="1:20" ht="12" customHeight="1" x14ac:dyDescent="0.2">
      <c r="A163" s="60">
        <v>45857</v>
      </c>
      <c r="B163" s="57" t="s">
        <v>802</v>
      </c>
      <c r="C163" s="15">
        <v>94287342</v>
      </c>
      <c r="D163" s="52" t="s">
        <v>68</v>
      </c>
      <c r="E163" s="52" t="s">
        <v>65</v>
      </c>
      <c r="F163" s="52" t="s">
        <v>66</v>
      </c>
      <c r="G163" s="52" t="s">
        <v>69</v>
      </c>
      <c r="H163" s="3" t="s">
        <v>1148</v>
      </c>
      <c r="I163" s="61">
        <v>762530</v>
      </c>
      <c r="J163" s="15" t="s">
        <v>801</v>
      </c>
      <c r="K163" s="12" t="s">
        <v>800</v>
      </c>
      <c r="L163" s="12" t="s">
        <v>1249</v>
      </c>
      <c r="M163" s="58" t="s">
        <v>108</v>
      </c>
      <c r="N163" s="13">
        <v>200000</v>
      </c>
      <c r="O163" s="14" t="s">
        <v>799</v>
      </c>
      <c r="P163" s="15" t="s">
        <v>3</v>
      </c>
      <c r="Q163" s="3" t="s">
        <v>153</v>
      </c>
      <c r="R163" s="1" t="s">
        <v>0</v>
      </c>
      <c r="S163" s="52" t="s">
        <v>68</v>
      </c>
      <c r="T163" s="137"/>
    </row>
    <row r="164" spans="1:20" ht="12" customHeight="1" x14ac:dyDescent="0.2">
      <c r="A164" s="60">
        <v>46044</v>
      </c>
      <c r="B164" s="57" t="s">
        <v>796</v>
      </c>
      <c r="C164" s="15">
        <v>25154026</v>
      </c>
      <c r="D164" s="52" t="s">
        <v>795</v>
      </c>
      <c r="E164" s="52" t="s">
        <v>65</v>
      </c>
      <c r="F164" s="52" t="s">
        <v>98</v>
      </c>
      <c r="G164" s="52" t="s">
        <v>97</v>
      </c>
      <c r="H164" s="3" t="s">
        <v>794</v>
      </c>
      <c r="I164" s="61">
        <v>660009</v>
      </c>
      <c r="J164" s="15" t="s">
        <v>793</v>
      </c>
      <c r="K164" s="12" t="s">
        <v>792</v>
      </c>
      <c r="L164" s="12" t="s">
        <v>1250</v>
      </c>
      <c r="M164" s="58" t="s">
        <v>116</v>
      </c>
      <c r="N164" s="13">
        <v>300000</v>
      </c>
      <c r="O164" s="14" t="s">
        <v>798</v>
      </c>
      <c r="P164" s="15" t="s">
        <v>1</v>
      </c>
      <c r="Q164" s="3" t="s">
        <v>153</v>
      </c>
      <c r="R164" s="1" t="s">
        <v>0</v>
      </c>
      <c r="S164" s="52" t="s">
        <v>78</v>
      </c>
      <c r="T164" s="137"/>
    </row>
    <row r="165" spans="1:20" ht="12" customHeight="1" x14ac:dyDescent="0.2">
      <c r="A165" s="60">
        <v>46052</v>
      </c>
      <c r="B165" s="57" t="s">
        <v>796</v>
      </c>
      <c r="C165" s="15">
        <v>25154026</v>
      </c>
      <c r="D165" s="52" t="s">
        <v>795</v>
      </c>
      <c r="E165" s="52" t="s">
        <v>65</v>
      </c>
      <c r="F165" s="52" t="s">
        <v>98</v>
      </c>
      <c r="G165" s="52" t="s">
        <v>97</v>
      </c>
      <c r="H165" s="3" t="s">
        <v>794</v>
      </c>
      <c r="I165" s="61">
        <v>660009</v>
      </c>
      <c r="J165" s="15" t="s">
        <v>793</v>
      </c>
      <c r="K165" s="12" t="s">
        <v>792</v>
      </c>
      <c r="L165" s="12" t="s">
        <v>1250</v>
      </c>
      <c r="M165" s="58" t="s">
        <v>85</v>
      </c>
      <c r="N165" s="13">
        <v>500000</v>
      </c>
      <c r="O165" s="14" t="s">
        <v>797</v>
      </c>
      <c r="P165" s="15" t="s">
        <v>3</v>
      </c>
      <c r="Q165" s="3" t="s">
        <v>153</v>
      </c>
      <c r="R165" s="1" t="s">
        <v>0</v>
      </c>
      <c r="S165" s="52" t="s">
        <v>78</v>
      </c>
      <c r="T165" s="137"/>
    </row>
    <row r="166" spans="1:20" ht="12" customHeight="1" x14ac:dyDescent="0.2">
      <c r="A166" s="60">
        <v>46056</v>
      </c>
      <c r="B166" s="57" t="s">
        <v>796</v>
      </c>
      <c r="C166" s="15">
        <v>25154026</v>
      </c>
      <c r="D166" s="52" t="s">
        <v>795</v>
      </c>
      <c r="E166" s="52" t="s">
        <v>65</v>
      </c>
      <c r="F166" s="52" t="s">
        <v>98</v>
      </c>
      <c r="G166" s="52" t="s">
        <v>97</v>
      </c>
      <c r="H166" s="3" t="s">
        <v>794</v>
      </c>
      <c r="I166" s="61">
        <v>660009</v>
      </c>
      <c r="J166" s="15" t="s">
        <v>793</v>
      </c>
      <c r="K166" s="12" t="s">
        <v>792</v>
      </c>
      <c r="L166" s="12" t="s">
        <v>1250</v>
      </c>
      <c r="M166" s="58" t="s">
        <v>5</v>
      </c>
      <c r="N166" s="13">
        <v>150000</v>
      </c>
      <c r="O166" s="14" t="s">
        <v>791</v>
      </c>
      <c r="P166" s="15" t="s">
        <v>1</v>
      </c>
      <c r="Q166" s="3" t="s">
        <v>153</v>
      </c>
      <c r="R166" s="1" t="s">
        <v>0</v>
      </c>
      <c r="S166" s="52" t="s">
        <v>78</v>
      </c>
      <c r="T166" s="137"/>
    </row>
    <row r="167" spans="1:20" ht="12" customHeight="1" x14ac:dyDescent="0.2">
      <c r="A167" s="60">
        <v>46147</v>
      </c>
      <c r="B167" s="57" t="s">
        <v>789</v>
      </c>
      <c r="C167" s="15">
        <v>65739821</v>
      </c>
      <c r="D167" s="52" t="s">
        <v>1149</v>
      </c>
      <c r="E167" s="52" t="s">
        <v>65</v>
      </c>
      <c r="F167" s="52" t="s">
        <v>119</v>
      </c>
      <c r="G167" s="52" t="s">
        <v>120</v>
      </c>
      <c r="H167" s="3" t="s">
        <v>1150</v>
      </c>
      <c r="I167" s="61">
        <v>730005</v>
      </c>
      <c r="J167" s="15" t="s">
        <v>788</v>
      </c>
      <c r="K167" s="12" t="s">
        <v>787</v>
      </c>
      <c r="L167" s="12" t="s">
        <v>1251</v>
      </c>
      <c r="M167" s="58" t="s">
        <v>105</v>
      </c>
      <c r="N167" s="13">
        <v>100000</v>
      </c>
      <c r="O167" s="14" t="s">
        <v>790</v>
      </c>
      <c r="P167" s="15" t="s">
        <v>3</v>
      </c>
      <c r="Q167" s="3" t="s">
        <v>153</v>
      </c>
      <c r="R167" s="1" t="s">
        <v>0</v>
      </c>
      <c r="S167" s="52" t="s">
        <v>78</v>
      </c>
      <c r="T167" s="137"/>
    </row>
    <row r="168" spans="1:20" ht="12" customHeight="1" x14ac:dyDescent="0.2">
      <c r="A168" s="60">
        <v>46147.669594907406</v>
      </c>
      <c r="B168" s="57" t="s">
        <v>789</v>
      </c>
      <c r="C168" s="15">
        <v>65739821</v>
      </c>
      <c r="D168" s="52" t="s">
        <v>1149</v>
      </c>
      <c r="E168" s="52" t="s">
        <v>65</v>
      </c>
      <c r="F168" s="52" t="s">
        <v>119</v>
      </c>
      <c r="G168" s="52" t="s">
        <v>120</v>
      </c>
      <c r="H168" s="3" t="s">
        <v>1150</v>
      </c>
      <c r="I168" s="61">
        <v>730005</v>
      </c>
      <c r="J168" s="15" t="s">
        <v>788</v>
      </c>
      <c r="K168" s="12" t="s">
        <v>787</v>
      </c>
      <c r="L168" s="12" t="s">
        <v>1251</v>
      </c>
      <c r="M168" s="58" t="s">
        <v>8</v>
      </c>
      <c r="N168" s="13">
        <v>0</v>
      </c>
      <c r="O168" s="14" t="s">
        <v>81</v>
      </c>
      <c r="P168" s="15" t="s">
        <v>68</v>
      </c>
      <c r="Q168" s="3" t="s">
        <v>153</v>
      </c>
      <c r="R168" s="1" t="s">
        <v>0</v>
      </c>
      <c r="S168" s="52" t="s">
        <v>78</v>
      </c>
      <c r="T168" s="137"/>
    </row>
    <row r="169" spans="1:20" ht="12" customHeight="1" x14ac:dyDescent="0.2">
      <c r="A169" s="60">
        <v>46150</v>
      </c>
      <c r="B169" s="57" t="s">
        <v>789</v>
      </c>
      <c r="C169" s="15">
        <v>65739821</v>
      </c>
      <c r="D169" s="52" t="s">
        <v>1149</v>
      </c>
      <c r="E169" s="52" t="s">
        <v>65</v>
      </c>
      <c r="F169" s="52" t="s">
        <v>119</v>
      </c>
      <c r="G169" s="52" t="s">
        <v>120</v>
      </c>
      <c r="H169" s="3" t="s">
        <v>1150</v>
      </c>
      <c r="I169" s="61">
        <v>730005</v>
      </c>
      <c r="J169" s="15" t="s">
        <v>788</v>
      </c>
      <c r="K169" s="12" t="s">
        <v>787</v>
      </c>
      <c r="L169" s="12" t="s">
        <v>1251</v>
      </c>
      <c r="M169" s="58" t="s">
        <v>79</v>
      </c>
      <c r="N169" s="13">
        <v>0</v>
      </c>
      <c r="O169" s="14" t="s">
        <v>80</v>
      </c>
      <c r="P169" s="15" t="s">
        <v>68</v>
      </c>
      <c r="Q169" s="3" t="s">
        <v>153</v>
      </c>
      <c r="R169" s="1" t="s">
        <v>0</v>
      </c>
      <c r="S169" s="52" t="s">
        <v>78</v>
      </c>
      <c r="T169" s="137"/>
    </row>
    <row r="170" spans="1:20" ht="12" customHeight="1" x14ac:dyDescent="0.2">
      <c r="A170" s="60">
        <v>46174</v>
      </c>
      <c r="B170" s="57" t="s">
        <v>789</v>
      </c>
      <c r="C170" s="15">
        <v>65739821</v>
      </c>
      <c r="D170" s="52" t="s">
        <v>68</v>
      </c>
      <c r="E170" s="52" t="s">
        <v>65</v>
      </c>
      <c r="F170" s="52" t="s">
        <v>119</v>
      </c>
      <c r="G170" s="52" t="s">
        <v>120</v>
      </c>
      <c r="H170" s="3" t="s">
        <v>1330</v>
      </c>
      <c r="I170" s="61">
        <v>730005</v>
      </c>
      <c r="J170" s="15" t="s">
        <v>788</v>
      </c>
      <c r="K170" s="12" t="s">
        <v>787</v>
      </c>
      <c r="L170" s="12" t="s">
        <v>1251</v>
      </c>
      <c r="M170" s="58" t="s">
        <v>104</v>
      </c>
      <c r="N170" s="13">
        <v>100000</v>
      </c>
      <c r="O170" s="14" t="s">
        <v>1341</v>
      </c>
      <c r="P170" s="15" t="s">
        <v>1351</v>
      </c>
      <c r="Q170" s="3" t="s">
        <v>153</v>
      </c>
      <c r="R170" s="1" t="s">
        <v>0</v>
      </c>
      <c r="S170" s="52" t="s">
        <v>78</v>
      </c>
      <c r="T170" s="137"/>
    </row>
    <row r="171" spans="1:20" ht="12" customHeight="1" x14ac:dyDescent="0.2">
      <c r="A171" s="60">
        <v>46232</v>
      </c>
      <c r="B171" s="57" t="s">
        <v>789</v>
      </c>
      <c r="C171" s="15">
        <v>65739821</v>
      </c>
      <c r="D171" s="52" t="s">
        <v>68</v>
      </c>
      <c r="E171" s="52" t="s">
        <v>65</v>
      </c>
      <c r="F171" s="52" t="s">
        <v>119</v>
      </c>
      <c r="G171" s="52" t="s">
        <v>120</v>
      </c>
      <c r="H171" s="3" t="s">
        <v>1330</v>
      </c>
      <c r="I171" s="61">
        <v>730005</v>
      </c>
      <c r="J171" s="15" t="s">
        <v>788</v>
      </c>
      <c r="K171" s="12" t="s">
        <v>787</v>
      </c>
      <c r="L171" s="12" t="s">
        <v>1251</v>
      </c>
      <c r="M171" s="58" t="s">
        <v>1336</v>
      </c>
      <c r="N171" s="13">
        <v>60000</v>
      </c>
      <c r="O171" s="14" t="s">
        <v>1347</v>
      </c>
      <c r="P171" s="15" t="s">
        <v>3</v>
      </c>
      <c r="Q171" s="3" t="s">
        <v>153</v>
      </c>
      <c r="R171" s="1" t="s">
        <v>0</v>
      </c>
      <c r="S171" s="52" t="s">
        <v>78</v>
      </c>
      <c r="T171" s="137"/>
    </row>
    <row r="172" spans="1:20" ht="12" customHeight="1" x14ac:dyDescent="0.2">
      <c r="A172" s="60">
        <v>45867</v>
      </c>
      <c r="B172" s="57" t="s">
        <v>786</v>
      </c>
      <c r="C172" s="15">
        <v>10268009</v>
      </c>
      <c r="D172" s="52" t="s">
        <v>785</v>
      </c>
      <c r="E172" s="52" t="s">
        <v>65</v>
      </c>
      <c r="F172" s="52" t="s">
        <v>294</v>
      </c>
      <c r="G172" s="52" t="s">
        <v>293</v>
      </c>
      <c r="H172" s="3" t="s">
        <v>784</v>
      </c>
      <c r="I172" s="61">
        <v>170001</v>
      </c>
      <c r="J172" s="15" t="s">
        <v>783</v>
      </c>
      <c r="K172" s="12" t="s">
        <v>782</v>
      </c>
      <c r="L172" s="12" t="s">
        <v>1215</v>
      </c>
      <c r="M172" s="58" t="s">
        <v>108</v>
      </c>
      <c r="N172" s="13">
        <v>200000</v>
      </c>
      <c r="O172" s="14" t="s">
        <v>781</v>
      </c>
      <c r="P172" s="15" t="s">
        <v>3</v>
      </c>
      <c r="Q172" s="3" t="s">
        <v>153</v>
      </c>
      <c r="R172" s="1" t="s">
        <v>0</v>
      </c>
      <c r="S172" s="52" t="s">
        <v>78</v>
      </c>
      <c r="T172" s="137"/>
    </row>
    <row r="173" spans="1:20" ht="12" customHeight="1" x14ac:dyDescent="0.2">
      <c r="A173" s="55">
        <v>45825.756657442129</v>
      </c>
      <c r="B173" s="57" t="s">
        <v>780</v>
      </c>
      <c r="C173" s="15">
        <v>98663385</v>
      </c>
      <c r="D173" s="52" t="s">
        <v>68</v>
      </c>
      <c r="E173" s="52" t="s">
        <v>65</v>
      </c>
      <c r="F173" s="52" t="s">
        <v>110</v>
      </c>
      <c r="G173" s="52" t="s">
        <v>111</v>
      </c>
      <c r="H173" s="3" t="s">
        <v>779</v>
      </c>
      <c r="I173" s="61" t="s">
        <v>778</v>
      </c>
      <c r="J173" s="15" t="s">
        <v>1151</v>
      </c>
      <c r="K173" s="12" t="s">
        <v>777</v>
      </c>
      <c r="L173" s="12" t="s">
        <v>1252</v>
      </c>
      <c r="M173" s="58" t="s">
        <v>4</v>
      </c>
      <c r="N173" s="13">
        <v>200000</v>
      </c>
      <c r="O173" s="14">
        <v>114964</v>
      </c>
      <c r="P173" s="15" t="s">
        <v>106</v>
      </c>
      <c r="Q173" s="3" t="s">
        <v>153</v>
      </c>
      <c r="R173" s="1" t="s">
        <v>0</v>
      </c>
      <c r="S173" s="52" t="s">
        <v>68</v>
      </c>
      <c r="T173" s="137"/>
    </row>
    <row r="174" spans="1:20" ht="12" customHeight="1" x14ac:dyDescent="0.2">
      <c r="A174" s="55">
        <v>46055</v>
      </c>
      <c r="B174" s="57" t="s">
        <v>780</v>
      </c>
      <c r="C174" s="15">
        <v>98663385</v>
      </c>
      <c r="D174" s="52" t="s">
        <v>68</v>
      </c>
      <c r="E174" s="52" t="s">
        <v>65</v>
      </c>
      <c r="F174" s="52" t="s">
        <v>110</v>
      </c>
      <c r="G174" s="52" t="s">
        <v>111</v>
      </c>
      <c r="H174" s="3" t="s">
        <v>779</v>
      </c>
      <c r="I174" s="61" t="s">
        <v>778</v>
      </c>
      <c r="J174" s="15" t="s">
        <v>1151</v>
      </c>
      <c r="K174" s="12" t="s">
        <v>777</v>
      </c>
      <c r="L174" s="12" t="s">
        <v>1252</v>
      </c>
      <c r="M174" s="58" t="s">
        <v>5</v>
      </c>
      <c r="N174" s="13">
        <v>150000</v>
      </c>
      <c r="O174" s="14" t="s">
        <v>776</v>
      </c>
      <c r="P174" s="15" t="s">
        <v>1</v>
      </c>
      <c r="Q174" s="3" t="s">
        <v>153</v>
      </c>
      <c r="R174" s="1" t="s">
        <v>0</v>
      </c>
      <c r="S174" s="52" t="s">
        <v>68</v>
      </c>
      <c r="T174" s="137"/>
    </row>
    <row r="175" spans="1:20" ht="12" customHeight="1" x14ac:dyDescent="0.2">
      <c r="A175" s="60">
        <v>46277</v>
      </c>
      <c r="B175" s="57" t="s">
        <v>780</v>
      </c>
      <c r="C175" s="15">
        <v>98663385</v>
      </c>
      <c r="D175" s="52" t="s">
        <v>68</v>
      </c>
      <c r="E175" s="52" t="s">
        <v>65</v>
      </c>
      <c r="F175" s="52" t="s">
        <v>110</v>
      </c>
      <c r="G175" s="52" t="s">
        <v>111</v>
      </c>
      <c r="H175" s="3" t="s">
        <v>779</v>
      </c>
      <c r="I175" s="61" t="s">
        <v>778</v>
      </c>
      <c r="J175" s="15" t="s">
        <v>1377</v>
      </c>
      <c r="K175" s="12" t="s">
        <v>777</v>
      </c>
      <c r="L175" s="12" t="s">
        <v>1252</v>
      </c>
      <c r="M175" s="58" t="s">
        <v>1336</v>
      </c>
      <c r="N175" s="13" t="s">
        <v>1378</v>
      </c>
      <c r="O175" s="14" t="s">
        <v>1376</v>
      </c>
      <c r="P175" s="15" t="s">
        <v>3</v>
      </c>
      <c r="Q175" s="3" t="s">
        <v>153</v>
      </c>
      <c r="R175" s="1" t="s">
        <v>0</v>
      </c>
      <c r="S175" s="52" t="s">
        <v>68</v>
      </c>
      <c r="T175" s="59"/>
    </row>
    <row r="176" spans="1:20" ht="12" customHeight="1" x14ac:dyDescent="0.2">
      <c r="A176" s="55">
        <v>45898.790879629632</v>
      </c>
      <c r="B176" s="57" t="s">
        <v>775</v>
      </c>
      <c r="C176" s="15" t="s">
        <v>1152</v>
      </c>
      <c r="D176" s="52" t="s">
        <v>774</v>
      </c>
      <c r="E176" s="52" t="s">
        <v>118</v>
      </c>
      <c r="F176" s="52" t="s">
        <v>248</v>
      </c>
      <c r="G176" s="52" t="s">
        <v>248</v>
      </c>
      <c r="H176" s="3" t="s">
        <v>773</v>
      </c>
      <c r="I176" s="61" t="s">
        <v>1153</v>
      </c>
      <c r="J176" s="15" t="s">
        <v>772</v>
      </c>
      <c r="K176" s="12" t="s">
        <v>771</v>
      </c>
      <c r="L176" s="12" t="s">
        <v>1253</v>
      </c>
      <c r="M176" s="58" t="s">
        <v>102</v>
      </c>
      <c r="N176" s="13">
        <v>300000</v>
      </c>
      <c r="O176" s="14" t="s">
        <v>770</v>
      </c>
      <c r="P176" s="15" t="s">
        <v>50</v>
      </c>
      <c r="Q176" s="3" t="s">
        <v>153</v>
      </c>
      <c r="R176" s="1" t="s">
        <v>0</v>
      </c>
      <c r="S176" s="52" t="s">
        <v>78</v>
      </c>
      <c r="T176" s="137"/>
    </row>
    <row r="177" spans="1:20" ht="12" customHeight="1" x14ac:dyDescent="0.2">
      <c r="A177" s="55">
        <v>46132</v>
      </c>
      <c r="B177" s="57" t="s">
        <v>769</v>
      </c>
      <c r="C177" s="15">
        <v>1047367059</v>
      </c>
      <c r="D177" s="52" t="s">
        <v>768</v>
      </c>
      <c r="E177" s="52" t="s">
        <v>138</v>
      </c>
      <c r="F177" s="52" t="s">
        <v>767</v>
      </c>
      <c r="G177" s="52" t="s">
        <v>766</v>
      </c>
      <c r="H177" s="3" t="s">
        <v>765</v>
      </c>
      <c r="I177" s="61" t="s">
        <v>1154</v>
      </c>
      <c r="J177" s="15" t="s">
        <v>764</v>
      </c>
      <c r="K177" s="12" t="s">
        <v>763</v>
      </c>
      <c r="L177" s="12" t="s">
        <v>1254</v>
      </c>
      <c r="M177" s="125" t="s">
        <v>47</v>
      </c>
      <c r="N177" s="13">
        <v>200000</v>
      </c>
      <c r="O177" s="14" t="s">
        <v>1155</v>
      </c>
      <c r="P177" s="15" t="s">
        <v>1</v>
      </c>
      <c r="Q177" s="3" t="s">
        <v>153</v>
      </c>
      <c r="R177" s="1" t="s">
        <v>0</v>
      </c>
      <c r="S177" s="52" t="s">
        <v>78</v>
      </c>
      <c r="T177" s="137"/>
    </row>
    <row r="178" spans="1:20" ht="12" customHeight="1" x14ac:dyDescent="0.2">
      <c r="A178" s="55">
        <v>46132</v>
      </c>
      <c r="B178" s="57" t="s">
        <v>769</v>
      </c>
      <c r="C178" s="15">
        <v>1047367059</v>
      </c>
      <c r="D178" s="52" t="s">
        <v>768</v>
      </c>
      <c r="E178" s="52" t="s">
        <v>138</v>
      </c>
      <c r="F178" s="52" t="s">
        <v>767</v>
      </c>
      <c r="G178" s="52" t="s">
        <v>766</v>
      </c>
      <c r="H178" s="3" t="s">
        <v>765</v>
      </c>
      <c r="I178" s="61">
        <v>2860</v>
      </c>
      <c r="J178" s="15" t="s">
        <v>764</v>
      </c>
      <c r="K178" s="12" t="s">
        <v>763</v>
      </c>
      <c r="L178" s="12" t="s">
        <v>1254</v>
      </c>
      <c r="M178" s="125" t="s">
        <v>86</v>
      </c>
      <c r="N178" s="13">
        <v>0</v>
      </c>
      <c r="O178" s="14" t="s">
        <v>81</v>
      </c>
      <c r="P178" s="15" t="s">
        <v>68</v>
      </c>
      <c r="Q178" s="3" t="s">
        <v>153</v>
      </c>
      <c r="R178" s="1" t="s">
        <v>0</v>
      </c>
      <c r="S178" s="52" t="s">
        <v>78</v>
      </c>
      <c r="T178" s="137"/>
    </row>
    <row r="179" spans="1:20" ht="12" customHeight="1" x14ac:dyDescent="0.2">
      <c r="A179" s="55">
        <v>45812.666721782407</v>
      </c>
      <c r="B179" s="57" t="s">
        <v>759</v>
      </c>
      <c r="C179" s="15">
        <v>10009797</v>
      </c>
      <c r="D179" s="52" t="s">
        <v>68</v>
      </c>
      <c r="E179" s="52" t="s">
        <v>65</v>
      </c>
      <c r="F179" s="52" t="s">
        <v>66</v>
      </c>
      <c r="G179" s="52" t="s">
        <v>758</v>
      </c>
      <c r="H179" s="3" t="s">
        <v>762</v>
      </c>
      <c r="I179" s="61">
        <v>761501</v>
      </c>
      <c r="J179" s="15" t="s">
        <v>756</v>
      </c>
      <c r="K179" s="12" t="s">
        <v>755</v>
      </c>
      <c r="L179" s="12" t="s">
        <v>1255</v>
      </c>
      <c r="M179" s="58" t="s">
        <v>4</v>
      </c>
      <c r="N179" s="13">
        <v>200000</v>
      </c>
      <c r="O179" s="14" t="s">
        <v>761</v>
      </c>
      <c r="P179" s="15" t="s">
        <v>3</v>
      </c>
      <c r="Q179" s="3" t="s">
        <v>153</v>
      </c>
      <c r="R179" s="1" t="s">
        <v>0</v>
      </c>
      <c r="S179" s="52" t="s">
        <v>68</v>
      </c>
      <c r="T179" s="137"/>
    </row>
    <row r="180" spans="1:20" ht="12" customHeight="1" x14ac:dyDescent="0.2">
      <c r="A180" s="55">
        <v>45815.847717141209</v>
      </c>
      <c r="B180" s="57" t="s">
        <v>759</v>
      </c>
      <c r="C180" s="15">
        <v>10009797</v>
      </c>
      <c r="D180" s="52" t="s">
        <v>68</v>
      </c>
      <c r="E180" s="52" t="s">
        <v>65</v>
      </c>
      <c r="F180" s="52" t="s">
        <v>66</v>
      </c>
      <c r="G180" s="52" t="s">
        <v>758</v>
      </c>
      <c r="H180" s="3" t="s">
        <v>757</v>
      </c>
      <c r="I180" s="61">
        <v>761501</v>
      </c>
      <c r="J180" s="15" t="s">
        <v>756</v>
      </c>
      <c r="K180" s="12" t="s">
        <v>755</v>
      </c>
      <c r="L180" s="12" t="s">
        <v>1255</v>
      </c>
      <c r="M180" s="58" t="s">
        <v>104</v>
      </c>
      <c r="N180" s="13">
        <v>120000</v>
      </c>
      <c r="O180" s="14" t="s">
        <v>760</v>
      </c>
      <c r="P180" s="15" t="s">
        <v>3</v>
      </c>
      <c r="Q180" s="3" t="s">
        <v>153</v>
      </c>
      <c r="R180" s="1" t="s">
        <v>0</v>
      </c>
      <c r="S180" s="52" t="s">
        <v>68</v>
      </c>
      <c r="T180" s="137"/>
    </row>
    <row r="181" spans="1:20" ht="12" customHeight="1" x14ac:dyDescent="0.2">
      <c r="A181" s="55">
        <v>46050</v>
      </c>
      <c r="B181" s="57" t="s">
        <v>759</v>
      </c>
      <c r="C181" s="15">
        <v>10009797</v>
      </c>
      <c r="D181" s="52" t="s">
        <v>68</v>
      </c>
      <c r="E181" s="52" t="s">
        <v>65</v>
      </c>
      <c r="F181" s="52" t="s">
        <v>66</v>
      </c>
      <c r="G181" s="52" t="s">
        <v>758</v>
      </c>
      <c r="H181" s="3" t="s">
        <v>757</v>
      </c>
      <c r="I181" s="61">
        <v>761501</v>
      </c>
      <c r="J181" s="15" t="s">
        <v>756</v>
      </c>
      <c r="K181" s="12" t="s">
        <v>755</v>
      </c>
      <c r="L181" s="12" t="s">
        <v>1255</v>
      </c>
      <c r="M181" s="58" t="s">
        <v>5</v>
      </c>
      <c r="N181" s="13">
        <v>150000</v>
      </c>
      <c r="O181" s="14" t="s">
        <v>754</v>
      </c>
      <c r="P181" s="15" t="s">
        <v>3</v>
      </c>
      <c r="Q181" s="3" t="s">
        <v>153</v>
      </c>
      <c r="R181" s="1" t="s">
        <v>0</v>
      </c>
      <c r="S181" s="52" t="s">
        <v>68</v>
      </c>
      <c r="T181" s="137"/>
    </row>
    <row r="182" spans="1:20" ht="12" customHeight="1" x14ac:dyDescent="0.2">
      <c r="A182" s="135">
        <v>46280</v>
      </c>
      <c r="B182" s="57" t="s">
        <v>759</v>
      </c>
      <c r="C182" s="15">
        <v>10009797</v>
      </c>
      <c r="D182" s="52" t="s">
        <v>68</v>
      </c>
      <c r="E182" s="52" t="s">
        <v>65</v>
      </c>
      <c r="F182" s="52" t="s">
        <v>66</v>
      </c>
      <c r="G182" s="52" t="s">
        <v>758</v>
      </c>
      <c r="H182" s="3" t="s">
        <v>757</v>
      </c>
      <c r="I182" s="61">
        <v>761501</v>
      </c>
      <c r="J182" s="15" t="s">
        <v>756</v>
      </c>
      <c r="K182" s="12" t="s">
        <v>755</v>
      </c>
      <c r="L182" s="12" t="s">
        <v>1255</v>
      </c>
      <c r="M182" s="58" t="s">
        <v>1379</v>
      </c>
      <c r="N182" s="13">
        <v>150000</v>
      </c>
      <c r="O182" s="14" t="s">
        <v>1380</v>
      </c>
      <c r="P182" s="15" t="s">
        <v>3</v>
      </c>
      <c r="Q182" s="3" t="s">
        <v>153</v>
      </c>
      <c r="R182" s="1" t="s">
        <v>0</v>
      </c>
      <c r="S182" s="52" t="s">
        <v>68</v>
      </c>
    </row>
    <row r="183" spans="1:20" ht="12" customHeight="1" x14ac:dyDescent="0.2">
      <c r="A183" s="55">
        <v>45858.699849537035</v>
      </c>
      <c r="B183" s="57" t="s">
        <v>752</v>
      </c>
      <c r="C183" s="15" t="s">
        <v>1156</v>
      </c>
      <c r="D183" s="52" t="s">
        <v>751</v>
      </c>
      <c r="E183" s="52" t="s">
        <v>118</v>
      </c>
      <c r="F183" s="52" t="s">
        <v>248</v>
      </c>
      <c r="G183" s="52" t="s">
        <v>248</v>
      </c>
      <c r="H183" s="3" t="s">
        <v>750</v>
      </c>
      <c r="I183" s="61" t="s">
        <v>749</v>
      </c>
      <c r="J183" s="15" t="s">
        <v>748</v>
      </c>
      <c r="K183" s="12" t="s">
        <v>747</v>
      </c>
      <c r="L183" s="12" t="s">
        <v>1256</v>
      </c>
      <c r="M183" s="58" t="s">
        <v>108</v>
      </c>
      <c r="N183" s="13">
        <v>200000</v>
      </c>
      <c r="O183" s="14" t="s">
        <v>753</v>
      </c>
      <c r="P183" s="15" t="s">
        <v>50</v>
      </c>
      <c r="Q183" s="3" t="s">
        <v>153</v>
      </c>
      <c r="R183" s="1" t="s">
        <v>0</v>
      </c>
      <c r="S183" s="52" t="s">
        <v>78</v>
      </c>
      <c r="T183" s="137"/>
    </row>
    <row r="184" spans="1:20" ht="12" customHeight="1" x14ac:dyDescent="0.2">
      <c r="A184" s="55">
        <v>45997</v>
      </c>
      <c r="B184" s="57" t="s">
        <v>752</v>
      </c>
      <c r="C184" s="15" t="s">
        <v>1156</v>
      </c>
      <c r="D184" s="52" t="s">
        <v>751</v>
      </c>
      <c r="E184" s="52" t="s">
        <v>118</v>
      </c>
      <c r="F184" s="52" t="s">
        <v>248</v>
      </c>
      <c r="G184" s="52" t="s">
        <v>248</v>
      </c>
      <c r="H184" s="3" t="s">
        <v>750</v>
      </c>
      <c r="I184" s="61" t="s">
        <v>749</v>
      </c>
      <c r="J184" s="15" t="s">
        <v>748</v>
      </c>
      <c r="K184" s="12" t="s">
        <v>747</v>
      </c>
      <c r="L184" s="12" t="s">
        <v>1256</v>
      </c>
      <c r="M184" s="58" t="s">
        <v>746</v>
      </c>
      <c r="N184" s="13">
        <v>300000</v>
      </c>
      <c r="O184" s="14" t="s">
        <v>745</v>
      </c>
      <c r="P184" s="15" t="s">
        <v>744</v>
      </c>
      <c r="Q184" s="3" t="s">
        <v>153</v>
      </c>
      <c r="R184" s="1" t="s">
        <v>0</v>
      </c>
      <c r="S184" s="52" t="s">
        <v>78</v>
      </c>
      <c r="T184" s="137"/>
    </row>
    <row r="185" spans="1:20" ht="12" customHeight="1" x14ac:dyDescent="0.2">
      <c r="A185" s="55">
        <v>45914.65148148148</v>
      </c>
      <c r="B185" s="57" t="s">
        <v>743</v>
      </c>
      <c r="C185" s="15">
        <v>1012360238</v>
      </c>
      <c r="D185" s="52" t="s">
        <v>68</v>
      </c>
      <c r="E185" s="52" t="s">
        <v>65</v>
      </c>
      <c r="F185" s="52" t="s">
        <v>536</v>
      </c>
      <c r="G185" s="52" t="s">
        <v>742</v>
      </c>
      <c r="H185" s="3" t="s">
        <v>741</v>
      </c>
      <c r="I185" s="61">
        <v>527060</v>
      </c>
      <c r="J185" s="15" t="s">
        <v>740</v>
      </c>
      <c r="K185" s="12" t="s">
        <v>739</v>
      </c>
      <c r="L185" s="12" t="s">
        <v>1257</v>
      </c>
      <c r="M185" s="58" t="s">
        <v>84</v>
      </c>
      <c r="N185" s="13">
        <v>120000</v>
      </c>
      <c r="O185" s="14" t="s">
        <v>738</v>
      </c>
      <c r="P185" s="15" t="s">
        <v>3</v>
      </c>
      <c r="Q185" s="3" t="s">
        <v>153</v>
      </c>
      <c r="R185" s="1" t="s">
        <v>0</v>
      </c>
      <c r="S185" s="52" t="s">
        <v>68</v>
      </c>
      <c r="T185" s="137"/>
    </row>
    <row r="186" spans="1:20" ht="12" customHeight="1" x14ac:dyDescent="0.2">
      <c r="A186" s="55">
        <v>45723</v>
      </c>
      <c r="B186" s="57" t="s">
        <v>736</v>
      </c>
      <c r="C186" s="15">
        <v>1061822047</v>
      </c>
      <c r="D186" s="52" t="s">
        <v>735</v>
      </c>
      <c r="E186" s="52" t="s">
        <v>65</v>
      </c>
      <c r="F186" s="52" t="s">
        <v>164</v>
      </c>
      <c r="G186" s="52" t="s">
        <v>206</v>
      </c>
      <c r="H186" s="3" t="s">
        <v>1157</v>
      </c>
      <c r="I186" s="61" t="s">
        <v>1158</v>
      </c>
      <c r="J186" s="15" t="s">
        <v>734</v>
      </c>
      <c r="K186" s="12" t="s">
        <v>733</v>
      </c>
      <c r="L186" s="61" t="s">
        <v>1316</v>
      </c>
      <c r="M186" s="126" t="s">
        <v>8</v>
      </c>
      <c r="N186" s="123">
        <v>100000</v>
      </c>
      <c r="O186" s="122" t="s">
        <v>737</v>
      </c>
      <c r="P186" s="15" t="s">
        <v>1</v>
      </c>
      <c r="Q186" s="3" t="s">
        <v>153</v>
      </c>
      <c r="R186" s="1" t="s">
        <v>0</v>
      </c>
      <c r="S186" s="52" t="s">
        <v>78</v>
      </c>
      <c r="T186" s="137"/>
    </row>
    <row r="187" spans="1:20" ht="12" customHeight="1" x14ac:dyDescent="0.2">
      <c r="A187" s="55">
        <v>45926</v>
      </c>
      <c r="B187" s="57" t="s">
        <v>736</v>
      </c>
      <c r="C187" s="15">
        <v>1061822047</v>
      </c>
      <c r="D187" s="52" t="s">
        <v>735</v>
      </c>
      <c r="E187" s="52" t="s">
        <v>65</v>
      </c>
      <c r="F187" s="52" t="s">
        <v>164</v>
      </c>
      <c r="G187" s="52" t="s">
        <v>206</v>
      </c>
      <c r="H187" s="3" t="s">
        <v>1157</v>
      </c>
      <c r="I187" s="61">
        <v>190003</v>
      </c>
      <c r="J187" s="15" t="s">
        <v>734</v>
      </c>
      <c r="K187" s="12" t="s">
        <v>733</v>
      </c>
      <c r="L187" s="61" t="s">
        <v>1316</v>
      </c>
      <c r="M187" s="126" t="s">
        <v>180</v>
      </c>
      <c r="N187" s="123">
        <v>20000</v>
      </c>
      <c r="O187" s="122" t="s">
        <v>732</v>
      </c>
      <c r="P187" s="15" t="s">
        <v>1</v>
      </c>
      <c r="Q187" s="3" t="s">
        <v>153</v>
      </c>
      <c r="R187" s="1" t="s">
        <v>0</v>
      </c>
      <c r="S187" s="52" t="s">
        <v>78</v>
      </c>
      <c r="T187" s="137"/>
    </row>
    <row r="188" spans="1:20" ht="12" customHeight="1" x14ac:dyDescent="0.2">
      <c r="A188" s="135">
        <v>46160</v>
      </c>
      <c r="B188" s="57" t="s">
        <v>731</v>
      </c>
      <c r="C188" s="15">
        <v>36573146</v>
      </c>
      <c r="D188" s="52" t="s">
        <v>730</v>
      </c>
      <c r="E188" s="52" t="s">
        <v>65</v>
      </c>
      <c r="F188" s="52" t="s">
        <v>129</v>
      </c>
      <c r="G188" s="52" t="s">
        <v>157</v>
      </c>
      <c r="H188" s="3" t="s">
        <v>729</v>
      </c>
      <c r="I188" s="61">
        <v>203020</v>
      </c>
      <c r="J188" s="15" t="s">
        <v>728</v>
      </c>
      <c r="K188" s="12" t="s">
        <v>727</v>
      </c>
      <c r="L188" s="61" t="s">
        <v>1258</v>
      </c>
      <c r="M188" s="12" t="s">
        <v>2</v>
      </c>
      <c r="N188" s="13">
        <v>100000</v>
      </c>
      <c r="O188" s="12" t="s">
        <v>726</v>
      </c>
      <c r="P188" s="15" t="s">
        <v>3</v>
      </c>
      <c r="Q188" s="3" t="s">
        <v>153</v>
      </c>
      <c r="R188" s="1" t="s">
        <v>0</v>
      </c>
      <c r="S188" s="52" t="s">
        <v>78</v>
      </c>
      <c r="T188" s="137"/>
    </row>
    <row r="189" spans="1:20" ht="12" customHeight="1" x14ac:dyDescent="0.2">
      <c r="A189" s="55">
        <v>45814.624837835647</v>
      </c>
      <c r="B189" s="57" t="s">
        <v>725</v>
      </c>
      <c r="C189" s="15">
        <v>1045417404</v>
      </c>
      <c r="D189" s="52" t="s">
        <v>724</v>
      </c>
      <c r="E189" s="52" t="s">
        <v>65</v>
      </c>
      <c r="F189" s="52" t="s">
        <v>110</v>
      </c>
      <c r="G189" s="52" t="s">
        <v>723</v>
      </c>
      <c r="H189" s="3" t="s">
        <v>1159</v>
      </c>
      <c r="I189" s="61" t="s">
        <v>722</v>
      </c>
      <c r="J189" s="15" t="s">
        <v>721</v>
      </c>
      <c r="K189" s="12" t="s">
        <v>720</v>
      </c>
      <c r="L189" s="61" t="s">
        <v>1259</v>
      </c>
      <c r="M189" s="58" t="s">
        <v>104</v>
      </c>
      <c r="N189" s="13">
        <v>120000</v>
      </c>
      <c r="O189" s="14" t="s">
        <v>719</v>
      </c>
      <c r="P189" s="15" t="s">
        <v>3</v>
      </c>
      <c r="Q189" s="3" t="s">
        <v>153</v>
      </c>
      <c r="R189" s="1" t="s">
        <v>0</v>
      </c>
      <c r="S189" s="52" t="s">
        <v>78</v>
      </c>
      <c r="T189" s="137"/>
    </row>
    <row r="190" spans="1:20" ht="12" customHeight="1" x14ac:dyDescent="0.2">
      <c r="A190" s="55">
        <v>45889</v>
      </c>
      <c r="B190" s="57" t="s">
        <v>705</v>
      </c>
      <c r="C190" s="15">
        <v>18510129</v>
      </c>
      <c r="D190" s="52" t="s">
        <v>1160</v>
      </c>
      <c r="E190" s="52" t="s">
        <v>65</v>
      </c>
      <c r="F190" s="52" t="s">
        <v>98</v>
      </c>
      <c r="G190" s="52" t="s">
        <v>103</v>
      </c>
      <c r="H190" s="3" t="s">
        <v>1161</v>
      </c>
      <c r="I190" s="61">
        <v>661001</v>
      </c>
      <c r="J190" s="15" t="s">
        <v>704</v>
      </c>
      <c r="K190" s="12" t="s">
        <v>703</v>
      </c>
      <c r="L190" s="61" t="s">
        <v>1317</v>
      </c>
      <c r="M190" s="127" t="s">
        <v>112</v>
      </c>
      <c r="N190" s="100">
        <v>200000</v>
      </c>
      <c r="O190" s="101" t="s">
        <v>718</v>
      </c>
      <c r="P190" s="15" t="s">
        <v>114</v>
      </c>
      <c r="Q190" s="3" t="s">
        <v>153</v>
      </c>
      <c r="R190" s="1" t="s">
        <v>0</v>
      </c>
      <c r="S190" s="52" t="s">
        <v>78</v>
      </c>
      <c r="T190" s="137"/>
    </row>
    <row r="191" spans="1:20" ht="12" customHeight="1" x14ac:dyDescent="0.2">
      <c r="A191" s="55">
        <v>46015</v>
      </c>
      <c r="B191" s="57" t="s">
        <v>705</v>
      </c>
      <c r="C191" s="15">
        <v>18510129</v>
      </c>
      <c r="D191" s="52" t="s">
        <v>1160</v>
      </c>
      <c r="E191" s="52" t="s">
        <v>65</v>
      </c>
      <c r="F191" s="52" t="s">
        <v>98</v>
      </c>
      <c r="G191" s="52" t="s">
        <v>103</v>
      </c>
      <c r="H191" s="3" t="s">
        <v>1161</v>
      </c>
      <c r="I191" s="61">
        <v>661001</v>
      </c>
      <c r="J191" s="15" t="s">
        <v>704</v>
      </c>
      <c r="K191" s="12" t="s">
        <v>703</v>
      </c>
      <c r="L191" s="61" t="s">
        <v>1317</v>
      </c>
      <c r="M191" s="127" t="s">
        <v>717</v>
      </c>
      <c r="N191" s="100">
        <v>200000</v>
      </c>
      <c r="O191" s="101" t="s">
        <v>1162</v>
      </c>
      <c r="P191" s="15" t="s">
        <v>109</v>
      </c>
      <c r="Q191" s="3" t="s">
        <v>153</v>
      </c>
      <c r="R191" s="1" t="s">
        <v>0</v>
      </c>
      <c r="S191" s="52" t="s">
        <v>78</v>
      </c>
      <c r="T191" s="137"/>
    </row>
    <row r="192" spans="1:20" ht="12" customHeight="1" x14ac:dyDescent="0.2">
      <c r="A192" s="55">
        <v>46056</v>
      </c>
      <c r="B192" s="57" t="s">
        <v>705</v>
      </c>
      <c r="C192" s="15">
        <v>18510129</v>
      </c>
      <c r="D192" s="52" t="s">
        <v>1160</v>
      </c>
      <c r="E192" s="52" t="s">
        <v>65</v>
      </c>
      <c r="F192" s="52" t="s">
        <v>98</v>
      </c>
      <c r="G192" s="52" t="s">
        <v>103</v>
      </c>
      <c r="H192" s="3" t="s">
        <v>1161</v>
      </c>
      <c r="I192" s="61">
        <v>661001</v>
      </c>
      <c r="J192" s="15" t="s">
        <v>704</v>
      </c>
      <c r="K192" s="12" t="s">
        <v>703</v>
      </c>
      <c r="L192" s="61" t="s">
        <v>1317</v>
      </c>
      <c r="M192" s="58" t="s">
        <v>5</v>
      </c>
      <c r="N192" s="13">
        <v>150000</v>
      </c>
      <c r="O192" s="14" t="s">
        <v>716</v>
      </c>
      <c r="P192" s="15" t="s">
        <v>114</v>
      </c>
      <c r="Q192" s="3" t="s">
        <v>153</v>
      </c>
      <c r="R192" s="1" t="s">
        <v>0</v>
      </c>
      <c r="S192" s="52" t="s">
        <v>78</v>
      </c>
      <c r="T192" s="137"/>
    </row>
    <row r="193" spans="1:20" ht="12" customHeight="1" x14ac:dyDescent="0.2">
      <c r="A193" s="55">
        <v>46062</v>
      </c>
      <c r="B193" s="57" t="s">
        <v>705</v>
      </c>
      <c r="C193" s="15">
        <v>18510129</v>
      </c>
      <c r="D193" s="52" t="s">
        <v>1160</v>
      </c>
      <c r="E193" s="52" t="s">
        <v>65</v>
      </c>
      <c r="F193" s="52" t="s">
        <v>98</v>
      </c>
      <c r="G193" s="52" t="s">
        <v>103</v>
      </c>
      <c r="H193" s="3" t="s">
        <v>1161</v>
      </c>
      <c r="I193" s="61">
        <v>661001</v>
      </c>
      <c r="J193" s="15" t="s">
        <v>704</v>
      </c>
      <c r="K193" s="12" t="s">
        <v>703</v>
      </c>
      <c r="L193" s="61" t="s">
        <v>1317</v>
      </c>
      <c r="M193" s="58" t="s">
        <v>715</v>
      </c>
      <c r="N193" s="13">
        <v>3000000</v>
      </c>
      <c r="O193" s="14" t="s">
        <v>714</v>
      </c>
      <c r="P193" s="15" t="s">
        <v>114</v>
      </c>
      <c r="Q193" s="3" t="s">
        <v>153</v>
      </c>
      <c r="R193" s="1" t="s">
        <v>0</v>
      </c>
      <c r="S193" s="52" t="s">
        <v>78</v>
      </c>
      <c r="T193" s="137"/>
    </row>
    <row r="194" spans="1:20" ht="12" customHeight="1" x14ac:dyDescent="0.2">
      <c r="A194" s="55">
        <v>46106</v>
      </c>
      <c r="B194" s="57" t="s">
        <v>705</v>
      </c>
      <c r="C194" s="15">
        <v>18510129</v>
      </c>
      <c r="D194" s="52" t="s">
        <v>1160</v>
      </c>
      <c r="E194" s="52" t="s">
        <v>65</v>
      </c>
      <c r="F194" s="52" t="s">
        <v>98</v>
      </c>
      <c r="G194" s="52" t="s">
        <v>103</v>
      </c>
      <c r="H194" s="3" t="s">
        <v>1161</v>
      </c>
      <c r="I194" s="61">
        <v>661001</v>
      </c>
      <c r="J194" s="15" t="s">
        <v>704</v>
      </c>
      <c r="K194" s="12" t="s">
        <v>703</v>
      </c>
      <c r="L194" s="61" t="s">
        <v>1317</v>
      </c>
      <c r="M194" s="58" t="s">
        <v>47</v>
      </c>
      <c r="N194" s="13">
        <v>200000</v>
      </c>
      <c r="O194" s="12" t="s">
        <v>713</v>
      </c>
      <c r="P194" s="15" t="s">
        <v>114</v>
      </c>
      <c r="Q194" s="3" t="s">
        <v>153</v>
      </c>
      <c r="R194" s="1" t="s">
        <v>0</v>
      </c>
      <c r="S194" s="52" t="s">
        <v>78</v>
      </c>
      <c r="T194" s="137"/>
    </row>
    <row r="195" spans="1:20" ht="12" customHeight="1" x14ac:dyDescent="0.2">
      <c r="A195" s="55">
        <v>46118</v>
      </c>
      <c r="B195" s="57" t="s">
        <v>705</v>
      </c>
      <c r="C195" s="15">
        <v>18510129</v>
      </c>
      <c r="D195" s="52" t="s">
        <v>1160</v>
      </c>
      <c r="E195" s="52" t="s">
        <v>65</v>
      </c>
      <c r="F195" s="52" t="s">
        <v>98</v>
      </c>
      <c r="G195" s="52" t="s">
        <v>103</v>
      </c>
      <c r="H195" s="3" t="s">
        <v>1161</v>
      </c>
      <c r="I195" s="61">
        <v>661001</v>
      </c>
      <c r="J195" s="15" t="s">
        <v>704</v>
      </c>
      <c r="K195" s="12" t="s">
        <v>703</v>
      </c>
      <c r="L195" s="61" t="s">
        <v>1317</v>
      </c>
      <c r="M195" s="58" t="s">
        <v>712</v>
      </c>
      <c r="N195" s="13">
        <v>800000</v>
      </c>
      <c r="O195" s="99" t="s">
        <v>711</v>
      </c>
      <c r="P195" s="15" t="s">
        <v>114</v>
      </c>
      <c r="Q195" s="3" t="s">
        <v>153</v>
      </c>
      <c r="R195" s="1" t="s">
        <v>0</v>
      </c>
      <c r="S195" s="52" t="s">
        <v>78</v>
      </c>
      <c r="T195" s="137"/>
    </row>
    <row r="196" spans="1:20" ht="12" customHeight="1" x14ac:dyDescent="0.2">
      <c r="A196" s="55">
        <v>46125</v>
      </c>
      <c r="B196" s="57" t="s">
        <v>705</v>
      </c>
      <c r="C196" s="15">
        <v>18510129</v>
      </c>
      <c r="D196" s="52" t="s">
        <v>1160</v>
      </c>
      <c r="E196" s="52" t="s">
        <v>65</v>
      </c>
      <c r="F196" s="52" t="s">
        <v>98</v>
      </c>
      <c r="G196" s="52" t="s">
        <v>103</v>
      </c>
      <c r="H196" s="3" t="s">
        <v>1161</v>
      </c>
      <c r="I196" s="61">
        <v>661001</v>
      </c>
      <c r="J196" s="15" t="s">
        <v>704</v>
      </c>
      <c r="K196" s="12" t="s">
        <v>703</v>
      </c>
      <c r="L196" s="61" t="s">
        <v>1317</v>
      </c>
      <c r="M196" s="58" t="s">
        <v>710</v>
      </c>
      <c r="N196" s="13">
        <v>1000000</v>
      </c>
      <c r="O196" s="12" t="s">
        <v>709</v>
      </c>
      <c r="P196" s="15" t="s">
        <v>114</v>
      </c>
      <c r="Q196" s="3" t="s">
        <v>153</v>
      </c>
      <c r="R196" s="1" t="s">
        <v>0</v>
      </c>
      <c r="S196" s="52" t="s">
        <v>78</v>
      </c>
      <c r="T196" s="137"/>
    </row>
    <row r="197" spans="1:20" ht="12" customHeight="1" x14ac:dyDescent="0.2">
      <c r="A197" s="55">
        <v>46125.70003472222</v>
      </c>
      <c r="B197" s="57" t="s">
        <v>705</v>
      </c>
      <c r="C197" s="15">
        <v>18510129</v>
      </c>
      <c r="D197" s="52" t="s">
        <v>1160</v>
      </c>
      <c r="E197" s="52" t="s">
        <v>65</v>
      </c>
      <c r="F197" s="52" t="s">
        <v>98</v>
      </c>
      <c r="G197" s="52" t="s">
        <v>103</v>
      </c>
      <c r="H197" s="3" t="s">
        <v>1161</v>
      </c>
      <c r="I197" s="61">
        <v>661001</v>
      </c>
      <c r="J197" s="15" t="s">
        <v>704</v>
      </c>
      <c r="K197" s="12" t="s">
        <v>703</v>
      </c>
      <c r="L197" s="61" t="s">
        <v>1317</v>
      </c>
      <c r="M197" s="125" t="s">
        <v>8</v>
      </c>
      <c r="N197" s="13">
        <v>0</v>
      </c>
      <c r="O197" s="14" t="s">
        <v>81</v>
      </c>
      <c r="P197" s="15" t="s">
        <v>68</v>
      </c>
      <c r="Q197" s="3" t="s">
        <v>153</v>
      </c>
      <c r="R197" s="1" t="s">
        <v>0</v>
      </c>
      <c r="S197" s="52" t="s">
        <v>78</v>
      </c>
      <c r="T197" s="137"/>
    </row>
    <row r="198" spans="1:20" ht="12" customHeight="1" x14ac:dyDescent="0.2">
      <c r="A198" s="55">
        <v>46126.729930555557</v>
      </c>
      <c r="B198" s="57" t="s">
        <v>705</v>
      </c>
      <c r="C198" s="15">
        <v>18510129</v>
      </c>
      <c r="D198" s="52" t="s">
        <v>1160</v>
      </c>
      <c r="E198" s="52" t="s">
        <v>65</v>
      </c>
      <c r="F198" s="52" t="s">
        <v>98</v>
      </c>
      <c r="G198" s="52" t="s">
        <v>103</v>
      </c>
      <c r="H198" s="3" t="s">
        <v>1161</v>
      </c>
      <c r="I198" s="61">
        <v>661001</v>
      </c>
      <c r="J198" s="15" t="s">
        <v>704</v>
      </c>
      <c r="K198" s="12" t="s">
        <v>703</v>
      </c>
      <c r="L198" s="61" t="s">
        <v>1317</v>
      </c>
      <c r="M198" s="125" t="s">
        <v>8</v>
      </c>
      <c r="N198" s="13">
        <v>0</v>
      </c>
      <c r="O198" s="14" t="s">
        <v>81</v>
      </c>
      <c r="P198" s="15" t="s">
        <v>68</v>
      </c>
      <c r="Q198" s="3" t="s">
        <v>153</v>
      </c>
      <c r="R198" s="1" t="s">
        <v>0</v>
      </c>
      <c r="S198" s="52" t="s">
        <v>78</v>
      </c>
      <c r="T198" s="137"/>
    </row>
    <row r="199" spans="1:20" ht="12" customHeight="1" x14ac:dyDescent="0.2">
      <c r="A199" s="55">
        <v>46126.731817129628</v>
      </c>
      <c r="B199" s="57" t="s">
        <v>705</v>
      </c>
      <c r="C199" s="15">
        <v>18510129</v>
      </c>
      <c r="D199" s="52" t="s">
        <v>1160</v>
      </c>
      <c r="E199" s="52" t="s">
        <v>65</v>
      </c>
      <c r="F199" s="52" t="s">
        <v>98</v>
      </c>
      <c r="G199" s="52" t="s">
        <v>103</v>
      </c>
      <c r="H199" s="3" t="s">
        <v>1161</v>
      </c>
      <c r="I199" s="61">
        <v>661001</v>
      </c>
      <c r="J199" s="15" t="s">
        <v>704</v>
      </c>
      <c r="K199" s="12" t="s">
        <v>703</v>
      </c>
      <c r="L199" s="61" t="s">
        <v>1317</v>
      </c>
      <c r="M199" s="125" t="s">
        <v>86</v>
      </c>
      <c r="N199" s="13">
        <v>0</v>
      </c>
      <c r="O199" s="14" t="s">
        <v>81</v>
      </c>
      <c r="P199" s="15" t="s">
        <v>68</v>
      </c>
      <c r="Q199" s="3" t="s">
        <v>153</v>
      </c>
      <c r="R199" s="1" t="s">
        <v>0</v>
      </c>
      <c r="S199" s="52" t="s">
        <v>78</v>
      </c>
      <c r="T199" s="137"/>
    </row>
    <row r="200" spans="1:20" ht="12" customHeight="1" x14ac:dyDescent="0.2">
      <c r="A200" s="55">
        <v>46126.734513888892</v>
      </c>
      <c r="B200" s="57" t="s">
        <v>705</v>
      </c>
      <c r="C200" s="15">
        <v>18510129</v>
      </c>
      <c r="D200" s="52" t="s">
        <v>1160</v>
      </c>
      <c r="E200" s="52" t="s">
        <v>65</v>
      </c>
      <c r="F200" s="52" t="s">
        <v>98</v>
      </c>
      <c r="G200" s="52" t="s">
        <v>103</v>
      </c>
      <c r="H200" s="3" t="s">
        <v>1161</v>
      </c>
      <c r="I200" s="61">
        <v>661001</v>
      </c>
      <c r="J200" s="15" t="s">
        <v>704</v>
      </c>
      <c r="K200" s="12" t="s">
        <v>703</v>
      </c>
      <c r="L200" s="61" t="s">
        <v>1317</v>
      </c>
      <c r="M200" s="125" t="s">
        <v>84</v>
      </c>
      <c r="N200" s="13">
        <v>0</v>
      </c>
      <c r="O200" s="14" t="s">
        <v>81</v>
      </c>
      <c r="P200" s="15" t="s">
        <v>68</v>
      </c>
      <c r="Q200" s="3" t="s">
        <v>153</v>
      </c>
      <c r="R200" s="1" t="s">
        <v>0</v>
      </c>
      <c r="S200" s="52" t="s">
        <v>78</v>
      </c>
      <c r="T200" s="137"/>
    </row>
    <row r="201" spans="1:20" ht="12" customHeight="1" x14ac:dyDescent="0.2">
      <c r="A201" s="55">
        <v>46126.736875000002</v>
      </c>
      <c r="B201" s="57" t="s">
        <v>705</v>
      </c>
      <c r="C201" s="15">
        <v>18510129</v>
      </c>
      <c r="D201" s="52" t="s">
        <v>1160</v>
      </c>
      <c r="E201" s="52" t="s">
        <v>65</v>
      </c>
      <c r="F201" s="52" t="s">
        <v>98</v>
      </c>
      <c r="G201" s="52" t="s">
        <v>103</v>
      </c>
      <c r="H201" s="3" t="s">
        <v>1161</v>
      </c>
      <c r="I201" s="61">
        <v>661001</v>
      </c>
      <c r="J201" s="15" t="s">
        <v>704</v>
      </c>
      <c r="K201" s="12" t="s">
        <v>703</v>
      </c>
      <c r="L201" s="61" t="s">
        <v>1317</v>
      </c>
      <c r="M201" s="125" t="s">
        <v>51</v>
      </c>
      <c r="N201" s="13">
        <v>0</v>
      </c>
      <c r="O201" s="14" t="s">
        <v>81</v>
      </c>
      <c r="P201" s="15" t="s">
        <v>68</v>
      </c>
      <c r="Q201" s="3" t="s">
        <v>153</v>
      </c>
      <c r="R201" s="1" t="s">
        <v>0</v>
      </c>
      <c r="S201" s="52" t="s">
        <v>78</v>
      </c>
      <c r="T201" s="137"/>
    </row>
    <row r="202" spans="1:20" ht="12" customHeight="1" x14ac:dyDescent="0.2">
      <c r="A202" s="55">
        <v>46136</v>
      </c>
      <c r="B202" s="57" t="s">
        <v>705</v>
      </c>
      <c r="C202" s="15">
        <v>18510129</v>
      </c>
      <c r="D202" s="52" t="s">
        <v>1160</v>
      </c>
      <c r="E202" s="52" t="s">
        <v>65</v>
      </c>
      <c r="F202" s="52" t="s">
        <v>98</v>
      </c>
      <c r="G202" s="52" t="s">
        <v>103</v>
      </c>
      <c r="H202" s="3" t="s">
        <v>1161</v>
      </c>
      <c r="I202" s="61">
        <v>661001</v>
      </c>
      <c r="J202" s="15" t="s">
        <v>704</v>
      </c>
      <c r="K202" s="12" t="s">
        <v>703</v>
      </c>
      <c r="L202" s="61" t="s">
        <v>1317</v>
      </c>
      <c r="M202" s="58" t="s">
        <v>708</v>
      </c>
      <c r="N202" s="13">
        <v>1200000</v>
      </c>
      <c r="O202" s="12" t="s">
        <v>707</v>
      </c>
      <c r="P202" s="15" t="s">
        <v>114</v>
      </c>
      <c r="Q202" s="3" t="s">
        <v>153</v>
      </c>
      <c r="R202" s="1" t="s">
        <v>0</v>
      </c>
      <c r="S202" s="52" t="s">
        <v>78</v>
      </c>
      <c r="T202" s="137"/>
    </row>
    <row r="203" spans="1:20" ht="12" customHeight="1" x14ac:dyDescent="0.2">
      <c r="A203" s="55">
        <v>46136</v>
      </c>
      <c r="B203" s="57" t="s">
        <v>705</v>
      </c>
      <c r="C203" s="15">
        <v>18510129</v>
      </c>
      <c r="D203" s="52" t="s">
        <v>1160</v>
      </c>
      <c r="E203" s="52" t="s">
        <v>65</v>
      </c>
      <c r="F203" s="52" t="s">
        <v>98</v>
      </c>
      <c r="G203" s="52" t="s">
        <v>103</v>
      </c>
      <c r="H203" s="3" t="s">
        <v>1161</v>
      </c>
      <c r="I203" s="61">
        <v>661001</v>
      </c>
      <c r="J203" s="15" t="s">
        <v>704</v>
      </c>
      <c r="K203" s="12" t="s">
        <v>703</v>
      </c>
      <c r="L203" s="61" t="s">
        <v>1317</v>
      </c>
      <c r="M203" s="58" t="s">
        <v>8</v>
      </c>
      <c r="N203" s="13">
        <v>0</v>
      </c>
      <c r="O203" s="14" t="s">
        <v>81</v>
      </c>
      <c r="P203" s="15" t="s">
        <v>68</v>
      </c>
      <c r="Q203" s="3" t="s">
        <v>153</v>
      </c>
      <c r="R203" s="1" t="s">
        <v>0</v>
      </c>
      <c r="S203" s="52" t="s">
        <v>78</v>
      </c>
      <c r="T203" s="137"/>
    </row>
    <row r="204" spans="1:20" ht="12" customHeight="1" x14ac:dyDescent="0.2">
      <c r="A204" s="55">
        <v>46136</v>
      </c>
      <c r="B204" s="57" t="s">
        <v>705</v>
      </c>
      <c r="C204" s="15">
        <v>18510129</v>
      </c>
      <c r="D204" s="52" t="s">
        <v>1160</v>
      </c>
      <c r="E204" s="52" t="s">
        <v>65</v>
      </c>
      <c r="F204" s="52" t="s">
        <v>98</v>
      </c>
      <c r="G204" s="52" t="s">
        <v>103</v>
      </c>
      <c r="H204" s="3" t="s">
        <v>1161</v>
      </c>
      <c r="I204" s="61">
        <v>661001</v>
      </c>
      <c r="J204" s="15" t="s">
        <v>704</v>
      </c>
      <c r="K204" s="12" t="s">
        <v>703</v>
      </c>
      <c r="L204" s="61" t="s">
        <v>1317</v>
      </c>
      <c r="M204" s="58" t="s">
        <v>51</v>
      </c>
      <c r="N204" s="13">
        <v>0</v>
      </c>
      <c r="O204" s="14" t="s">
        <v>81</v>
      </c>
      <c r="P204" s="15" t="s">
        <v>68</v>
      </c>
      <c r="Q204" s="3" t="s">
        <v>153</v>
      </c>
      <c r="R204" s="1" t="s">
        <v>0</v>
      </c>
      <c r="S204" s="52" t="s">
        <v>78</v>
      </c>
      <c r="T204" s="137"/>
    </row>
    <row r="205" spans="1:20" ht="12" customHeight="1" x14ac:dyDescent="0.2">
      <c r="A205" s="55">
        <v>46136</v>
      </c>
      <c r="B205" s="57" t="s">
        <v>705</v>
      </c>
      <c r="C205" s="15">
        <v>18510129</v>
      </c>
      <c r="D205" s="52" t="s">
        <v>1160</v>
      </c>
      <c r="E205" s="52" t="s">
        <v>65</v>
      </c>
      <c r="F205" s="52" t="s">
        <v>98</v>
      </c>
      <c r="G205" s="52" t="s">
        <v>103</v>
      </c>
      <c r="H205" s="3" t="s">
        <v>1161</v>
      </c>
      <c r="I205" s="61">
        <v>661001</v>
      </c>
      <c r="J205" s="15" t="s">
        <v>704</v>
      </c>
      <c r="K205" s="12" t="s">
        <v>703</v>
      </c>
      <c r="L205" s="61" t="s">
        <v>1317</v>
      </c>
      <c r="M205" s="58" t="s">
        <v>8</v>
      </c>
      <c r="N205" s="13">
        <v>0</v>
      </c>
      <c r="O205" s="14" t="s">
        <v>81</v>
      </c>
      <c r="P205" s="15" t="s">
        <v>68</v>
      </c>
      <c r="Q205" s="3" t="s">
        <v>153</v>
      </c>
      <c r="R205" s="1" t="s">
        <v>0</v>
      </c>
      <c r="S205" s="52" t="s">
        <v>78</v>
      </c>
      <c r="T205" s="137"/>
    </row>
    <row r="206" spans="1:20" ht="12" customHeight="1" x14ac:dyDescent="0.2">
      <c r="A206" s="55">
        <v>46136</v>
      </c>
      <c r="B206" s="57" t="s">
        <v>705</v>
      </c>
      <c r="C206" s="15">
        <v>18510129</v>
      </c>
      <c r="D206" s="52" t="s">
        <v>1160</v>
      </c>
      <c r="E206" s="52" t="s">
        <v>65</v>
      </c>
      <c r="F206" s="52" t="s">
        <v>98</v>
      </c>
      <c r="G206" s="52" t="s">
        <v>103</v>
      </c>
      <c r="H206" s="3" t="s">
        <v>1161</v>
      </c>
      <c r="I206" s="61">
        <v>661001</v>
      </c>
      <c r="J206" s="15" t="s">
        <v>704</v>
      </c>
      <c r="K206" s="12" t="s">
        <v>703</v>
      </c>
      <c r="L206" s="61" t="s">
        <v>1317</v>
      </c>
      <c r="M206" s="58" t="s">
        <v>79</v>
      </c>
      <c r="N206" s="13">
        <v>0</v>
      </c>
      <c r="O206" s="14" t="s">
        <v>81</v>
      </c>
      <c r="P206" s="15" t="s">
        <v>68</v>
      </c>
      <c r="Q206" s="3" t="s">
        <v>153</v>
      </c>
      <c r="R206" s="1" t="s">
        <v>0</v>
      </c>
      <c r="S206" s="52" t="s">
        <v>78</v>
      </c>
      <c r="T206" s="137"/>
    </row>
    <row r="207" spans="1:20" ht="12" customHeight="1" x14ac:dyDescent="0.2">
      <c r="A207" s="55">
        <v>46136</v>
      </c>
      <c r="B207" s="57" t="s">
        <v>705</v>
      </c>
      <c r="C207" s="15">
        <v>18510129</v>
      </c>
      <c r="D207" s="52" t="s">
        <v>1160</v>
      </c>
      <c r="E207" s="52" t="s">
        <v>65</v>
      </c>
      <c r="F207" s="52" t="s">
        <v>98</v>
      </c>
      <c r="G207" s="52" t="s">
        <v>103</v>
      </c>
      <c r="H207" s="3" t="s">
        <v>1161</v>
      </c>
      <c r="I207" s="61">
        <v>661001</v>
      </c>
      <c r="J207" s="15" t="s">
        <v>704</v>
      </c>
      <c r="K207" s="12" t="s">
        <v>703</v>
      </c>
      <c r="L207" s="61" t="s">
        <v>1317</v>
      </c>
      <c r="M207" s="58" t="s">
        <v>51</v>
      </c>
      <c r="N207" s="13">
        <v>0</v>
      </c>
      <c r="O207" s="14" t="s">
        <v>81</v>
      </c>
      <c r="P207" s="15" t="s">
        <v>68</v>
      </c>
      <c r="Q207" s="3" t="s">
        <v>153</v>
      </c>
      <c r="R207" s="1" t="s">
        <v>0</v>
      </c>
      <c r="S207" s="52" t="s">
        <v>78</v>
      </c>
      <c r="T207" s="137"/>
    </row>
    <row r="208" spans="1:20" ht="12" customHeight="1" x14ac:dyDescent="0.2">
      <c r="A208" s="55">
        <v>46136</v>
      </c>
      <c r="B208" s="57" t="s">
        <v>705</v>
      </c>
      <c r="C208" s="15">
        <v>18510129</v>
      </c>
      <c r="D208" s="52" t="s">
        <v>1160</v>
      </c>
      <c r="E208" s="52" t="s">
        <v>65</v>
      </c>
      <c r="F208" s="52" t="s">
        <v>98</v>
      </c>
      <c r="G208" s="52" t="s">
        <v>103</v>
      </c>
      <c r="H208" s="3" t="s">
        <v>1161</v>
      </c>
      <c r="I208" s="61">
        <v>661001</v>
      </c>
      <c r="J208" s="15" t="s">
        <v>704</v>
      </c>
      <c r="K208" s="12" t="s">
        <v>703</v>
      </c>
      <c r="L208" s="61" t="s">
        <v>1317</v>
      </c>
      <c r="M208" s="58" t="s">
        <v>79</v>
      </c>
      <c r="N208" s="13">
        <v>0</v>
      </c>
      <c r="O208" s="14" t="s">
        <v>81</v>
      </c>
      <c r="P208" s="15" t="s">
        <v>68</v>
      </c>
      <c r="Q208" s="3" t="s">
        <v>153</v>
      </c>
      <c r="R208" s="1" t="s">
        <v>0</v>
      </c>
      <c r="S208" s="52" t="s">
        <v>78</v>
      </c>
      <c r="T208" s="137"/>
    </row>
    <row r="209" spans="1:20" ht="12" customHeight="1" x14ac:dyDescent="0.2">
      <c r="A209" s="55">
        <v>46136</v>
      </c>
      <c r="B209" s="57" t="s">
        <v>705</v>
      </c>
      <c r="C209" s="15">
        <v>18510129</v>
      </c>
      <c r="D209" s="52" t="s">
        <v>1160</v>
      </c>
      <c r="E209" s="52" t="s">
        <v>65</v>
      </c>
      <c r="F209" s="52" t="s">
        <v>98</v>
      </c>
      <c r="G209" s="52" t="s">
        <v>103</v>
      </c>
      <c r="H209" s="3" t="s">
        <v>1161</v>
      </c>
      <c r="I209" s="61">
        <v>661001</v>
      </c>
      <c r="J209" s="15" t="s">
        <v>704</v>
      </c>
      <c r="K209" s="12" t="s">
        <v>703</v>
      </c>
      <c r="L209" s="61" t="s">
        <v>1317</v>
      </c>
      <c r="M209" s="58" t="s">
        <v>74</v>
      </c>
      <c r="N209" s="13">
        <v>0</v>
      </c>
      <c r="O209" s="14" t="s">
        <v>81</v>
      </c>
      <c r="P209" s="15" t="s">
        <v>68</v>
      </c>
      <c r="Q209" s="3" t="s">
        <v>153</v>
      </c>
      <c r="R209" s="1" t="s">
        <v>0</v>
      </c>
      <c r="S209" s="52" t="s">
        <v>78</v>
      </c>
      <c r="T209" s="137"/>
    </row>
    <row r="210" spans="1:20" ht="12" customHeight="1" x14ac:dyDescent="0.2">
      <c r="A210" s="55">
        <v>46136</v>
      </c>
      <c r="B210" s="57" t="s">
        <v>705</v>
      </c>
      <c r="C210" s="15">
        <v>18510129</v>
      </c>
      <c r="D210" s="52" t="s">
        <v>1160</v>
      </c>
      <c r="E210" s="52" t="s">
        <v>65</v>
      </c>
      <c r="F210" s="52" t="s">
        <v>98</v>
      </c>
      <c r="G210" s="52" t="s">
        <v>103</v>
      </c>
      <c r="H210" s="3" t="s">
        <v>1161</v>
      </c>
      <c r="I210" s="61">
        <v>661001</v>
      </c>
      <c r="J210" s="15" t="s">
        <v>704</v>
      </c>
      <c r="K210" s="12" t="s">
        <v>703</v>
      </c>
      <c r="L210" s="61" t="s">
        <v>1317</v>
      </c>
      <c r="M210" s="58" t="s">
        <v>74</v>
      </c>
      <c r="N210" s="13">
        <v>0</v>
      </c>
      <c r="O210" s="14" t="s">
        <v>81</v>
      </c>
      <c r="P210" s="15" t="s">
        <v>68</v>
      </c>
      <c r="Q210" s="3" t="s">
        <v>153</v>
      </c>
      <c r="R210" s="1" t="s">
        <v>0</v>
      </c>
      <c r="S210" s="52" t="s">
        <v>78</v>
      </c>
      <c r="T210" s="137"/>
    </row>
    <row r="211" spans="1:20" ht="12" customHeight="1" x14ac:dyDescent="0.2">
      <c r="A211" s="55">
        <v>46136</v>
      </c>
      <c r="B211" s="57" t="s">
        <v>705</v>
      </c>
      <c r="C211" s="15">
        <v>18510129</v>
      </c>
      <c r="D211" s="52" t="s">
        <v>1160</v>
      </c>
      <c r="E211" s="52" t="s">
        <v>65</v>
      </c>
      <c r="F211" s="52" t="s">
        <v>98</v>
      </c>
      <c r="G211" s="52" t="s">
        <v>103</v>
      </c>
      <c r="H211" s="3" t="s">
        <v>1161</v>
      </c>
      <c r="I211" s="61">
        <v>661001</v>
      </c>
      <c r="J211" s="15" t="s">
        <v>704</v>
      </c>
      <c r="K211" s="12" t="s">
        <v>703</v>
      </c>
      <c r="L211" s="61" t="s">
        <v>1317</v>
      </c>
      <c r="M211" s="58" t="s">
        <v>8</v>
      </c>
      <c r="N211" s="13">
        <v>0</v>
      </c>
      <c r="O211" s="14" t="s">
        <v>81</v>
      </c>
      <c r="P211" s="15" t="s">
        <v>68</v>
      </c>
      <c r="Q211" s="3" t="s">
        <v>153</v>
      </c>
      <c r="R211" s="1" t="s">
        <v>0</v>
      </c>
      <c r="S211" s="52" t="s">
        <v>78</v>
      </c>
      <c r="T211" s="137"/>
    </row>
    <row r="212" spans="1:20" ht="12" customHeight="1" x14ac:dyDescent="0.2">
      <c r="A212" s="55">
        <v>46136</v>
      </c>
      <c r="B212" s="57" t="s">
        <v>705</v>
      </c>
      <c r="C212" s="15">
        <v>18510129</v>
      </c>
      <c r="D212" s="52" t="s">
        <v>1160</v>
      </c>
      <c r="E212" s="52" t="s">
        <v>65</v>
      </c>
      <c r="F212" s="52" t="s">
        <v>98</v>
      </c>
      <c r="G212" s="52" t="s">
        <v>103</v>
      </c>
      <c r="H212" s="3" t="s">
        <v>1161</v>
      </c>
      <c r="I212" s="61">
        <v>661001</v>
      </c>
      <c r="J212" s="15" t="s">
        <v>704</v>
      </c>
      <c r="K212" s="12" t="s">
        <v>703</v>
      </c>
      <c r="L212" s="61" t="s">
        <v>1317</v>
      </c>
      <c r="M212" s="58" t="s">
        <v>79</v>
      </c>
      <c r="N212" s="13">
        <v>0</v>
      </c>
      <c r="O212" s="14" t="s">
        <v>81</v>
      </c>
      <c r="P212" s="15" t="s">
        <v>68</v>
      </c>
      <c r="Q212" s="3" t="s">
        <v>153</v>
      </c>
      <c r="R212" s="1" t="s">
        <v>0</v>
      </c>
      <c r="S212" s="52" t="s">
        <v>78</v>
      </c>
      <c r="T212" s="137"/>
    </row>
    <row r="213" spans="1:20" ht="12" customHeight="1" x14ac:dyDescent="0.2">
      <c r="A213" s="60">
        <v>46146</v>
      </c>
      <c r="B213" s="57" t="s">
        <v>705</v>
      </c>
      <c r="C213" s="15">
        <v>18510129</v>
      </c>
      <c r="D213" s="52" t="s">
        <v>1160</v>
      </c>
      <c r="E213" s="52" t="s">
        <v>65</v>
      </c>
      <c r="F213" s="52" t="s">
        <v>98</v>
      </c>
      <c r="G213" s="52" t="s">
        <v>103</v>
      </c>
      <c r="H213" s="3" t="s">
        <v>1161</v>
      </c>
      <c r="I213" s="61">
        <v>661001</v>
      </c>
      <c r="J213" s="15" t="s">
        <v>704</v>
      </c>
      <c r="K213" s="12" t="s">
        <v>703</v>
      </c>
      <c r="L213" s="61" t="s">
        <v>1317</v>
      </c>
      <c r="M213" s="58" t="s">
        <v>83</v>
      </c>
      <c r="N213" s="13">
        <v>500000</v>
      </c>
      <c r="O213" s="61" t="s">
        <v>706</v>
      </c>
      <c r="P213" s="15" t="s">
        <v>114</v>
      </c>
      <c r="Q213" s="3" t="s">
        <v>153</v>
      </c>
      <c r="R213" s="1" t="s">
        <v>0</v>
      </c>
      <c r="S213" s="52" t="s">
        <v>78</v>
      </c>
      <c r="T213" s="137"/>
    </row>
    <row r="214" spans="1:20" ht="12" customHeight="1" x14ac:dyDescent="0.2">
      <c r="A214" s="60">
        <v>46146.460648148146</v>
      </c>
      <c r="B214" s="57" t="s">
        <v>705</v>
      </c>
      <c r="C214" s="15">
        <v>18510129</v>
      </c>
      <c r="D214" s="52" t="s">
        <v>1160</v>
      </c>
      <c r="E214" s="52" t="s">
        <v>65</v>
      </c>
      <c r="F214" s="52" t="s">
        <v>98</v>
      </c>
      <c r="G214" s="52" t="s">
        <v>103</v>
      </c>
      <c r="H214" s="3" t="s">
        <v>1161</v>
      </c>
      <c r="I214" s="61">
        <v>661001</v>
      </c>
      <c r="J214" s="15" t="s">
        <v>704</v>
      </c>
      <c r="K214" s="12" t="s">
        <v>703</v>
      </c>
      <c r="L214" s="61" t="s">
        <v>1317</v>
      </c>
      <c r="M214" s="58" t="s">
        <v>51</v>
      </c>
      <c r="N214" s="13">
        <v>0</v>
      </c>
      <c r="O214" s="14" t="s">
        <v>81</v>
      </c>
      <c r="P214" s="15" t="s">
        <v>68</v>
      </c>
      <c r="Q214" s="3" t="s">
        <v>153</v>
      </c>
      <c r="R214" s="1" t="s">
        <v>0</v>
      </c>
      <c r="S214" s="52" t="s">
        <v>78</v>
      </c>
      <c r="T214" s="137"/>
    </row>
    <row r="215" spans="1:20" ht="12" customHeight="1" x14ac:dyDescent="0.2">
      <c r="A215" s="60">
        <v>46146.462326388886</v>
      </c>
      <c r="B215" s="57" t="s">
        <v>705</v>
      </c>
      <c r="C215" s="15">
        <v>18510129</v>
      </c>
      <c r="D215" s="52" t="s">
        <v>1160</v>
      </c>
      <c r="E215" s="52" t="s">
        <v>65</v>
      </c>
      <c r="F215" s="52" t="s">
        <v>98</v>
      </c>
      <c r="G215" s="52" t="s">
        <v>103</v>
      </c>
      <c r="H215" s="3" t="s">
        <v>1161</v>
      </c>
      <c r="I215" s="61">
        <v>661001</v>
      </c>
      <c r="J215" s="15" t="s">
        <v>704</v>
      </c>
      <c r="K215" s="12" t="s">
        <v>703</v>
      </c>
      <c r="L215" s="61" t="s">
        <v>1317</v>
      </c>
      <c r="M215" s="58" t="s">
        <v>74</v>
      </c>
      <c r="N215" s="13">
        <v>0</v>
      </c>
      <c r="O215" s="14" t="s">
        <v>81</v>
      </c>
      <c r="P215" s="15" t="s">
        <v>68</v>
      </c>
      <c r="Q215" s="3" t="s">
        <v>153</v>
      </c>
      <c r="R215" s="1" t="s">
        <v>0</v>
      </c>
      <c r="S215" s="52" t="s">
        <v>78</v>
      </c>
      <c r="T215" s="137"/>
    </row>
    <row r="216" spans="1:20" ht="12" customHeight="1" x14ac:dyDescent="0.2">
      <c r="A216" s="60">
        <v>46146.464039351849</v>
      </c>
      <c r="B216" s="57" t="s">
        <v>705</v>
      </c>
      <c r="C216" s="15">
        <v>18510129</v>
      </c>
      <c r="D216" s="52" t="s">
        <v>1160</v>
      </c>
      <c r="E216" s="52" t="s">
        <v>65</v>
      </c>
      <c r="F216" s="52" t="s">
        <v>98</v>
      </c>
      <c r="G216" s="52" t="s">
        <v>103</v>
      </c>
      <c r="H216" s="3" t="s">
        <v>1161</v>
      </c>
      <c r="I216" s="61">
        <v>661001</v>
      </c>
      <c r="J216" s="15" t="s">
        <v>704</v>
      </c>
      <c r="K216" s="12" t="s">
        <v>703</v>
      </c>
      <c r="L216" s="61" t="s">
        <v>1317</v>
      </c>
      <c r="M216" s="58" t="s">
        <v>84</v>
      </c>
      <c r="N216" s="13">
        <v>0</v>
      </c>
      <c r="O216" s="14" t="s">
        <v>81</v>
      </c>
      <c r="P216" s="15" t="s">
        <v>68</v>
      </c>
      <c r="Q216" s="3" t="s">
        <v>153</v>
      </c>
      <c r="R216" s="1" t="s">
        <v>0</v>
      </c>
      <c r="S216" s="52" t="s">
        <v>78</v>
      </c>
      <c r="T216" s="137"/>
    </row>
    <row r="217" spans="1:20" ht="12" customHeight="1" x14ac:dyDescent="0.2">
      <c r="A217" s="60">
        <v>46146.465682870374</v>
      </c>
      <c r="B217" s="57" t="s">
        <v>705</v>
      </c>
      <c r="C217" s="15">
        <v>18510129</v>
      </c>
      <c r="D217" s="52" t="s">
        <v>1160</v>
      </c>
      <c r="E217" s="52" t="s">
        <v>65</v>
      </c>
      <c r="F217" s="52" t="s">
        <v>98</v>
      </c>
      <c r="G217" s="52" t="s">
        <v>103</v>
      </c>
      <c r="H217" s="3" t="s">
        <v>1161</v>
      </c>
      <c r="I217" s="61">
        <v>661001</v>
      </c>
      <c r="J217" s="15" t="s">
        <v>704</v>
      </c>
      <c r="K217" s="12" t="s">
        <v>703</v>
      </c>
      <c r="L217" s="61" t="s">
        <v>1317</v>
      </c>
      <c r="M217" s="58" t="s">
        <v>8</v>
      </c>
      <c r="N217" s="13">
        <v>0</v>
      </c>
      <c r="O217" s="14" t="s">
        <v>81</v>
      </c>
      <c r="P217" s="15" t="s">
        <v>68</v>
      </c>
      <c r="Q217" s="3" t="s">
        <v>153</v>
      </c>
      <c r="R217" s="1" t="s">
        <v>0</v>
      </c>
      <c r="S217" s="52" t="s">
        <v>78</v>
      </c>
      <c r="T217" s="137"/>
    </row>
    <row r="218" spans="1:20" ht="12" customHeight="1" x14ac:dyDescent="0.2">
      <c r="A218" s="172">
        <v>46172</v>
      </c>
      <c r="B218" s="173" t="s">
        <v>705</v>
      </c>
      <c r="C218" s="15">
        <v>18510129</v>
      </c>
      <c r="D218" s="52" t="s">
        <v>1160</v>
      </c>
      <c r="E218" s="52" t="s">
        <v>65</v>
      </c>
      <c r="F218" s="52" t="s">
        <v>98</v>
      </c>
      <c r="G218" s="52" t="s">
        <v>103</v>
      </c>
      <c r="H218" s="3" t="s">
        <v>1324</v>
      </c>
      <c r="I218" s="61">
        <v>661001</v>
      </c>
      <c r="J218" s="15" t="s">
        <v>704</v>
      </c>
      <c r="K218" s="12" t="s">
        <v>703</v>
      </c>
      <c r="L218" s="61" t="s">
        <v>1317</v>
      </c>
      <c r="M218" s="145" t="s">
        <v>132</v>
      </c>
      <c r="N218" s="146">
        <v>400000</v>
      </c>
      <c r="O218" s="147" t="s">
        <v>1340</v>
      </c>
      <c r="P218" s="106" t="s">
        <v>1351</v>
      </c>
      <c r="Q218" s="3" t="s">
        <v>153</v>
      </c>
      <c r="R218" s="1" t="s">
        <v>0</v>
      </c>
      <c r="S218" s="52" t="s">
        <v>78</v>
      </c>
      <c r="T218" s="137"/>
    </row>
    <row r="219" spans="1:20" ht="12" customHeight="1" x14ac:dyDescent="0.2">
      <c r="A219" s="172">
        <v>46174</v>
      </c>
      <c r="B219" s="173" t="s">
        <v>705</v>
      </c>
      <c r="C219" s="15">
        <v>18510129</v>
      </c>
      <c r="D219" s="52" t="s">
        <v>1160</v>
      </c>
      <c r="E219" s="52" t="s">
        <v>65</v>
      </c>
      <c r="F219" s="52" t="s">
        <v>98</v>
      </c>
      <c r="G219" s="52" t="s">
        <v>103</v>
      </c>
      <c r="H219" s="3" t="s">
        <v>1324</v>
      </c>
      <c r="I219" s="61">
        <v>661001</v>
      </c>
      <c r="J219" s="15" t="s">
        <v>704</v>
      </c>
      <c r="K219" s="12" t="s">
        <v>703</v>
      </c>
      <c r="L219" s="61" t="s">
        <v>1317</v>
      </c>
      <c r="M219" s="145" t="s">
        <v>4</v>
      </c>
      <c r="N219" s="146">
        <v>200000</v>
      </c>
      <c r="O219" t="s">
        <v>1339</v>
      </c>
      <c r="P219" s="106" t="s">
        <v>1351</v>
      </c>
      <c r="Q219" s="3" t="s">
        <v>153</v>
      </c>
      <c r="R219" s="1" t="s">
        <v>0</v>
      </c>
      <c r="S219" s="52" t="s">
        <v>78</v>
      </c>
      <c r="T219" s="137"/>
    </row>
    <row r="220" spans="1:20" ht="12" customHeight="1" x14ac:dyDescent="0.2">
      <c r="A220" s="172">
        <v>46253</v>
      </c>
      <c r="B220" s="173" t="s">
        <v>705</v>
      </c>
      <c r="C220" s="15">
        <v>18510129</v>
      </c>
      <c r="D220" s="52" t="s">
        <v>1160</v>
      </c>
      <c r="E220" s="52" t="s">
        <v>65</v>
      </c>
      <c r="F220" s="52" t="s">
        <v>98</v>
      </c>
      <c r="G220" s="52" t="s">
        <v>103</v>
      </c>
      <c r="H220" s="3" t="s">
        <v>1324</v>
      </c>
      <c r="I220" s="61">
        <v>661001</v>
      </c>
      <c r="J220" s="15" t="s">
        <v>704</v>
      </c>
      <c r="K220" s="12" t="s">
        <v>703</v>
      </c>
      <c r="L220" s="61" t="s">
        <v>1317</v>
      </c>
      <c r="M220" s="145" t="s">
        <v>4</v>
      </c>
      <c r="N220" s="146">
        <v>200000</v>
      </c>
      <c r="O220" t="s">
        <v>1350</v>
      </c>
      <c r="P220" s="106" t="s">
        <v>3</v>
      </c>
      <c r="Q220" s="3" t="s">
        <v>153</v>
      </c>
      <c r="R220" s="1" t="s">
        <v>0</v>
      </c>
      <c r="S220" s="52" t="s">
        <v>78</v>
      </c>
      <c r="T220" s="137"/>
    </row>
    <row r="221" spans="1:20" ht="12" customHeight="1" x14ac:dyDescent="0.2">
      <c r="A221" s="60">
        <v>46279</v>
      </c>
      <c r="B221" s="57" t="s">
        <v>705</v>
      </c>
      <c r="C221" s="15">
        <v>18510129</v>
      </c>
      <c r="D221" s="52" t="s">
        <v>1160</v>
      </c>
      <c r="E221" s="52" t="s">
        <v>65</v>
      </c>
      <c r="F221" s="52" t="s">
        <v>98</v>
      </c>
      <c r="G221" s="52" t="s">
        <v>103</v>
      </c>
      <c r="H221" s="3" t="s">
        <v>1324</v>
      </c>
      <c r="I221" s="61">
        <v>661001</v>
      </c>
      <c r="J221" s="15" t="s">
        <v>704</v>
      </c>
      <c r="K221" s="12" t="s">
        <v>703</v>
      </c>
      <c r="L221" s="61" t="s">
        <v>1317</v>
      </c>
      <c r="M221" s="58" t="s">
        <v>1359</v>
      </c>
      <c r="N221" s="146" t="s">
        <v>1378</v>
      </c>
      <c r="O221" s="14" t="s">
        <v>1376</v>
      </c>
      <c r="P221" s="15" t="s">
        <v>3</v>
      </c>
      <c r="Q221" s="3" t="s">
        <v>153</v>
      </c>
      <c r="R221" s="1" t="s">
        <v>0</v>
      </c>
      <c r="S221" s="52" t="s">
        <v>78</v>
      </c>
      <c r="T221" s="59"/>
    </row>
    <row r="222" spans="1:20" ht="12" customHeight="1" x14ac:dyDescent="0.2">
      <c r="A222" s="55">
        <v>45825.762800127311</v>
      </c>
      <c r="B222" s="57" t="s">
        <v>702</v>
      </c>
      <c r="C222" s="15">
        <v>12916817</v>
      </c>
      <c r="D222" s="52" t="s">
        <v>701</v>
      </c>
      <c r="E222" s="52" t="s">
        <v>65</v>
      </c>
      <c r="F222" s="52" t="s">
        <v>66</v>
      </c>
      <c r="G222" s="52" t="s">
        <v>236</v>
      </c>
      <c r="H222" s="3" t="s">
        <v>700</v>
      </c>
      <c r="I222" s="61" t="s">
        <v>1163</v>
      </c>
      <c r="J222" s="15" t="s">
        <v>699</v>
      </c>
      <c r="K222" s="12" t="s">
        <v>698</v>
      </c>
      <c r="L222" s="61" t="s">
        <v>1260</v>
      </c>
      <c r="M222" s="58" t="s">
        <v>104</v>
      </c>
      <c r="N222" s="146">
        <v>120000</v>
      </c>
      <c r="O222" s="14" t="s">
        <v>697</v>
      </c>
      <c r="P222" s="15" t="s">
        <v>3</v>
      </c>
      <c r="Q222" s="3" t="s">
        <v>153</v>
      </c>
      <c r="R222" s="1" t="s">
        <v>0</v>
      </c>
      <c r="S222" s="52" t="s">
        <v>78</v>
      </c>
      <c r="T222" s="137"/>
    </row>
    <row r="223" spans="1:20" ht="12" customHeight="1" x14ac:dyDescent="0.2">
      <c r="A223" s="55">
        <v>45905</v>
      </c>
      <c r="B223" s="57" t="s">
        <v>696</v>
      </c>
      <c r="C223" s="15" t="s">
        <v>1164</v>
      </c>
      <c r="D223" s="52" t="s">
        <v>695</v>
      </c>
      <c r="E223" s="52" t="s">
        <v>118</v>
      </c>
      <c r="F223" s="52" t="s">
        <v>248</v>
      </c>
      <c r="G223" s="52" t="s">
        <v>248</v>
      </c>
      <c r="H223" s="3" t="s">
        <v>694</v>
      </c>
      <c r="I223" s="61" t="s">
        <v>1147</v>
      </c>
      <c r="J223" s="15" t="s">
        <v>693</v>
      </c>
      <c r="K223" s="12" t="s">
        <v>692</v>
      </c>
      <c r="L223" s="61" t="s">
        <v>1261</v>
      </c>
      <c r="M223" s="58" t="s">
        <v>6</v>
      </c>
      <c r="N223" s="13">
        <v>200000</v>
      </c>
      <c r="O223" s="14" t="s">
        <v>691</v>
      </c>
      <c r="P223" s="15" t="s">
        <v>50</v>
      </c>
      <c r="Q223" s="3" t="s">
        <v>153</v>
      </c>
      <c r="R223" s="1" t="s">
        <v>0</v>
      </c>
      <c r="S223" s="52" t="s">
        <v>78</v>
      </c>
      <c r="T223" s="137"/>
    </row>
    <row r="224" spans="1:20" ht="12" customHeight="1" x14ac:dyDescent="0.2">
      <c r="A224" s="55">
        <v>46111</v>
      </c>
      <c r="B224" s="57" t="s">
        <v>690</v>
      </c>
      <c r="C224" s="15">
        <v>85477130</v>
      </c>
      <c r="D224" s="52" t="s">
        <v>689</v>
      </c>
      <c r="E224" s="52" t="s">
        <v>688</v>
      </c>
      <c r="F224" s="52" t="s">
        <v>687</v>
      </c>
      <c r="G224" s="52" t="s">
        <v>687</v>
      </c>
      <c r="H224" s="3" t="s">
        <v>686</v>
      </c>
      <c r="I224" s="61">
        <v>22083</v>
      </c>
      <c r="J224" s="15" t="s">
        <v>685</v>
      </c>
      <c r="K224" s="12" t="s">
        <v>684</v>
      </c>
      <c r="L224" s="61" t="s">
        <v>1262</v>
      </c>
      <c r="M224" s="58" t="s">
        <v>47</v>
      </c>
      <c r="N224" s="13">
        <v>200000</v>
      </c>
      <c r="O224" s="12" t="s">
        <v>683</v>
      </c>
      <c r="P224" s="15" t="s">
        <v>3</v>
      </c>
      <c r="Q224" s="3" t="s">
        <v>153</v>
      </c>
      <c r="R224" s="1" t="s">
        <v>0</v>
      </c>
      <c r="S224" s="52" t="s">
        <v>78</v>
      </c>
      <c r="T224" s="137"/>
    </row>
    <row r="225" spans="1:20" ht="12" customHeight="1" x14ac:dyDescent="0.2">
      <c r="A225" s="55">
        <v>45695.936793981484</v>
      </c>
      <c r="B225" s="57" t="s">
        <v>673</v>
      </c>
      <c r="C225" s="15">
        <v>1053808723</v>
      </c>
      <c r="D225" s="52" t="s">
        <v>672</v>
      </c>
      <c r="E225" s="52" t="s">
        <v>65</v>
      </c>
      <c r="F225" s="52" t="s">
        <v>98</v>
      </c>
      <c r="G225" s="52" t="s">
        <v>97</v>
      </c>
      <c r="H225" s="3" t="s">
        <v>1165</v>
      </c>
      <c r="I225" s="61">
        <v>660001</v>
      </c>
      <c r="J225" s="15" t="s">
        <v>671</v>
      </c>
      <c r="K225" s="12" t="s">
        <v>670</v>
      </c>
      <c r="L225" s="171" t="s">
        <v>1103</v>
      </c>
      <c r="M225" s="129" t="s">
        <v>682</v>
      </c>
      <c r="N225" s="104">
        <v>500000</v>
      </c>
      <c r="O225" s="14" t="s">
        <v>681</v>
      </c>
      <c r="P225" s="3" t="s">
        <v>1</v>
      </c>
      <c r="Q225" s="3" t="s">
        <v>153</v>
      </c>
      <c r="R225" s="1" t="s">
        <v>0</v>
      </c>
      <c r="S225" s="52" t="s">
        <v>78</v>
      </c>
      <c r="T225" s="137"/>
    </row>
    <row r="226" spans="1:20" ht="12" customHeight="1" x14ac:dyDescent="0.2">
      <c r="A226" s="55">
        <v>45699.909763599542</v>
      </c>
      <c r="B226" s="57" t="s">
        <v>673</v>
      </c>
      <c r="C226" s="15">
        <v>1053808723</v>
      </c>
      <c r="D226" s="52" t="s">
        <v>672</v>
      </c>
      <c r="E226" s="52" t="s">
        <v>65</v>
      </c>
      <c r="F226" s="52" t="s">
        <v>98</v>
      </c>
      <c r="G226" s="52" t="s">
        <v>97</v>
      </c>
      <c r="H226" s="3" t="s">
        <v>1165</v>
      </c>
      <c r="I226" s="61">
        <v>660001</v>
      </c>
      <c r="J226" s="15" t="s">
        <v>671</v>
      </c>
      <c r="K226" s="12" t="s">
        <v>670</v>
      </c>
      <c r="L226" s="171" t="s">
        <v>1103</v>
      </c>
      <c r="M226" s="129" t="s">
        <v>680</v>
      </c>
      <c r="N226" s="104">
        <v>1000000</v>
      </c>
      <c r="O226" s="14" t="s">
        <v>679</v>
      </c>
      <c r="P226" s="3" t="s">
        <v>109</v>
      </c>
      <c r="Q226" s="3" t="s">
        <v>153</v>
      </c>
      <c r="R226" s="1" t="s">
        <v>0</v>
      </c>
      <c r="S226" s="52" t="s">
        <v>78</v>
      </c>
      <c r="T226" s="137"/>
    </row>
    <row r="227" spans="1:20" ht="12" customHeight="1" x14ac:dyDescent="0.2">
      <c r="A227" s="55">
        <v>45764.936793981484</v>
      </c>
      <c r="B227" s="57" t="s">
        <v>673</v>
      </c>
      <c r="C227" s="15">
        <v>1053808723</v>
      </c>
      <c r="D227" s="52" t="s">
        <v>672</v>
      </c>
      <c r="E227" s="52" t="s">
        <v>65</v>
      </c>
      <c r="F227" s="52" t="s">
        <v>98</v>
      </c>
      <c r="G227" s="52" t="s">
        <v>97</v>
      </c>
      <c r="H227" s="3" t="s">
        <v>1165</v>
      </c>
      <c r="I227" s="61">
        <v>660001</v>
      </c>
      <c r="J227" s="15" t="s">
        <v>671</v>
      </c>
      <c r="K227" s="12" t="s">
        <v>670</v>
      </c>
      <c r="L227" s="171" t="s">
        <v>1103</v>
      </c>
      <c r="M227" s="129" t="s">
        <v>2</v>
      </c>
      <c r="N227" s="104">
        <v>240000</v>
      </c>
      <c r="O227" s="14" t="s">
        <v>678</v>
      </c>
      <c r="P227" s="3" t="s">
        <v>109</v>
      </c>
      <c r="Q227" s="3" t="s">
        <v>153</v>
      </c>
      <c r="R227" s="1" t="s">
        <v>0</v>
      </c>
      <c r="S227" s="52" t="s">
        <v>78</v>
      </c>
      <c r="T227" s="137"/>
    </row>
    <row r="228" spans="1:20" ht="12" customHeight="1" x14ac:dyDescent="0.2">
      <c r="A228" s="55">
        <v>45765.936793981484</v>
      </c>
      <c r="B228" s="57" t="s">
        <v>673</v>
      </c>
      <c r="C228" s="15">
        <v>1053808723</v>
      </c>
      <c r="D228" s="52" t="s">
        <v>672</v>
      </c>
      <c r="E228" s="52" t="s">
        <v>65</v>
      </c>
      <c r="F228" s="52" t="s">
        <v>98</v>
      </c>
      <c r="G228" s="52" t="s">
        <v>97</v>
      </c>
      <c r="H228" s="3" t="s">
        <v>1165</v>
      </c>
      <c r="I228" s="61">
        <v>660001</v>
      </c>
      <c r="J228" s="15" t="s">
        <v>671</v>
      </c>
      <c r="K228" s="12" t="s">
        <v>670</v>
      </c>
      <c r="L228" s="171" t="s">
        <v>1103</v>
      </c>
      <c r="M228" s="129" t="s">
        <v>2</v>
      </c>
      <c r="N228" s="104">
        <v>240000</v>
      </c>
      <c r="O228" s="14" t="s">
        <v>677</v>
      </c>
      <c r="P228" s="3" t="s">
        <v>109</v>
      </c>
      <c r="Q228" s="3" t="s">
        <v>153</v>
      </c>
      <c r="R228" s="1" t="s">
        <v>0</v>
      </c>
      <c r="S228" s="52" t="s">
        <v>78</v>
      </c>
      <c r="T228" s="137"/>
    </row>
    <row r="229" spans="1:20" ht="12" customHeight="1" x14ac:dyDescent="0.2">
      <c r="A229" s="55">
        <v>45906</v>
      </c>
      <c r="B229" s="57" t="s">
        <v>673</v>
      </c>
      <c r="C229" s="15">
        <v>1053808723</v>
      </c>
      <c r="D229" s="52" t="s">
        <v>672</v>
      </c>
      <c r="E229" s="52" t="s">
        <v>65</v>
      </c>
      <c r="F229" s="52" t="s">
        <v>98</v>
      </c>
      <c r="G229" s="52" t="s">
        <v>97</v>
      </c>
      <c r="H229" s="3" t="s">
        <v>1165</v>
      </c>
      <c r="I229" s="61">
        <v>660001</v>
      </c>
      <c r="J229" s="15" t="s">
        <v>671</v>
      </c>
      <c r="K229" s="12" t="s">
        <v>670</v>
      </c>
      <c r="L229" s="171" t="s">
        <v>1103</v>
      </c>
      <c r="M229" s="129" t="s">
        <v>133</v>
      </c>
      <c r="N229" s="104">
        <v>0</v>
      </c>
      <c r="O229" s="14" t="s">
        <v>134</v>
      </c>
      <c r="P229" s="62" t="s">
        <v>68</v>
      </c>
      <c r="Q229" s="3" t="s">
        <v>153</v>
      </c>
      <c r="R229" s="1" t="s">
        <v>0</v>
      </c>
      <c r="S229" s="52" t="s">
        <v>78</v>
      </c>
      <c r="T229" s="137"/>
    </row>
    <row r="230" spans="1:20" ht="12" customHeight="1" x14ac:dyDescent="0.2">
      <c r="A230" s="55">
        <v>45922</v>
      </c>
      <c r="B230" s="57" t="s">
        <v>673</v>
      </c>
      <c r="C230" s="15">
        <v>1053808723</v>
      </c>
      <c r="D230" s="52" t="s">
        <v>672</v>
      </c>
      <c r="E230" s="52" t="s">
        <v>65</v>
      </c>
      <c r="F230" s="52" t="s">
        <v>98</v>
      </c>
      <c r="G230" s="52" t="s">
        <v>97</v>
      </c>
      <c r="H230" s="3" t="s">
        <v>1165</v>
      </c>
      <c r="I230" s="61">
        <v>660001</v>
      </c>
      <c r="J230" s="15" t="s">
        <v>671</v>
      </c>
      <c r="K230" s="12" t="s">
        <v>670</v>
      </c>
      <c r="L230" s="171" t="s">
        <v>1103</v>
      </c>
      <c r="M230" s="129" t="s">
        <v>2</v>
      </c>
      <c r="N230" s="104">
        <v>0</v>
      </c>
      <c r="O230" s="14" t="s">
        <v>135</v>
      </c>
      <c r="P230" s="15" t="s">
        <v>68</v>
      </c>
      <c r="Q230" s="3" t="s">
        <v>153</v>
      </c>
      <c r="R230" s="1" t="s">
        <v>0</v>
      </c>
      <c r="S230" s="52" t="s">
        <v>78</v>
      </c>
      <c r="T230" s="137"/>
    </row>
    <row r="231" spans="1:20" ht="12" customHeight="1" x14ac:dyDescent="0.2">
      <c r="A231" s="55">
        <v>45968</v>
      </c>
      <c r="B231" s="57" t="s">
        <v>673</v>
      </c>
      <c r="C231" s="15">
        <v>1053808723</v>
      </c>
      <c r="D231" s="52" t="s">
        <v>672</v>
      </c>
      <c r="E231" s="52" t="s">
        <v>65</v>
      </c>
      <c r="F231" s="52" t="s">
        <v>98</v>
      </c>
      <c r="G231" s="52" t="s">
        <v>97</v>
      </c>
      <c r="H231" s="3" t="s">
        <v>1165</v>
      </c>
      <c r="I231" s="61">
        <v>660001</v>
      </c>
      <c r="J231" s="15" t="s">
        <v>671</v>
      </c>
      <c r="K231" s="12" t="s">
        <v>670</v>
      </c>
      <c r="L231" s="171" t="s">
        <v>1103</v>
      </c>
      <c r="M231" s="129" t="s">
        <v>676</v>
      </c>
      <c r="N231" s="13">
        <v>0</v>
      </c>
      <c r="O231" s="14" t="s">
        <v>26</v>
      </c>
      <c r="P231" s="62" t="s">
        <v>68</v>
      </c>
      <c r="Q231" s="3" t="s">
        <v>153</v>
      </c>
      <c r="R231" s="1" t="s">
        <v>0</v>
      </c>
      <c r="S231" s="52" t="s">
        <v>78</v>
      </c>
      <c r="T231" s="137"/>
    </row>
    <row r="232" spans="1:20" ht="12" customHeight="1" x14ac:dyDescent="0.2">
      <c r="A232" s="55">
        <v>46056</v>
      </c>
      <c r="B232" s="57" t="s">
        <v>673</v>
      </c>
      <c r="C232" s="15">
        <v>1053808723</v>
      </c>
      <c r="D232" s="52" t="s">
        <v>672</v>
      </c>
      <c r="E232" s="52" t="s">
        <v>65</v>
      </c>
      <c r="F232" s="52" t="s">
        <v>98</v>
      </c>
      <c r="G232" s="52" t="s">
        <v>97</v>
      </c>
      <c r="H232" s="3" t="s">
        <v>1165</v>
      </c>
      <c r="I232" s="61">
        <v>660001</v>
      </c>
      <c r="J232" s="15" t="s">
        <v>671</v>
      </c>
      <c r="K232" s="12" t="s">
        <v>670</v>
      </c>
      <c r="L232" s="171" t="s">
        <v>1103</v>
      </c>
      <c r="M232" s="58" t="s">
        <v>5</v>
      </c>
      <c r="N232" s="13">
        <v>900000</v>
      </c>
      <c r="O232" s="14">
        <v>1332577551</v>
      </c>
      <c r="P232" s="15" t="s">
        <v>242</v>
      </c>
      <c r="Q232" s="3" t="s">
        <v>1166</v>
      </c>
      <c r="R232" s="1" t="s">
        <v>0</v>
      </c>
      <c r="S232" s="52" t="s">
        <v>78</v>
      </c>
      <c r="T232" s="137"/>
    </row>
    <row r="233" spans="1:20" ht="12" customHeight="1" x14ac:dyDescent="0.2">
      <c r="A233" s="55">
        <v>46087</v>
      </c>
      <c r="B233" s="57" t="s">
        <v>673</v>
      </c>
      <c r="C233" s="15">
        <v>1053808723</v>
      </c>
      <c r="D233" s="52" t="s">
        <v>672</v>
      </c>
      <c r="E233" s="52" t="s">
        <v>65</v>
      </c>
      <c r="F233" s="52" t="s">
        <v>98</v>
      </c>
      <c r="G233" s="52" t="s">
        <v>97</v>
      </c>
      <c r="H233" s="3" t="s">
        <v>1165</v>
      </c>
      <c r="I233" s="61">
        <v>660001</v>
      </c>
      <c r="J233" s="15" t="s">
        <v>671</v>
      </c>
      <c r="K233" s="12" t="s">
        <v>670</v>
      </c>
      <c r="L233" s="171" t="s">
        <v>1103</v>
      </c>
      <c r="M233" s="58" t="s">
        <v>136</v>
      </c>
      <c r="N233" s="13">
        <v>0</v>
      </c>
      <c r="O233" s="105" t="s">
        <v>137</v>
      </c>
      <c r="P233" s="62" t="s">
        <v>68</v>
      </c>
      <c r="Q233" s="3" t="s">
        <v>153</v>
      </c>
      <c r="R233" s="1" t="s">
        <v>0</v>
      </c>
      <c r="S233" s="52" t="s">
        <v>78</v>
      </c>
      <c r="T233" s="137"/>
    </row>
    <row r="234" spans="1:20" ht="12" customHeight="1" x14ac:dyDescent="0.2">
      <c r="A234" s="55">
        <v>46126</v>
      </c>
      <c r="B234" s="57" t="s">
        <v>673</v>
      </c>
      <c r="C234" s="15">
        <v>1053808723</v>
      </c>
      <c r="D234" s="52" t="s">
        <v>672</v>
      </c>
      <c r="E234" s="52" t="s">
        <v>65</v>
      </c>
      <c r="F234" s="52" t="s">
        <v>98</v>
      </c>
      <c r="G234" s="52" t="s">
        <v>97</v>
      </c>
      <c r="H234" s="3" t="s">
        <v>1165</v>
      </c>
      <c r="I234" s="61">
        <v>660001</v>
      </c>
      <c r="J234" s="15" t="s">
        <v>671</v>
      </c>
      <c r="K234" s="12" t="s">
        <v>670</v>
      </c>
      <c r="L234" s="171" t="s">
        <v>1103</v>
      </c>
      <c r="M234" s="129" t="s">
        <v>675</v>
      </c>
      <c r="N234" s="104">
        <v>0</v>
      </c>
      <c r="O234" s="14" t="s">
        <v>674</v>
      </c>
      <c r="P234" s="62" t="s">
        <v>68</v>
      </c>
      <c r="Q234" s="3" t="s">
        <v>153</v>
      </c>
      <c r="R234" s="1" t="s">
        <v>0</v>
      </c>
      <c r="S234" s="52" t="s">
        <v>78</v>
      </c>
      <c r="T234" s="137"/>
    </row>
    <row r="235" spans="1:20" ht="12" customHeight="1" x14ac:dyDescent="0.2">
      <c r="A235" s="60">
        <v>46127.680381944447</v>
      </c>
      <c r="B235" s="3" t="s">
        <v>673</v>
      </c>
      <c r="C235" s="15">
        <v>1053808723</v>
      </c>
      <c r="D235" s="52" t="s">
        <v>672</v>
      </c>
      <c r="E235" s="52" t="s">
        <v>65</v>
      </c>
      <c r="F235" s="52" t="s">
        <v>98</v>
      </c>
      <c r="G235" s="52" t="s">
        <v>97</v>
      </c>
      <c r="H235" s="3" t="s">
        <v>1165</v>
      </c>
      <c r="I235" s="61">
        <v>660001</v>
      </c>
      <c r="J235" s="15" t="s">
        <v>671</v>
      </c>
      <c r="K235" s="12" t="s">
        <v>670</v>
      </c>
      <c r="L235" s="171" t="s">
        <v>1103</v>
      </c>
      <c r="M235" s="58" t="s">
        <v>74</v>
      </c>
      <c r="N235" s="13">
        <v>0</v>
      </c>
      <c r="O235" s="14" t="s">
        <v>81</v>
      </c>
      <c r="P235" s="15" t="s">
        <v>68</v>
      </c>
      <c r="Q235" s="3" t="s">
        <v>153</v>
      </c>
      <c r="R235" s="1" t="s">
        <v>0</v>
      </c>
      <c r="S235" s="52" t="s">
        <v>78</v>
      </c>
      <c r="T235" s="137"/>
    </row>
    <row r="236" spans="1:20" ht="12" customHeight="1" x14ac:dyDescent="0.2">
      <c r="A236" s="55">
        <v>46133</v>
      </c>
      <c r="B236" s="3" t="s">
        <v>673</v>
      </c>
      <c r="C236" s="15">
        <v>1053808723</v>
      </c>
      <c r="D236" s="52" t="s">
        <v>672</v>
      </c>
      <c r="E236" s="52" t="s">
        <v>65</v>
      </c>
      <c r="F236" s="52" t="s">
        <v>98</v>
      </c>
      <c r="G236" s="52" t="s">
        <v>97</v>
      </c>
      <c r="H236" s="3" t="s">
        <v>1165</v>
      </c>
      <c r="I236" s="61">
        <v>660001</v>
      </c>
      <c r="J236" s="15" t="s">
        <v>671</v>
      </c>
      <c r="K236" s="12" t="s">
        <v>670</v>
      </c>
      <c r="L236" s="171" t="s">
        <v>1103</v>
      </c>
      <c r="M236" s="125" t="s">
        <v>8</v>
      </c>
      <c r="N236" s="13">
        <v>0</v>
      </c>
      <c r="O236" s="14" t="s">
        <v>81</v>
      </c>
      <c r="P236" s="15" t="s">
        <v>68</v>
      </c>
      <c r="Q236" s="3" t="s">
        <v>153</v>
      </c>
      <c r="R236" s="1" t="s">
        <v>0</v>
      </c>
      <c r="S236" s="52" t="s">
        <v>78</v>
      </c>
      <c r="T236" s="137"/>
    </row>
    <row r="237" spans="1:20" ht="12" customHeight="1" x14ac:dyDescent="0.2">
      <c r="A237" s="55">
        <v>46150.995532407411</v>
      </c>
      <c r="B237" s="3" t="s">
        <v>673</v>
      </c>
      <c r="C237" s="15">
        <v>1053808723</v>
      </c>
      <c r="D237" s="52" t="s">
        <v>672</v>
      </c>
      <c r="E237" s="52" t="s">
        <v>65</v>
      </c>
      <c r="F237" s="52" t="s">
        <v>98</v>
      </c>
      <c r="G237" s="52" t="s">
        <v>97</v>
      </c>
      <c r="H237" s="3" t="s">
        <v>1165</v>
      </c>
      <c r="I237" s="61">
        <v>660001</v>
      </c>
      <c r="J237" s="15" t="s">
        <v>671</v>
      </c>
      <c r="K237" s="12" t="s">
        <v>670</v>
      </c>
      <c r="L237" s="171" t="s">
        <v>1103</v>
      </c>
      <c r="M237" s="58" t="s">
        <v>8</v>
      </c>
      <c r="N237" s="13">
        <v>0</v>
      </c>
      <c r="O237" s="14" t="s">
        <v>81</v>
      </c>
      <c r="P237" s="15" t="s">
        <v>68</v>
      </c>
      <c r="Q237" s="3" t="s">
        <v>153</v>
      </c>
      <c r="R237" s="1" t="s">
        <v>0</v>
      </c>
      <c r="S237" s="52" t="s">
        <v>78</v>
      </c>
      <c r="T237" s="137"/>
    </row>
    <row r="238" spans="1:20" ht="12" customHeight="1" x14ac:dyDescent="0.2">
      <c r="A238" s="55">
        <v>46150.997465277775</v>
      </c>
      <c r="B238" s="3" t="s">
        <v>673</v>
      </c>
      <c r="C238" s="15">
        <v>1053808723</v>
      </c>
      <c r="D238" s="52" t="s">
        <v>672</v>
      </c>
      <c r="E238" s="52" t="s">
        <v>65</v>
      </c>
      <c r="F238" s="52" t="s">
        <v>98</v>
      </c>
      <c r="G238" s="52" t="s">
        <v>97</v>
      </c>
      <c r="H238" s="3" t="s">
        <v>1165</v>
      </c>
      <c r="I238" s="61">
        <v>660001</v>
      </c>
      <c r="J238" s="15" t="s">
        <v>671</v>
      </c>
      <c r="K238" s="12" t="s">
        <v>670</v>
      </c>
      <c r="L238" s="171" t="s">
        <v>1103</v>
      </c>
      <c r="M238" s="58" t="s">
        <v>84</v>
      </c>
      <c r="N238" s="13">
        <v>0</v>
      </c>
      <c r="O238" s="14" t="s">
        <v>81</v>
      </c>
      <c r="P238" s="15" t="s">
        <v>68</v>
      </c>
      <c r="Q238" s="3" t="s">
        <v>153</v>
      </c>
      <c r="R238" s="1" t="s">
        <v>0</v>
      </c>
      <c r="S238" s="52" t="s">
        <v>78</v>
      </c>
      <c r="T238" s="137"/>
    </row>
    <row r="239" spans="1:20" ht="12" customHeight="1" x14ac:dyDescent="0.2">
      <c r="A239" s="55">
        <v>46151.00099537037</v>
      </c>
      <c r="B239" s="3" t="s">
        <v>673</v>
      </c>
      <c r="C239" s="15">
        <v>1053808723</v>
      </c>
      <c r="D239" s="52" t="s">
        <v>672</v>
      </c>
      <c r="E239" s="52" t="s">
        <v>65</v>
      </c>
      <c r="F239" s="52" t="s">
        <v>98</v>
      </c>
      <c r="G239" s="52" t="s">
        <v>97</v>
      </c>
      <c r="H239" s="3" t="s">
        <v>1165</v>
      </c>
      <c r="I239" s="61">
        <v>660001</v>
      </c>
      <c r="J239" s="15" t="s">
        <v>671</v>
      </c>
      <c r="K239" s="12" t="s">
        <v>670</v>
      </c>
      <c r="L239" s="171" t="s">
        <v>1103</v>
      </c>
      <c r="M239" s="58" t="s">
        <v>8</v>
      </c>
      <c r="N239" s="13">
        <v>0</v>
      </c>
      <c r="O239" s="14" t="s">
        <v>81</v>
      </c>
      <c r="P239" s="15" t="s">
        <v>68</v>
      </c>
      <c r="Q239" s="3" t="s">
        <v>153</v>
      </c>
      <c r="R239" s="1" t="s">
        <v>0</v>
      </c>
      <c r="S239" s="52" t="s">
        <v>78</v>
      </c>
      <c r="T239" s="137"/>
    </row>
    <row r="240" spans="1:20" ht="12" customHeight="1" x14ac:dyDescent="0.2">
      <c r="A240" s="55">
        <v>46151.002557870372</v>
      </c>
      <c r="B240" s="3" t="s">
        <v>673</v>
      </c>
      <c r="C240" s="15">
        <v>1053808723</v>
      </c>
      <c r="D240" s="52" t="s">
        <v>672</v>
      </c>
      <c r="E240" s="52" t="s">
        <v>65</v>
      </c>
      <c r="F240" s="52" t="s">
        <v>98</v>
      </c>
      <c r="G240" s="52" t="s">
        <v>97</v>
      </c>
      <c r="H240" s="3" t="s">
        <v>1165</v>
      </c>
      <c r="I240" s="61">
        <v>660001</v>
      </c>
      <c r="J240" s="15" t="s">
        <v>671</v>
      </c>
      <c r="K240" s="12" t="s">
        <v>670</v>
      </c>
      <c r="L240" s="171" t="s">
        <v>1103</v>
      </c>
      <c r="M240" s="58" t="s">
        <v>79</v>
      </c>
      <c r="N240" s="13">
        <v>0</v>
      </c>
      <c r="O240" s="14" t="s">
        <v>81</v>
      </c>
      <c r="P240" s="15" t="s">
        <v>68</v>
      </c>
      <c r="Q240" s="3" t="s">
        <v>153</v>
      </c>
      <c r="R240" s="1" t="s">
        <v>0</v>
      </c>
      <c r="S240" s="52" t="s">
        <v>78</v>
      </c>
      <c r="T240" s="137"/>
    </row>
    <row r="241" spans="1:20" ht="12" customHeight="1" x14ac:dyDescent="0.2">
      <c r="A241" s="47">
        <v>46151.007060185184</v>
      </c>
      <c r="B241" s="57" t="s">
        <v>673</v>
      </c>
      <c r="C241" s="15">
        <v>1053808723</v>
      </c>
      <c r="D241" s="52" t="s">
        <v>672</v>
      </c>
      <c r="E241" s="52" t="s">
        <v>65</v>
      </c>
      <c r="F241" s="52" t="s">
        <v>98</v>
      </c>
      <c r="G241" s="52" t="s">
        <v>97</v>
      </c>
      <c r="H241" s="3" t="s">
        <v>1165</v>
      </c>
      <c r="I241" s="61">
        <v>660001</v>
      </c>
      <c r="J241" s="15" t="s">
        <v>671</v>
      </c>
      <c r="K241" s="12" t="s">
        <v>670</v>
      </c>
      <c r="L241" s="171" t="s">
        <v>1103</v>
      </c>
      <c r="M241" s="58" t="s">
        <v>85</v>
      </c>
      <c r="N241" s="13">
        <v>0</v>
      </c>
      <c r="O241" s="14" t="s">
        <v>81</v>
      </c>
      <c r="P241" s="15" t="s">
        <v>68</v>
      </c>
      <c r="Q241" s="3" t="s">
        <v>153</v>
      </c>
      <c r="R241" s="1" t="s">
        <v>0</v>
      </c>
      <c r="S241" s="52" t="s">
        <v>78</v>
      </c>
      <c r="T241" s="137"/>
    </row>
    <row r="242" spans="1:20" ht="12" customHeight="1" x14ac:dyDescent="0.2">
      <c r="A242" s="55">
        <v>46155</v>
      </c>
      <c r="B242" s="3" t="s">
        <v>673</v>
      </c>
      <c r="C242" s="15">
        <v>1053808723</v>
      </c>
      <c r="D242" s="52" t="s">
        <v>672</v>
      </c>
      <c r="E242" s="52" t="s">
        <v>65</v>
      </c>
      <c r="F242" s="52" t="s">
        <v>98</v>
      </c>
      <c r="G242" s="52" t="s">
        <v>97</v>
      </c>
      <c r="H242" s="3" t="s">
        <v>1165</v>
      </c>
      <c r="I242" s="61">
        <v>660001</v>
      </c>
      <c r="J242" s="15" t="s">
        <v>671</v>
      </c>
      <c r="K242" s="12" t="s">
        <v>670</v>
      </c>
      <c r="L242" s="171" t="s">
        <v>1103</v>
      </c>
      <c r="M242" s="58" t="s">
        <v>669</v>
      </c>
      <c r="N242" s="13">
        <v>0</v>
      </c>
      <c r="O242" s="14" t="s">
        <v>668</v>
      </c>
      <c r="P242" s="15" t="s">
        <v>68</v>
      </c>
      <c r="Q242" s="3" t="s">
        <v>153</v>
      </c>
      <c r="R242" s="1" t="s">
        <v>0</v>
      </c>
      <c r="S242" s="52" t="s">
        <v>78</v>
      </c>
      <c r="T242" s="137"/>
    </row>
    <row r="243" spans="1:20" ht="12" customHeight="1" x14ac:dyDescent="0.2">
      <c r="A243" s="55">
        <v>45815</v>
      </c>
      <c r="B243" s="57" t="s">
        <v>666</v>
      </c>
      <c r="C243" s="15">
        <v>1094879054</v>
      </c>
      <c r="D243" s="52" t="s">
        <v>665</v>
      </c>
      <c r="E243" s="52" t="s">
        <v>65</v>
      </c>
      <c r="F243" s="52" t="s">
        <v>594</v>
      </c>
      <c r="G243" s="52" t="s">
        <v>76</v>
      </c>
      <c r="H243" s="3" t="s">
        <v>1167</v>
      </c>
      <c r="I243" s="61">
        <v>630001</v>
      </c>
      <c r="J243" s="15" t="s">
        <v>663</v>
      </c>
      <c r="K243" s="12" t="s">
        <v>662</v>
      </c>
      <c r="L243" s="61" t="s">
        <v>1263</v>
      </c>
      <c r="M243" s="58" t="s">
        <v>4</v>
      </c>
      <c r="N243" s="13">
        <v>200000</v>
      </c>
      <c r="O243" s="14" t="s">
        <v>667</v>
      </c>
      <c r="P243" s="107" t="s">
        <v>127</v>
      </c>
      <c r="Q243" s="3" t="s">
        <v>153</v>
      </c>
      <c r="R243" s="1" t="s">
        <v>0</v>
      </c>
      <c r="S243" s="52" t="s">
        <v>78</v>
      </c>
      <c r="T243" s="137"/>
    </row>
    <row r="244" spans="1:20" ht="12" customHeight="1" x14ac:dyDescent="0.2">
      <c r="A244" s="55">
        <v>45832</v>
      </c>
      <c r="B244" s="57" t="s">
        <v>666</v>
      </c>
      <c r="C244" s="15">
        <v>1094879054</v>
      </c>
      <c r="D244" s="52" t="s">
        <v>665</v>
      </c>
      <c r="E244" s="52" t="s">
        <v>65</v>
      </c>
      <c r="F244" s="52" t="s">
        <v>594</v>
      </c>
      <c r="G244" s="52" t="s">
        <v>76</v>
      </c>
      <c r="H244" s="3" t="s">
        <v>664</v>
      </c>
      <c r="I244" s="61">
        <v>630001</v>
      </c>
      <c r="J244" s="15" t="s">
        <v>663</v>
      </c>
      <c r="K244" s="12" t="s">
        <v>662</v>
      </c>
      <c r="L244" s="61" t="s">
        <v>1263</v>
      </c>
      <c r="M244" s="58" t="s">
        <v>4</v>
      </c>
      <c r="N244" s="13">
        <v>200000</v>
      </c>
      <c r="O244" s="14" t="s">
        <v>661</v>
      </c>
      <c r="P244" s="107" t="s">
        <v>127</v>
      </c>
      <c r="Q244" s="3" t="s">
        <v>153</v>
      </c>
      <c r="R244" s="1" t="s">
        <v>0</v>
      </c>
      <c r="S244" s="52" t="s">
        <v>78</v>
      </c>
      <c r="T244" s="137"/>
    </row>
    <row r="245" spans="1:20" ht="12" customHeight="1" x14ac:dyDescent="0.2">
      <c r="A245" s="60">
        <v>46147</v>
      </c>
      <c r="B245" s="57" t="s">
        <v>659</v>
      </c>
      <c r="C245" s="15">
        <v>1711311843</v>
      </c>
      <c r="D245" s="52" t="s">
        <v>658</v>
      </c>
      <c r="E245" s="52" t="s">
        <v>118</v>
      </c>
      <c r="F245" s="52" t="s">
        <v>657</v>
      </c>
      <c r="G245" s="52" t="s">
        <v>656</v>
      </c>
      <c r="H245" s="3" t="s">
        <v>655</v>
      </c>
      <c r="I245" s="61">
        <v>170304</v>
      </c>
      <c r="J245" s="15" t="s">
        <v>654</v>
      </c>
      <c r="K245" s="12" t="s">
        <v>653</v>
      </c>
      <c r="L245" s="61" t="s">
        <v>1264</v>
      </c>
      <c r="M245" s="58" t="s">
        <v>105</v>
      </c>
      <c r="N245" s="13">
        <v>100000</v>
      </c>
      <c r="O245" s="61" t="s">
        <v>660</v>
      </c>
      <c r="P245" s="15" t="s">
        <v>3</v>
      </c>
      <c r="Q245" s="3" t="s">
        <v>153</v>
      </c>
      <c r="R245" s="1" t="s">
        <v>0</v>
      </c>
      <c r="S245" s="52" t="s">
        <v>78</v>
      </c>
      <c r="T245" s="137"/>
    </row>
    <row r="246" spans="1:20" ht="12" customHeight="1" x14ac:dyDescent="0.2">
      <c r="A246" s="60">
        <v>46148.418726851851</v>
      </c>
      <c r="B246" s="57" t="s">
        <v>659</v>
      </c>
      <c r="C246" s="15">
        <v>1711311843</v>
      </c>
      <c r="D246" s="52" t="s">
        <v>658</v>
      </c>
      <c r="E246" s="52" t="s">
        <v>118</v>
      </c>
      <c r="F246" s="52" t="s">
        <v>657</v>
      </c>
      <c r="G246" s="52" t="s">
        <v>656</v>
      </c>
      <c r="H246" s="3" t="s">
        <v>655</v>
      </c>
      <c r="I246" s="61">
        <v>170304</v>
      </c>
      <c r="J246" s="15" t="s">
        <v>654</v>
      </c>
      <c r="K246" s="12" t="s">
        <v>653</v>
      </c>
      <c r="L246" s="61" t="s">
        <v>1264</v>
      </c>
      <c r="M246" s="58" t="s">
        <v>79</v>
      </c>
      <c r="N246" s="13">
        <v>0</v>
      </c>
      <c r="O246" s="14" t="s">
        <v>81</v>
      </c>
      <c r="P246" s="15" t="s">
        <v>68</v>
      </c>
      <c r="Q246" s="3" t="s">
        <v>153</v>
      </c>
      <c r="R246" s="1" t="s">
        <v>0</v>
      </c>
      <c r="S246" s="52" t="s">
        <v>78</v>
      </c>
      <c r="T246" s="137"/>
    </row>
    <row r="247" spans="1:20" ht="12" customHeight="1" x14ac:dyDescent="0.2">
      <c r="A247" s="55">
        <v>46140</v>
      </c>
      <c r="B247" s="57" t="s">
        <v>650</v>
      </c>
      <c r="C247" s="15">
        <v>10300221</v>
      </c>
      <c r="D247" s="52" t="s">
        <v>649</v>
      </c>
      <c r="E247" s="52" t="s">
        <v>65</v>
      </c>
      <c r="F247" s="52" t="s">
        <v>66</v>
      </c>
      <c r="G247" s="52" t="s">
        <v>648</v>
      </c>
      <c r="H247" s="3" t="s">
        <v>1168</v>
      </c>
      <c r="I247" s="61">
        <v>764001</v>
      </c>
      <c r="J247" s="15" t="s">
        <v>647</v>
      </c>
      <c r="K247" s="12" t="s">
        <v>646</v>
      </c>
      <c r="L247" s="61">
        <v>3117199115</v>
      </c>
      <c r="M247" s="58" t="s">
        <v>105</v>
      </c>
      <c r="N247" s="13">
        <v>100000</v>
      </c>
      <c r="O247" s="12" t="s">
        <v>652</v>
      </c>
      <c r="P247" s="15" t="s">
        <v>3</v>
      </c>
      <c r="Q247" s="3" t="s">
        <v>153</v>
      </c>
      <c r="R247" s="1" t="s">
        <v>0</v>
      </c>
      <c r="S247" s="52" t="s">
        <v>78</v>
      </c>
      <c r="T247" s="137"/>
    </row>
    <row r="248" spans="1:20" ht="12" customHeight="1" x14ac:dyDescent="0.2">
      <c r="A248" s="55">
        <v>46140</v>
      </c>
      <c r="B248" s="57" t="s">
        <v>650</v>
      </c>
      <c r="C248" s="15">
        <v>10300221</v>
      </c>
      <c r="D248" s="52" t="s">
        <v>649</v>
      </c>
      <c r="E248" s="52" t="s">
        <v>65</v>
      </c>
      <c r="F248" s="52" t="s">
        <v>66</v>
      </c>
      <c r="G248" s="52" t="s">
        <v>648</v>
      </c>
      <c r="H248" s="3" t="s">
        <v>1168</v>
      </c>
      <c r="I248" s="61">
        <v>764001</v>
      </c>
      <c r="J248" s="15" t="s">
        <v>647</v>
      </c>
      <c r="K248" s="12" t="s">
        <v>646</v>
      </c>
      <c r="L248" s="61">
        <v>3117199115</v>
      </c>
      <c r="M248" s="58" t="s">
        <v>51</v>
      </c>
      <c r="N248" s="13">
        <v>0</v>
      </c>
      <c r="O248" s="14" t="s">
        <v>81</v>
      </c>
      <c r="P248" s="15" t="s">
        <v>68</v>
      </c>
      <c r="Q248" s="3" t="s">
        <v>153</v>
      </c>
      <c r="R248" s="1" t="s">
        <v>0</v>
      </c>
      <c r="S248" s="52" t="s">
        <v>78</v>
      </c>
      <c r="T248" s="137"/>
    </row>
    <row r="249" spans="1:20" ht="12" customHeight="1" x14ac:dyDescent="0.2">
      <c r="A249" s="60">
        <v>46150</v>
      </c>
      <c r="B249" s="57" t="s">
        <v>650</v>
      </c>
      <c r="C249" s="15">
        <v>10300221</v>
      </c>
      <c r="D249" s="52" t="s">
        <v>649</v>
      </c>
      <c r="E249" s="52" t="s">
        <v>65</v>
      </c>
      <c r="F249" s="52" t="s">
        <v>66</v>
      </c>
      <c r="G249" s="52" t="s">
        <v>648</v>
      </c>
      <c r="H249" s="3" t="s">
        <v>1168</v>
      </c>
      <c r="I249" s="61">
        <v>764001</v>
      </c>
      <c r="J249" s="15" t="s">
        <v>647</v>
      </c>
      <c r="K249" s="12" t="s">
        <v>646</v>
      </c>
      <c r="L249" s="61">
        <v>3117199115</v>
      </c>
      <c r="M249" s="58" t="s">
        <v>83</v>
      </c>
      <c r="N249" s="13">
        <v>500000</v>
      </c>
      <c r="O249" s="61" t="s">
        <v>651</v>
      </c>
      <c r="P249" s="15" t="s">
        <v>3</v>
      </c>
      <c r="Q249" s="3" t="s">
        <v>153</v>
      </c>
      <c r="R249" s="1" t="s">
        <v>0</v>
      </c>
      <c r="S249" s="52" t="s">
        <v>78</v>
      </c>
      <c r="T249" s="137"/>
    </row>
    <row r="250" spans="1:20" ht="12" customHeight="1" x14ac:dyDescent="0.2">
      <c r="A250" s="60">
        <v>46150.970277777778</v>
      </c>
      <c r="B250" s="57" t="s">
        <v>650</v>
      </c>
      <c r="C250" s="15">
        <v>10300221</v>
      </c>
      <c r="D250" s="52" t="s">
        <v>649</v>
      </c>
      <c r="E250" s="52" t="s">
        <v>65</v>
      </c>
      <c r="F250" s="52" t="s">
        <v>66</v>
      </c>
      <c r="G250" s="52" t="s">
        <v>648</v>
      </c>
      <c r="H250" s="3" t="s">
        <v>1168</v>
      </c>
      <c r="I250" s="61">
        <v>764001</v>
      </c>
      <c r="J250" s="15" t="s">
        <v>647</v>
      </c>
      <c r="K250" s="12" t="s">
        <v>646</v>
      </c>
      <c r="L250" s="61">
        <v>3117199115</v>
      </c>
      <c r="M250" s="58" t="s">
        <v>79</v>
      </c>
      <c r="N250" s="13">
        <v>0</v>
      </c>
      <c r="O250" s="14" t="s">
        <v>81</v>
      </c>
      <c r="P250" s="15" t="s">
        <v>68</v>
      </c>
      <c r="Q250" s="3" t="s">
        <v>153</v>
      </c>
      <c r="R250" s="1" t="s">
        <v>0</v>
      </c>
      <c r="S250" s="52" t="s">
        <v>78</v>
      </c>
      <c r="T250" s="137"/>
    </row>
    <row r="251" spans="1:20" ht="12" customHeight="1" x14ac:dyDescent="0.2">
      <c r="A251" s="60">
        <v>46150.974131944444</v>
      </c>
      <c r="B251" s="57" t="s">
        <v>650</v>
      </c>
      <c r="C251" s="15">
        <v>10300221</v>
      </c>
      <c r="D251" s="52" t="s">
        <v>649</v>
      </c>
      <c r="E251" s="52" t="s">
        <v>65</v>
      </c>
      <c r="F251" s="52" t="s">
        <v>66</v>
      </c>
      <c r="G251" s="52" t="s">
        <v>648</v>
      </c>
      <c r="H251" s="3" t="s">
        <v>1168</v>
      </c>
      <c r="I251" s="61">
        <v>764001</v>
      </c>
      <c r="J251" s="15" t="s">
        <v>647</v>
      </c>
      <c r="K251" s="12" t="s">
        <v>646</v>
      </c>
      <c r="L251" s="61">
        <v>3117199115</v>
      </c>
      <c r="M251" s="58" t="s">
        <v>8</v>
      </c>
      <c r="N251" s="13">
        <v>0</v>
      </c>
      <c r="O251" s="14" t="s">
        <v>81</v>
      </c>
      <c r="P251" s="15" t="s">
        <v>68</v>
      </c>
      <c r="Q251" s="3" t="s">
        <v>153</v>
      </c>
      <c r="R251" s="1" t="s">
        <v>0</v>
      </c>
      <c r="S251" s="52" t="s">
        <v>78</v>
      </c>
      <c r="T251" s="137"/>
    </row>
    <row r="252" spans="1:20" ht="12" customHeight="1" x14ac:dyDescent="0.2">
      <c r="A252" s="55">
        <v>46150.976180555554</v>
      </c>
      <c r="B252" s="57" t="s">
        <v>650</v>
      </c>
      <c r="C252" s="15">
        <v>10300221</v>
      </c>
      <c r="D252" s="52" t="s">
        <v>649</v>
      </c>
      <c r="E252" s="52" t="s">
        <v>65</v>
      </c>
      <c r="F252" s="52" t="s">
        <v>66</v>
      </c>
      <c r="G252" s="52" t="s">
        <v>648</v>
      </c>
      <c r="H252" s="3" t="s">
        <v>1168</v>
      </c>
      <c r="I252" s="61">
        <v>764001</v>
      </c>
      <c r="J252" s="15" t="s">
        <v>647</v>
      </c>
      <c r="K252" s="12" t="s">
        <v>646</v>
      </c>
      <c r="L252" s="61">
        <v>3117199115</v>
      </c>
      <c r="M252" s="58" t="s">
        <v>79</v>
      </c>
      <c r="N252" s="13">
        <v>0</v>
      </c>
      <c r="O252" s="14" t="s">
        <v>81</v>
      </c>
      <c r="P252" s="15" t="s">
        <v>68</v>
      </c>
      <c r="Q252" s="3" t="s">
        <v>153</v>
      </c>
      <c r="R252" s="1" t="s">
        <v>0</v>
      </c>
      <c r="S252" s="52" t="s">
        <v>78</v>
      </c>
      <c r="T252" s="137"/>
    </row>
    <row r="253" spans="1:20" ht="12" customHeight="1" x14ac:dyDescent="0.2">
      <c r="A253" s="55">
        <v>46150.978645833333</v>
      </c>
      <c r="B253" s="57" t="s">
        <v>650</v>
      </c>
      <c r="C253" s="15">
        <v>10300221</v>
      </c>
      <c r="D253" s="52" t="s">
        <v>649</v>
      </c>
      <c r="E253" s="52" t="s">
        <v>65</v>
      </c>
      <c r="F253" s="52" t="s">
        <v>66</v>
      </c>
      <c r="G253" s="52" t="s">
        <v>648</v>
      </c>
      <c r="H253" s="3" t="s">
        <v>1168</v>
      </c>
      <c r="I253" s="61">
        <v>764001</v>
      </c>
      <c r="J253" s="15" t="s">
        <v>647</v>
      </c>
      <c r="K253" s="12" t="s">
        <v>646</v>
      </c>
      <c r="L253" s="61">
        <v>3117199115</v>
      </c>
      <c r="M253" s="58" t="s">
        <v>51</v>
      </c>
      <c r="N253" s="13">
        <v>0</v>
      </c>
      <c r="O253" s="14" t="s">
        <v>81</v>
      </c>
      <c r="P253" s="15" t="s">
        <v>68</v>
      </c>
      <c r="Q253" s="3" t="s">
        <v>153</v>
      </c>
      <c r="R253" s="1" t="s">
        <v>0</v>
      </c>
      <c r="S253" s="52" t="s">
        <v>78</v>
      </c>
      <c r="T253" s="137"/>
    </row>
    <row r="254" spans="1:20" ht="12" customHeight="1" x14ac:dyDescent="0.2">
      <c r="A254" s="55">
        <v>45873.436886574076</v>
      </c>
      <c r="B254" s="57" t="s">
        <v>644</v>
      </c>
      <c r="C254" s="15">
        <v>98593548</v>
      </c>
      <c r="D254" s="52" t="s">
        <v>643</v>
      </c>
      <c r="E254" s="52" t="s">
        <v>65</v>
      </c>
      <c r="F254" s="52" t="s">
        <v>110</v>
      </c>
      <c r="G254" s="52" t="s">
        <v>111</v>
      </c>
      <c r="H254" s="3" t="s">
        <v>642</v>
      </c>
      <c r="I254" s="61" t="s">
        <v>1169</v>
      </c>
      <c r="J254" s="15" t="s">
        <v>641</v>
      </c>
      <c r="K254" s="12" t="s">
        <v>640</v>
      </c>
      <c r="L254" s="61" t="s">
        <v>1265</v>
      </c>
      <c r="M254" s="58" t="s">
        <v>108</v>
      </c>
      <c r="N254" s="13">
        <v>200000</v>
      </c>
      <c r="O254" s="14" t="s">
        <v>645</v>
      </c>
      <c r="P254" s="15" t="s">
        <v>3</v>
      </c>
      <c r="Q254" s="3" t="s">
        <v>153</v>
      </c>
      <c r="R254" s="1" t="s">
        <v>0</v>
      </c>
      <c r="S254" s="52" t="s">
        <v>78</v>
      </c>
      <c r="T254" s="137"/>
    </row>
    <row r="255" spans="1:20" ht="12" customHeight="1" x14ac:dyDescent="0.2">
      <c r="A255" s="55">
        <v>45892</v>
      </c>
      <c r="B255" s="57" t="s">
        <v>644</v>
      </c>
      <c r="C255" s="15">
        <v>98593548</v>
      </c>
      <c r="D255" s="52" t="s">
        <v>643</v>
      </c>
      <c r="E255" s="52" t="s">
        <v>65</v>
      </c>
      <c r="F255" s="52" t="s">
        <v>110</v>
      </c>
      <c r="G255" s="52" t="s">
        <v>111</v>
      </c>
      <c r="H255" s="3" t="s">
        <v>642</v>
      </c>
      <c r="I255" s="61" t="s">
        <v>1169</v>
      </c>
      <c r="J255" s="15" t="s">
        <v>641</v>
      </c>
      <c r="K255" s="12" t="s">
        <v>640</v>
      </c>
      <c r="L255" s="61" t="s">
        <v>1265</v>
      </c>
      <c r="M255" s="58" t="s">
        <v>84</v>
      </c>
      <c r="N255" s="13">
        <v>120000</v>
      </c>
      <c r="O255" s="14" t="s">
        <v>639</v>
      </c>
      <c r="P255" s="15" t="s">
        <v>3</v>
      </c>
      <c r="Q255" s="3" t="s">
        <v>153</v>
      </c>
      <c r="R255" s="1" t="s">
        <v>0</v>
      </c>
      <c r="S255" s="52" t="s">
        <v>78</v>
      </c>
      <c r="T255" s="137"/>
    </row>
    <row r="256" spans="1:20" ht="12" customHeight="1" x14ac:dyDescent="0.2">
      <c r="A256" s="55">
        <v>45723.777641203706</v>
      </c>
      <c r="B256" s="57" t="s">
        <v>637</v>
      </c>
      <c r="C256" s="15">
        <v>1061822050</v>
      </c>
      <c r="D256" s="52" t="s">
        <v>68</v>
      </c>
      <c r="E256" s="52" t="s">
        <v>65</v>
      </c>
      <c r="F256" s="52" t="s">
        <v>164</v>
      </c>
      <c r="G256" s="52" t="s">
        <v>206</v>
      </c>
      <c r="H256" s="3" t="s">
        <v>1157</v>
      </c>
      <c r="I256" s="61">
        <v>190003</v>
      </c>
      <c r="J256" s="15" t="s">
        <v>636</v>
      </c>
      <c r="K256" s="12" t="s">
        <v>635</v>
      </c>
      <c r="L256" s="61" t="s">
        <v>1215</v>
      </c>
      <c r="M256" s="58" t="s">
        <v>8</v>
      </c>
      <c r="N256" s="13">
        <v>100000</v>
      </c>
      <c r="O256" s="14" t="s">
        <v>638</v>
      </c>
      <c r="P256" s="15" t="s">
        <v>1</v>
      </c>
      <c r="Q256" s="3" t="s">
        <v>153</v>
      </c>
      <c r="R256" s="1" t="s">
        <v>0</v>
      </c>
      <c r="S256" s="52" t="s">
        <v>68</v>
      </c>
      <c r="T256" s="137"/>
    </row>
    <row r="257" spans="1:20" ht="12" customHeight="1" x14ac:dyDescent="0.2">
      <c r="A257" s="55">
        <v>45926</v>
      </c>
      <c r="B257" s="57" t="s">
        <v>637</v>
      </c>
      <c r="C257" s="15">
        <v>1061822050</v>
      </c>
      <c r="D257" s="52" t="s">
        <v>68</v>
      </c>
      <c r="E257" s="52" t="s">
        <v>65</v>
      </c>
      <c r="F257" s="52" t="s">
        <v>164</v>
      </c>
      <c r="G257" s="52" t="s">
        <v>206</v>
      </c>
      <c r="H257" s="3" t="s">
        <v>1157</v>
      </c>
      <c r="I257" s="61">
        <v>190003</v>
      </c>
      <c r="J257" s="15" t="s">
        <v>636</v>
      </c>
      <c r="K257" s="12" t="s">
        <v>635</v>
      </c>
      <c r="L257" s="61" t="s">
        <v>1215</v>
      </c>
      <c r="M257" s="58" t="s">
        <v>180</v>
      </c>
      <c r="N257" s="13">
        <v>20000</v>
      </c>
      <c r="O257" s="14" t="s">
        <v>634</v>
      </c>
      <c r="P257" s="15" t="s">
        <v>1</v>
      </c>
      <c r="Q257" s="3" t="s">
        <v>153</v>
      </c>
      <c r="R257" s="1" t="s">
        <v>0</v>
      </c>
      <c r="S257" s="52" t="s">
        <v>68</v>
      </c>
      <c r="T257" s="137"/>
    </row>
    <row r="258" spans="1:20" ht="12" customHeight="1" x14ac:dyDescent="0.2">
      <c r="A258" s="55">
        <v>45809.760796342598</v>
      </c>
      <c r="B258" s="57" t="s">
        <v>630</v>
      </c>
      <c r="C258" s="15">
        <v>7542612</v>
      </c>
      <c r="D258" s="52" t="s">
        <v>627</v>
      </c>
      <c r="E258" s="52" t="s">
        <v>65</v>
      </c>
      <c r="F258" s="52" t="s">
        <v>98</v>
      </c>
      <c r="G258" s="52" t="s">
        <v>97</v>
      </c>
      <c r="H258" s="3" t="s">
        <v>1170</v>
      </c>
      <c r="I258" s="61" t="s">
        <v>626</v>
      </c>
      <c r="J258" s="15" t="s">
        <v>625</v>
      </c>
      <c r="K258" s="12" t="s">
        <v>624</v>
      </c>
      <c r="L258" s="61" t="s">
        <v>1266</v>
      </c>
      <c r="M258" s="58" t="s">
        <v>4</v>
      </c>
      <c r="N258" s="13">
        <v>200000</v>
      </c>
      <c r="O258" s="14" t="s">
        <v>633</v>
      </c>
      <c r="P258" s="15" t="s">
        <v>106</v>
      </c>
      <c r="Q258" s="3" t="s">
        <v>153</v>
      </c>
      <c r="R258" s="1" t="s">
        <v>0</v>
      </c>
      <c r="S258" s="52" t="s">
        <v>78</v>
      </c>
      <c r="T258" s="137"/>
    </row>
    <row r="259" spans="1:20" ht="12" customHeight="1" x14ac:dyDescent="0.2">
      <c r="A259" s="55">
        <v>46055</v>
      </c>
      <c r="B259" s="57" t="s">
        <v>630</v>
      </c>
      <c r="C259" s="15">
        <v>7542612</v>
      </c>
      <c r="D259" s="52" t="s">
        <v>627</v>
      </c>
      <c r="E259" s="52" t="s">
        <v>65</v>
      </c>
      <c r="F259" s="52" t="s">
        <v>98</v>
      </c>
      <c r="G259" s="52" t="s">
        <v>97</v>
      </c>
      <c r="H259" s="3" t="s">
        <v>1170</v>
      </c>
      <c r="I259" s="61" t="s">
        <v>626</v>
      </c>
      <c r="J259" s="15" t="s">
        <v>625</v>
      </c>
      <c r="K259" s="12" t="s">
        <v>624</v>
      </c>
      <c r="L259" s="61" t="s">
        <v>1266</v>
      </c>
      <c r="M259" s="58" t="s">
        <v>5</v>
      </c>
      <c r="N259" s="13">
        <v>150000</v>
      </c>
      <c r="O259" s="14" t="s">
        <v>632</v>
      </c>
      <c r="P259" s="15" t="s">
        <v>3</v>
      </c>
      <c r="Q259" s="3" t="s">
        <v>153</v>
      </c>
      <c r="R259" s="1" t="s">
        <v>0</v>
      </c>
      <c r="S259" s="52" t="s">
        <v>78</v>
      </c>
      <c r="T259" s="137"/>
    </row>
    <row r="260" spans="1:20" ht="12" customHeight="1" x14ac:dyDescent="0.2">
      <c r="A260" s="55">
        <v>46056</v>
      </c>
      <c r="B260" s="57" t="s">
        <v>630</v>
      </c>
      <c r="C260" s="15">
        <v>7542612</v>
      </c>
      <c r="D260" s="52" t="s">
        <v>627</v>
      </c>
      <c r="E260" s="52" t="s">
        <v>65</v>
      </c>
      <c r="F260" s="52" t="s">
        <v>98</v>
      </c>
      <c r="G260" s="52" t="s">
        <v>97</v>
      </c>
      <c r="H260" s="3" t="s">
        <v>1170</v>
      </c>
      <c r="I260" s="61" t="s">
        <v>626</v>
      </c>
      <c r="J260" s="15" t="s">
        <v>625</v>
      </c>
      <c r="K260" s="12" t="s">
        <v>624</v>
      </c>
      <c r="L260" s="61" t="s">
        <v>1266</v>
      </c>
      <c r="M260" s="58" t="s">
        <v>5</v>
      </c>
      <c r="N260" s="13">
        <v>150000</v>
      </c>
      <c r="O260" s="14" t="s">
        <v>631</v>
      </c>
      <c r="P260" s="15" t="s">
        <v>52</v>
      </c>
      <c r="Q260" s="3" t="s">
        <v>153</v>
      </c>
      <c r="R260" s="1" t="s">
        <v>0</v>
      </c>
      <c r="S260" s="52" t="s">
        <v>78</v>
      </c>
      <c r="T260" s="137"/>
    </row>
    <row r="261" spans="1:20" ht="12" customHeight="1" x14ac:dyDescent="0.2">
      <c r="A261" s="55">
        <v>46118</v>
      </c>
      <c r="B261" s="57" t="s">
        <v>630</v>
      </c>
      <c r="C261" s="15">
        <v>7542612</v>
      </c>
      <c r="D261" s="52" t="s">
        <v>627</v>
      </c>
      <c r="E261" s="52" t="s">
        <v>65</v>
      </c>
      <c r="F261" s="52" t="s">
        <v>98</v>
      </c>
      <c r="G261" s="52" t="s">
        <v>97</v>
      </c>
      <c r="H261" s="3" t="s">
        <v>1170</v>
      </c>
      <c r="I261" s="61" t="s">
        <v>626</v>
      </c>
      <c r="J261" s="15" t="s">
        <v>625</v>
      </c>
      <c r="K261" s="12" t="s">
        <v>624</v>
      </c>
      <c r="L261" s="61" t="s">
        <v>1266</v>
      </c>
      <c r="M261" s="58" t="s">
        <v>47</v>
      </c>
      <c r="N261" s="13">
        <v>200000</v>
      </c>
      <c r="O261" s="12">
        <v>242229</v>
      </c>
      <c r="P261" s="15" t="s">
        <v>53</v>
      </c>
      <c r="Q261" s="3" t="s">
        <v>153</v>
      </c>
      <c r="R261" s="1" t="s">
        <v>0</v>
      </c>
      <c r="S261" s="52" t="s">
        <v>78</v>
      </c>
      <c r="T261" s="137"/>
    </row>
    <row r="262" spans="1:20" ht="12" customHeight="1" x14ac:dyDescent="0.2">
      <c r="A262" s="60">
        <v>46150</v>
      </c>
      <c r="B262" s="57" t="s">
        <v>630</v>
      </c>
      <c r="C262" s="15">
        <v>7542612</v>
      </c>
      <c r="D262" s="52" t="s">
        <v>627</v>
      </c>
      <c r="E262" s="52" t="s">
        <v>65</v>
      </c>
      <c r="F262" s="52" t="s">
        <v>98</v>
      </c>
      <c r="G262" s="52" t="s">
        <v>97</v>
      </c>
      <c r="H262" s="3" t="s">
        <v>1170</v>
      </c>
      <c r="I262" s="61" t="s">
        <v>626</v>
      </c>
      <c r="J262" s="15" t="s">
        <v>625</v>
      </c>
      <c r="K262" s="12" t="s">
        <v>624</v>
      </c>
      <c r="L262" s="61" t="s">
        <v>1266</v>
      </c>
      <c r="M262" s="58" t="s">
        <v>82</v>
      </c>
      <c r="N262" s="13">
        <v>200000</v>
      </c>
      <c r="O262" s="61" t="s">
        <v>629</v>
      </c>
      <c r="P262" s="15" t="s">
        <v>3</v>
      </c>
      <c r="Q262" s="3" t="s">
        <v>153</v>
      </c>
      <c r="R262" s="1" t="s">
        <v>0</v>
      </c>
      <c r="S262" s="52" t="s">
        <v>78</v>
      </c>
      <c r="T262" s="137"/>
    </row>
    <row r="263" spans="1:20" ht="12" customHeight="1" x14ac:dyDescent="0.2">
      <c r="A263" s="55">
        <v>46151.403298611112</v>
      </c>
      <c r="B263" s="57" t="s">
        <v>628</v>
      </c>
      <c r="C263" s="15">
        <v>7542612</v>
      </c>
      <c r="D263" s="52" t="s">
        <v>627</v>
      </c>
      <c r="E263" s="52" t="s">
        <v>65</v>
      </c>
      <c r="F263" s="52" t="s">
        <v>98</v>
      </c>
      <c r="G263" s="52" t="s">
        <v>97</v>
      </c>
      <c r="H263" s="3" t="s">
        <v>1170</v>
      </c>
      <c r="I263" s="61" t="s">
        <v>626</v>
      </c>
      <c r="J263" s="15" t="s">
        <v>625</v>
      </c>
      <c r="K263" s="12" t="s">
        <v>624</v>
      </c>
      <c r="L263" s="61" t="s">
        <v>1266</v>
      </c>
      <c r="M263" s="58" t="s">
        <v>2</v>
      </c>
      <c r="N263" s="13">
        <v>0</v>
      </c>
      <c r="O263" s="14" t="s">
        <v>81</v>
      </c>
      <c r="P263" s="15" t="s">
        <v>68</v>
      </c>
      <c r="Q263" s="3" t="s">
        <v>153</v>
      </c>
      <c r="R263" s="1" t="s">
        <v>0</v>
      </c>
      <c r="S263" s="52" t="s">
        <v>78</v>
      </c>
      <c r="T263" s="137"/>
    </row>
    <row r="264" spans="1:20" ht="12" customHeight="1" x14ac:dyDescent="0.2">
      <c r="A264" s="55">
        <v>46151.406608796293</v>
      </c>
      <c r="B264" s="57" t="s">
        <v>628</v>
      </c>
      <c r="C264" s="15">
        <v>7542612</v>
      </c>
      <c r="D264" s="52" t="s">
        <v>627</v>
      </c>
      <c r="E264" s="52" t="s">
        <v>65</v>
      </c>
      <c r="F264" s="52" t="s">
        <v>98</v>
      </c>
      <c r="G264" s="52" t="s">
        <v>97</v>
      </c>
      <c r="H264" s="3" t="s">
        <v>1170</v>
      </c>
      <c r="I264" s="61" t="s">
        <v>626</v>
      </c>
      <c r="J264" s="15" t="s">
        <v>625</v>
      </c>
      <c r="K264" s="12" t="s">
        <v>624</v>
      </c>
      <c r="L264" s="61" t="s">
        <v>1266</v>
      </c>
      <c r="M264" s="58" t="s">
        <v>8</v>
      </c>
      <c r="N264" s="13">
        <v>0</v>
      </c>
      <c r="O264" s="14" t="s">
        <v>81</v>
      </c>
      <c r="P264" s="15" t="s">
        <v>68</v>
      </c>
      <c r="Q264" s="3" t="s">
        <v>153</v>
      </c>
      <c r="R264" s="1" t="s">
        <v>0</v>
      </c>
      <c r="S264" s="52" t="s">
        <v>78</v>
      </c>
      <c r="T264" s="137"/>
    </row>
    <row r="265" spans="1:20" ht="12" customHeight="1" x14ac:dyDescent="0.2">
      <c r="A265" s="172">
        <v>46173</v>
      </c>
      <c r="B265" s="173" t="s">
        <v>628</v>
      </c>
      <c r="C265" s="15">
        <v>7542612</v>
      </c>
      <c r="D265" s="52" t="s">
        <v>627</v>
      </c>
      <c r="E265" s="52" t="s">
        <v>65</v>
      </c>
      <c r="F265" s="52" t="s">
        <v>98</v>
      </c>
      <c r="G265" s="52" t="s">
        <v>97</v>
      </c>
      <c r="H265" s="3" t="s">
        <v>1327</v>
      </c>
      <c r="I265" s="61">
        <v>55420</v>
      </c>
      <c r="J265" s="15" t="s">
        <v>625</v>
      </c>
      <c r="K265" s="12" t="s">
        <v>624</v>
      </c>
      <c r="L265" s="61" t="s">
        <v>1266</v>
      </c>
      <c r="M265" s="145" t="s">
        <v>104</v>
      </c>
      <c r="N265" s="146">
        <v>100000</v>
      </c>
      <c r="O265" s="147" t="s">
        <v>1339</v>
      </c>
      <c r="P265" s="106" t="s">
        <v>1351</v>
      </c>
      <c r="Q265" s="3" t="s">
        <v>153</v>
      </c>
      <c r="R265" s="1" t="s">
        <v>0</v>
      </c>
      <c r="S265" s="52" t="s">
        <v>78</v>
      </c>
      <c r="T265" s="137"/>
    </row>
    <row r="266" spans="1:20" ht="12" customHeight="1" x14ac:dyDescent="0.2">
      <c r="A266" s="172">
        <v>46176</v>
      </c>
      <c r="B266" s="173" t="s">
        <v>628</v>
      </c>
      <c r="C266" s="15">
        <v>7542612</v>
      </c>
      <c r="D266" s="52" t="s">
        <v>627</v>
      </c>
      <c r="E266" s="52" t="s">
        <v>65</v>
      </c>
      <c r="F266" s="52" t="s">
        <v>98</v>
      </c>
      <c r="G266" s="52" t="s">
        <v>97</v>
      </c>
      <c r="H266" s="3" t="s">
        <v>1327</v>
      </c>
      <c r="I266" s="61">
        <v>55420</v>
      </c>
      <c r="J266" s="15" t="s">
        <v>625</v>
      </c>
      <c r="K266" s="12" t="s">
        <v>624</v>
      </c>
      <c r="L266" s="61" t="s">
        <v>1266</v>
      </c>
      <c r="M266" s="145" t="s">
        <v>104</v>
      </c>
      <c r="N266">
        <v>100000</v>
      </c>
      <c r="O266">
        <v>807815</v>
      </c>
      <c r="P266" s="106" t="s">
        <v>1351</v>
      </c>
      <c r="Q266" s="3" t="s">
        <v>153</v>
      </c>
      <c r="R266" s="1" t="s">
        <v>0</v>
      </c>
      <c r="S266" s="52" t="s">
        <v>78</v>
      </c>
      <c r="T266" s="137"/>
    </row>
    <row r="267" spans="1:20" ht="12" customHeight="1" x14ac:dyDescent="0.2">
      <c r="A267" s="172">
        <v>46224</v>
      </c>
      <c r="B267" s="173" t="s">
        <v>628</v>
      </c>
      <c r="C267" s="15">
        <v>7542612</v>
      </c>
      <c r="D267" s="52" t="s">
        <v>627</v>
      </c>
      <c r="E267" s="52" t="s">
        <v>65</v>
      </c>
      <c r="F267" s="52" t="s">
        <v>98</v>
      </c>
      <c r="G267" s="52" t="s">
        <v>97</v>
      </c>
      <c r="H267" s="3" t="s">
        <v>1327</v>
      </c>
      <c r="I267" s="61">
        <v>55420</v>
      </c>
      <c r="J267" s="15" t="s">
        <v>625</v>
      </c>
      <c r="K267" s="12" t="s">
        <v>624</v>
      </c>
      <c r="L267" s="61" t="s">
        <v>1266</v>
      </c>
      <c r="M267" s="145" t="s">
        <v>104</v>
      </c>
      <c r="N267">
        <v>100000</v>
      </c>
      <c r="O267" t="s">
        <v>1346</v>
      </c>
      <c r="P267" s="106" t="s">
        <v>3</v>
      </c>
      <c r="Q267" s="3" t="s">
        <v>153</v>
      </c>
      <c r="R267" s="1" t="s">
        <v>0</v>
      </c>
      <c r="S267" s="52" t="s">
        <v>78</v>
      </c>
      <c r="T267" s="137"/>
    </row>
    <row r="268" spans="1:20" ht="12" customHeight="1" x14ac:dyDescent="0.2">
      <c r="A268" s="55">
        <v>45873</v>
      </c>
      <c r="B268" s="57" t="s">
        <v>618</v>
      </c>
      <c r="C268" s="15" t="s">
        <v>1171</v>
      </c>
      <c r="D268" s="52" t="s">
        <v>617</v>
      </c>
      <c r="E268" s="52" t="s">
        <v>118</v>
      </c>
      <c r="F268" s="52" t="s">
        <v>248</v>
      </c>
      <c r="G268" s="52" t="s">
        <v>248</v>
      </c>
      <c r="H268" s="3" t="s">
        <v>616</v>
      </c>
      <c r="I268" s="61" t="s">
        <v>1172</v>
      </c>
      <c r="J268" s="15" t="s">
        <v>615</v>
      </c>
      <c r="K268" s="12" t="s">
        <v>614</v>
      </c>
      <c r="L268" s="61" t="s">
        <v>1267</v>
      </c>
      <c r="M268" s="127" t="s">
        <v>623</v>
      </c>
      <c r="N268" s="100">
        <v>300000</v>
      </c>
      <c r="O268" s="101" t="s">
        <v>622</v>
      </c>
      <c r="P268" s="15" t="s">
        <v>50</v>
      </c>
      <c r="Q268" s="3" t="s">
        <v>153</v>
      </c>
      <c r="R268" s="1" t="s">
        <v>0</v>
      </c>
      <c r="S268" s="52" t="s">
        <v>78</v>
      </c>
      <c r="T268" s="137"/>
    </row>
    <row r="269" spans="1:20" ht="12" customHeight="1" x14ac:dyDescent="0.2">
      <c r="A269" s="55">
        <v>45916.913935185185</v>
      </c>
      <c r="B269" s="57" t="s">
        <v>618</v>
      </c>
      <c r="C269" s="15" t="s">
        <v>1171</v>
      </c>
      <c r="D269" s="52" t="s">
        <v>617</v>
      </c>
      <c r="E269" s="52" t="s">
        <v>118</v>
      </c>
      <c r="F269" s="52" t="s">
        <v>248</v>
      </c>
      <c r="G269" s="52" t="s">
        <v>248</v>
      </c>
      <c r="H269" s="3" t="s">
        <v>616</v>
      </c>
      <c r="I269" s="61" t="s">
        <v>1172</v>
      </c>
      <c r="J269" s="15" t="s">
        <v>615</v>
      </c>
      <c r="K269" s="12" t="s">
        <v>614</v>
      </c>
      <c r="L269" s="61" t="s">
        <v>1267</v>
      </c>
      <c r="M269" s="58" t="s">
        <v>83</v>
      </c>
      <c r="N269" s="13">
        <v>600000</v>
      </c>
      <c r="O269" s="14" t="s">
        <v>621</v>
      </c>
      <c r="P269" s="15" t="s">
        <v>50</v>
      </c>
      <c r="Q269" s="3" t="s">
        <v>153</v>
      </c>
      <c r="R269" s="1" t="s">
        <v>0</v>
      </c>
      <c r="S269" s="52" t="s">
        <v>78</v>
      </c>
      <c r="T269" s="137"/>
    </row>
    <row r="270" spans="1:20" ht="12" customHeight="1" x14ac:dyDescent="0.2">
      <c r="A270" s="55">
        <v>46022</v>
      </c>
      <c r="B270" s="57" t="s">
        <v>618</v>
      </c>
      <c r="C270" s="15" t="s">
        <v>1171</v>
      </c>
      <c r="D270" s="52" t="s">
        <v>617</v>
      </c>
      <c r="E270" s="52" t="s">
        <v>118</v>
      </c>
      <c r="F270" s="52" t="s">
        <v>248</v>
      </c>
      <c r="G270" s="52" t="s">
        <v>248</v>
      </c>
      <c r="H270" s="3" t="s">
        <v>616</v>
      </c>
      <c r="I270" s="61" t="s">
        <v>1172</v>
      </c>
      <c r="J270" s="15" t="s">
        <v>615</v>
      </c>
      <c r="K270" s="12" t="s">
        <v>614</v>
      </c>
      <c r="L270" s="61" t="s">
        <v>1267</v>
      </c>
      <c r="M270" s="127" t="s">
        <v>112</v>
      </c>
      <c r="N270" s="100">
        <v>100000</v>
      </c>
      <c r="O270" s="101" t="s">
        <v>620</v>
      </c>
      <c r="P270" s="15" t="s">
        <v>123</v>
      </c>
      <c r="Q270" s="3" t="s">
        <v>153</v>
      </c>
      <c r="R270" s="1" t="s">
        <v>0</v>
      </c>
      <c r="S270" s="52" t="s">
        <v>78</v>
      </c>
      <c r="T270" s="137"/>
    </row>
    <row r="271" spans="1:20" ht="12" customHeight="1" x14ac:dyDescent="0.2">
      <c r="A271" s="60">
        <v>46146</v>
      </c>
      <c r="B271" s="57" t="s">
        <v>618</v>
      </c>
      <c r="C271" s="15" t="s">
        <v>1171</v>
      </c>
      <c r="D271" s="52" t="s">
        <v>617</v>
      </c>
      <c r="E271" s="52" t="s">
        <v>118</v>
      </c>
      <c r="F271" s="52" t="s">
        <v>248</v>
      </c>
      <c r="G271" s="52" t="s">
        <v>248</v>
      </c>
      <c r="H271" s="3" t="s">
        <v>616</v>
      </c>
      <c r="I271" s="61" t="s">
        <v>1172</v>
      </c>
      <c r="J271" s="15" t="s">
        <v>615</v>
      </c>
      <c r="K271" s="12" t="s">
        <v>614</v>
      </c>
      <c r="L271" s="61" t="s">
        <v>1267</v>
      </c>
      <c r="M271" s="58" t="s">
        <v>82</v>
      </c>
      <c r="N271" s="13">
        <v>54</v>
      </c>
      <c r="O271" s="61" t="s">
        <v>619</v>
      </c>
      <c r="P271" s="15" t="s">
        <v>123</v>
      </c>
      <c r="Q271" s="3" t="s">
        <v>153</v>
      </c>
      <c r="R271" s="1" t="s">
        <v>0</v>
      </c>
      <c r="S271" s="52" t="s">
        <v>78</v>
      </c>
      <c r="T271" s="137"/>
    </row>
    <row r="272" spans="1:20" ht="12" customHeight="1" x14ac:dyDescent="0.2">
      <c r="A272" s="60">
        <v>46146.802662037036</v>
      </c>
      <c r="B272" s="57" t="s">
        <v>618</v>
      </c>
      <c r="C272" s="15" t="s">
        <v>1171</v>
      </c>
      <c r="D272" s="52" t="s">
        <v>617</v>
      </c>
      <c r="E272" s="52" t="s">
        <v>118</v>
      </c>
      <c r="F272" s="52" t="s">
        <v>248</v>
      </c>
      <c r="G272" s="52" t="s">
        <v>248</v>
      </c>
      <c r="H272" s="3" t="s">
        <v>616</v>
      </c>
      <c r="I272" s="61" t="s">
        <v>1172</v>
      </c>
      <c r="J272" s="15" t="s">
        <v>615</v>
      </c>
      <c r="K272" s="12" t="s">
        <v>614</v>
      </c>
      <c r="L272" s="61" t="s">
        <v>1267</v>
      </c>
      <c r="M272" s="58" t="s">
        <v>8</v>
      </c>
      <c r="N272" s="13">
        <v>0</v>
      </c>
      <c r="O272" s="14" t="s">
        <v>81</v>
      </c>
      <c r="P272" s="15" t="s">
        <v>68</v>
      </c>
      <c r="Q272" s="3" t="s">
        <v>153</v>
      </c>
      <c r="R272" s="1" t="s">
        <v>0</v>
      </c>
      <c r="S272" s="52" t="s">
        <v>78</v>
      </c>
      <c r="T272" s="137"/>
    </row>
    <row r="273" spans="1:20" ht="12" customHeight="1" x14ac:dyDescent="0.2">
      <c r="A273" s="60">
        <v>46146.805208333331</v>
      </c>
      <c r="B273" s="57" t="s">
        <v>618</v>
      </c>
      <c r="C273" s="15" t="s">
        <v>1171</v>
      </c>
      <c r="D273" s="52" t="s">
        <v>617</v>
      </c>
      <c r="E273" s="52" t="s">
        <v>118</v>
      </c>
      <c r="F273" s="52" t="s">
        <v>248</v>
      </c>
      <c r="G273" s="52" t="s">
        <v>248</v>
      </c>
      <c r="H273" s="3" t="s">
        <v>616</v>
      </c>
      <c r="I273" s="61" t="s">
        <v>1172</v>
      </c>
      <c r="J273" s="15" t="s">
        <v>615</v>
      </c>
      <c r="K273" s="12" t="s">
        <v>614</v>
      </c>
      <c r="L273" s="61" t="s">
        <v>1267</v>
      </c>
      <c r="M273" s="58" t="s">
        <v>74</v>
      </c>
      <c r="N273" s="13">
        <v>0</v>
      </c>
      <c r="O273" s="14" t="s">
        <v>81</v>
      </c>
      <c r="P273" s="15" t="s">
        <v>68</v>
      </c>
      <c r="Q273" s="3" t="s">
        <v>153</v>
      </c>
      <c r="R273" s="1" t="s">
        <v>0</v>
      </c>
      <c r="S273" s="52" t="s">
        <v>78</v>
      </c>
      <c r="T273" s="137"/>
    </row>
    <row r="274" spans="1:20" ht="12" customHeight="1" x14ac:dyDescent="0.2">
      <c r="A274" s="60">
        <v>46150</v>
      </c>
      <c r="B274" s="57" t="s">
        <v>618</v>
      </c>
      <c r="C274" s="15" t="s">
        <v>1171</v>
      </c>
      <c r="D274" s="52" t="s">
        <v>617</v>
      </c>
      <c r="E274" s="52" t="s">
        <v>118</v>
      </c>
      <c r="F274" s="52" t="s">
        <v>248</v>
      </c>
      <c r="G274" s="52" t="s">
        <v>248</v>
      </c>
      <c r="H274" s="3" t="s">
        <v>616</v>
      </c>
      <c r="I274" s="61" t="s">
        <v>1172</v>
      </c>
      <c r="J274" s="15" t="s">
        <v>615</v>
      </c>
      <c r="K274" s="12" t="s">
        <v>614</v>
      </c>
      <c r="L274" s="61" t="s">
        <v>1267</v>
      </c>
      <c r="M274" s="58" t="s">
        <v>79</v>
      </c>
      <c r="N274" s="13">
        <v>0</v>
      </c>
      <c r="O274" s="14" t="s">
        <v>80</v>
      </c>
      <c r="P274" s="15" t="s">
        <v>68</v>
      </c>
      <c r="Q274" s="3" t="s">
        <v>153</v>
      </c>
      <c r="R274" s="1" t="s">
        <v>0</v>
      </c>
      <c r="S274" s="52" t="s">
        <v>78</v>
      </c>
      <c r="T274" s="137"/>
    </row>
    <row r="275" spans="1:20" ht="12" customHeight="1" x14ac:dyDescent="0.2">
      <c r="A275" s="55">
        <v>45871.978946759256</v>
      </c>
      <c r="B275" s="57" t="s">
        <v>613</v>
      </c>
      <c r="C275" s="15" t="s">
        <v>612</v>
      </c>
      <c r="D275" s="52" t="s">
        <v>611</v>
      </c>
      <c r="E275" s="52" t="s">
        <v>610</v>
      </c>
      <c r="F275" s="52" t="s">
        <v>610</v>
      </c>
      <c r="G275" s="52" t="s">
        <v>610</v>
      </c>
      <c r="H275" s="3" t="s">
        <v>1173</v>
      </c>
      <c r="I275" s="61" t="s">
        <v>1174</v>
      </c>
      <c r="J275" s="15" t="s">
        <v>609</v>
      </c>
      <c r="K275" s="12" t="s">
        <v>608</v>
      </c>
      <c r="L275" s="61" t="s">
        <v>1268</v>
      </c>
      <c r="M275" s="58" t="s">
        <v>115</v>
      </c>
      <c r="N275" s="13">
        <v>300000</v>
      </c>
      <c r="O275" s="14" t="s">
        <v>607</v>
      </c>
      <c r="P275" s="15" t="s">
        <v>109</v>
      </c>
      <c r="Q275" s="3" t="s">
        <v>153</v>
      </c>
      <c r="R275" s="1" t="s">
        <v>0</v>
      </c>
      <c r="S275" s="52" t="s">
        <v>1364</v>
      </c>
      <c r="T275" s="137">
        <v>45980</v>
      </c>
    </row>
    <row r="276" spans="1:20" ht="12" customHeight="1" x14ac:dyDescent="0.2">
      <c r="A276" s="55">
        <v>45814.893647627316</v>
      </c>
      <c r="B276" s="57" t="s">
        <v>606</v>
      </c>
      <c r="C276" s="15">
        <v>17410384</v>
      </c>
      <c r="D276" s="52" t="s">
        <v>605</v>
      </c>
      <c r="E276" s="52" t="s">
        <v>381</v>
      </c>
      <c r="F276" s="52" t="s">
        <v>380</v>
      </c>
      <c r="G276" s="52" t="s">
        <v>380</v>
      </c>
      <c r="H276" s="3" t="s">
        <v>604</v>
      </c>
      <c r="I276" s="61" t="s">
        <v>603</v>
      </c>
      <c r="J276" s="15" t="s">
        <v>602</v>
      </c>
      <c r="K276" s="12" t="s">
        <v>601</v>
      </c>
      <c r="L276" s="61" t="s">
        <v>1269</v>
      </c>
      <c r="M276" s="58" t="s">
        <v>4</v>
      </c>
      <c r="N276" s="13">
        <v>200000</v>
      </c>
      <c r="O276" s="14" t="s">
        <v>600</v>
      </c>
      <c r="P276" s="15" t="s">
        <v>50</v>
      </c>
      <c r="Q276" s="3" t="s">
        <v>153</v>
      </c>
      <c r="R276" s="1" t="s">
        <v>0</v>
      </c>
      <c r="S276" s="52" t="s">
        <v>78</v>
      </c>
      <c r="T276" s="137">
        <v>46326</v>
      </c>
    </row>
    <row r="277" spans="1:20" ht="12" customHeight="1" x14ac:dyDescent="0.2">
      <c r="A277" s="55">
        <v>45814</v>
      </c>
      <c r="B277" s="57" t="s">
        <v>596</v>
      </c>
      <c r="C277" s="15">
        <v>1097397130</v>
      </c>
      <c r="D277" s="52" t="s">
        <v>595</v>
      </c>
      <c r="E277" s="52" t="s">
        <v>65</v>
      </c>
      <c r="F277" s="52" t="s">
        <v>594</v>
      </c>
      <c r="G277" s="52" t="s">
        <v>1175</v>
      </c>
      <c r="H277" s="3" t="s">
        <v>593</v>
      </c>
      <c r="I277" s="61">
        <v>632001</v>
      </c>
      <c r="J277" s="15" t="s">
        <v>592</v>
      </c>
      <c r="K277" s="12" t="s">
        <v>591</v>
      </c>
      <c r="L277" s="61" t="s">
        <v>1270</v>
      </c>
      <c r="M277" s="58" t="s">
        <v>4</v>
      </c>
      <c r="N277" s="13">
        <v>200000</v>
      </c>
      <c r="O277" s="14" t="s">
        <v>599</v>
      </c>
      <c r="P277" s="15" t="s">
        <v>3</v>
      </c>
      <c r="Q277" s="3" t="s">
        <v>153</v>
      </c>
      <c r="R277" s="1" t="s">
        <v>0</v>
      </c>
      <c r="S277" s="52" t="s">
        <v>78</v>
      </c>
      <c r="T277" s="121"/>
    </row>
    <row r="278" spans="1:20" ht="12" customHeight="1" x14ac:dyDescent="0.2">
      <c r="A278" s="55">
        <v>45821.452225300927</v>
      </c>
      <c r="B278" s="57" t="s">
        <v>596</v>
      </c>
      <c r="C278" s="15">
        <v>1097397130</v>
      </c>
      <c r="D278" s="52" t="s">
        <v>595</v>
      </c>
      <c r="E278" s="52" t="s">
        <v>65</v>
      </c>
      <c r="F278" s="52" t="s">
        <v>594</v>
      </c>
      <c r="G278" s="52" t="s">
        <v>1175</v>
      </c>
      <c r="H278" s="3" t="s">
        <v>593</v>
      </c>
      <c r="I278" s="61">
        <v>632001</v>
      </c>
      <c r="J278" s="15" t="s">
        <v>592</v>
      </c>
      <c r="K278" s="12" t="s">
        <v>591</v>
      </c>
      <c r="L278" s="61" t="s">
        <v>1270</v>
      </c>
      <c r="M278" s="58" t="s">
        <v>104</v>
      </c>
      <c r="N278" s="13">
        <v>120000</v>
      </c>
      <c r="O278" s="14" t="s">
        <v>598</v>
      </c>
      <c r="P278" s="15" t="s">
        <v>1</v>
      </c>
      <c r="Q278" s="3" t="s">
        <v>153</v>
      </c>
      <c r="R278" s="1" t="s">
        <v>0</v>
      </c>
      <c r="S278" s="52" t="s">
        <v>78</v>
      </c>
      <c r="T278" s="121"/>
    </row>
    <row r="279" spans="1:20" ht="12" customHeight="1" x14ac:dyDescent="0.2">
      <c r="A279" s="55">
        <v>45945</v>
      </c>
      <c r="B279" s="57" t="s">
        <v>596</v>
      </c>
      <c r="C279" s="15">
        <v>1097397130</v>
      </c>
      <c r="D279" s="52" t="s">
        <v>595</v>
      </c>
      <c r="E279" s="52" t="s">
        <v>65</v>
      </c>
      <c r="F279" s="52" t="s">
        <v>594</v>
      </c>
      <c r="G279" s="52" t="s">
        <v>1175</v>
      </c>
      <c r="H279" s="3" t="s">
        <v>593</v>
      </c>
      <c r="I279" s="61">
        <v>632001</v>
      </c>
      <c r="J279" s="15" t="s">
        <v>592</v>
      </c>
      <c r="K279" s="12" t="s">
        <v>591</v>
      </c>
      <c r="L279" s="61" t="s">
        <v>1270</v>
      </c>
      <c r="M279" s="58" t="s">
        <v>115</v>
      </c>
      <c r="N279" s="13">
        <v>300000</v>
      </c>
      <c r="O279" s="14" t="s">
        <v>597</v>
      </c>
      <c r="P279" s="15" t="s">
        <v>3</v>
      </c>
      <c r="Q279" s="3" t="s">
        <v>153</v>
      </c>
      <c r="R279" s="1" t="s">
        <v>0</v>
      </c>
      <c r="S279" s="52" t="s">
        <v>78</v>
      </c>
      <c r="T279" s="121"/>
    </row>
    <row r="280" spans="1:20" ht="12" customHeight="1" x14ac:dyDescent="0.2">
      <c r="A280" s="55">
        <v>46110</v>
      </c>
      <c r="B280" s="57" t="s">
        <v>596</v>
      </c>
      <c r="C280" s="15">
        <v>1097397130</v>
      </c>
      <c r="D280" s="52" t="s">
        <v>595</v>
      </c>
      <c r="E280" s="52" t="s">
        <v>65</v>
      </c>
      <c r="F280" s="52" t="s">
        <v>594</v>
      </c>
      <c r="G280" s="52" t="s">
        <v>1175</v>
      </c>
      <c r="H280" s="3" t="s">
        <v>593</v>
      </c>
      <c r="I280" s="61">
        <v>632001</v>
      </c>
      <c r="J280" s="15" t="s">
        <v>592</v>
      </c>
      <c r="K280" s="12" t="s">
        <v>591</v>
      </c>
      <c r="L280" s="61" t="s">
        <v>1270</v>
      </c>
      <c r="M280" s="58" t="s">
        <v>47</v>
      </c>
      <c r="N280" s="13">
        <v>200000</v>
      </c>
      <c r="O280" s="12">
        <v>442303</v>
      </c>
      <c r="P280" s="15" t="s">
        <v>109</v>
      </c>
      <c r="Q280" s="3" t="s">
        <v>153</v>
      </c>
      <c r="R280" s="1" t="s">
        <v>0</v>
      </c>
      <c r="S280" s="52" t="s">
        <v>78</v>
      </c>
      <c r="T280" s="121"/>
    </row>
    <row r="281" spans="1:20" ht="12" customHeight="1" x14ac:dyDescent="0.2">
      <c r="A281" s="55">
        <v>46111</v>
      </c>
      <c r="B281" s="57" t="s">
        <v>588</v>
      </c>
      <c r="C281" s="15">
        <v>30856126</v>
      </c>
      <c r="D281" s="52" t="s">
        <v>587</v>
      </c>
      <c r="E281" s="52" t="s">
        <v>65</v>
      </c>
      <c r="F281" s="52" t="s">
        <v>586</v>
      </c>
      <c r="G281" s="52" t="s">
        <v>585</v>
      </c>
      <c r="H281" s="3" t="s">
        <v>584</v>
      </c>
      <c r="I281" s="61">
        <v>132040</v>
      </c>
      <c r="J281" s="15" t="s">
        <v>583</v>
      </c>
      <c r="K281" s="12" t="s">
        <v>582</v>
      </c>
      <c r="L281" s="61" t="s">
        <v>1271</v>
      </c>
      <c r="M281" s="58" t="s">
        <v>2</v>
      </c>
      <c r="N281" s="13">
        <v>100000</v>
      </c>
      <c r="O281" s="14" t="s">
        <v>590</v>
      </c>
      <c r="P281" s="15" t="s">
        <v>3</v>
      </c>
      <c r="Q281" s="3" t="s">
        <v>153</v>
      </c>
      <c r="R281" s="1" t="s">
        <v>0</v>
      </c>
      <c r="S281" s="52" t="s">
        <v>78</v>
      </c>
      <c r="T281" s="121"/>
    </row>
    <row r="282" spans="1:20" ht="12" customHeight="1" x14ac:dyDescent="0.2">
      <c r="A282" s="55">
        <v>46113</v>
      </c>
      <c r="B282" s="57" t="s">
        <v>588</v>
      </c>
      <c r="C282" s="15">
        <v>30856126</v>
      </c>
      <c r="D282" s="52" t="s">
        <v>587</v>
      </c>
      <c r="E282" s="52" t="s">
        <v>65</v>
      </c>
      <c r="F282" s="52" t="s">
        <v>586</v>
      </c>
      <c r="G282" s="52" t="s">
        <v>585</v>
      </c>
      <c r="H282" s="3" t="s">
        <v>584</v>
      </c>
      <c r="I282" s="61">
        <v>132040</v>
      </c>
      <c r="J282" s="15" t="s">
        <v>583</v>
      </c>
      <c r="K282" s="12" t="s">
        <v>582</v>
      </c>
      <c r="L282" s="61" t="s">
        <v>1271</v>
      </c>
      <c r="M282" s="58" t="s">
        <v>47</v>
      </c>
      <c r="N282" s="13">
        <v>200000</v>
      </c>
      <c r="O282" s="14" t="s">
        <v>589</v>
      </c>
      <c r="P282" s="15" t="s">
        <v>3</v>
      </c>
      <c r="Q282" s="3" t="s">
        <v>153</v>
      </c>
      <c r="R282" s="1" t="s">
        <v>0</v>
      </c>
      <c r="S282" s="52" t="s">
        <v>78</v>
      </c>
      <c r="T282" s="121"/>
    </row>
    <row r="283" spans="1:20" ht="12" customHeight="1" x14ac:dyDescent="0.2">
      <c r="A283" s="60">
        <v>46150</v>
      </c>
      <c r="B283" s="57" t="s">
        <v>588</v>
      </c>
      <c r="C283" s="15">
        <v>30856126</v>
      </c>
      <c r="D283" s="52" t="s">
        <v>587</v>
      </c>
      <c r="E283" s="52" t="s">
        <v>65</v>
      </c>
      <c r="F283" s="52" t="s">
        <v>586</v>
      </c>
      <c r="G283" s="52" t="s">
        <v>585</v>
      </c>
      <c r="H283" s="3" t="s">
        <v>584</v>
      </c>
      <c r="I283" s="61">
        <v>132040</v>
      </c>
      <c r="J283" s="15" t="s">
        <v>583</v>
      </c>
      <c r="K283" s="12" t="s">
        <v>582</v>
      </c>
      <c r="L283" s="61" t="s">
        <v>1271</v>
      </c>
      <c r="M283" s="58" t="s">
        <v>581</v>
      </c>
      <c r="N283" s="13">
        <v>0</v>
      </c>
      <c r="O283" s="14" t="s">
        <v>80</v>
      </c>
      <c r="P283" s="15" t="s">
        <v>68</v>
      </c>
      <c r="Q283" s="3" t="s">
        <v>153</v>
      </c>
      <c r="R283" s="1" t="s">
        <v>0</v>
      </c>
      <c r="S283" s="52" t="s">
        <v>78</v>
      </c>
      <c r="T283" s="121"/>
    </row>
    <row r="284" spans="1:20" ht="12" customHeight="1" x14ac:dyDescent="0.2">
      <c r="A284" s="55">
        <v>45805.910470983799</v>
      </c>
      <c r="B284" s="57" t="s">
        <v>580</v>
      </c>
      <c r="C284" s="15">
        <v>1305590745</v>
      </c>
      <c r="D284" s="52" t="s">
        <v>579</v>
      </c>
      <c r="E284" s="52" t="s">
        <v>139</v>
      </c>
      <c r="F284" s="52" t="s">
        <v>578</v>
      </c>
      <c r="G284" s="52" t="s">
        <v>577</v>
      </c>
      <c r="H284" s="3" t="s">
        <v>1176</v>
      </c>
      <c r="I284" s="61">
        <v>130213</v>
      </c>
      <c r="J284" s="15" t="s">
        <v>576</v>
      </c>
      <c r="K284" s="12" t="s">
        <v>575</v>
      </c>
      <c r="L284" s="61" t="s">
        <v>1272</v>
      </c>
      <c r="M284" s="58" t="s">
        <v>104</v>
      </c>
      <c r="N284" s="13">
        <v>120000</v>
      </c>
      <c r="O284" s="14" t="s">
        <v>574</v>
      </c>
      <c r="P284" s="15" t="s">
        <v>50</v>
      </c>
      <c r="Q284" s="3" t="s">
        <v>153</v>
      </c>
      <c r="R284" s="1" t="s">
        <v>0</v>
      </c>
      <c r="S284" s="52" t="s">
        <v>78</v>
      </c>
      <c r="T284" s="121"/>
    </row>
    <row r="285" spans="1:20" ht="12" customHeight="1" x14ac:dyDescent="0.2">
      <c r="A285" s="55">
        <v>45936.737800925926</v>
      </c>
      <c r="B285" s="57" t="s">
        <v>573</v>
      </c>
      <c r="C285" s="15">
        <v>1088355401</v>
      </c>
      <c r="D285" s="52" t="s">
        <v>572</v>
      </c>
      <c r="E285" s="52" t="s">
        <v>65</v>
      </c>
      <c r="F285" s="52" t="s">
        <v>98</v>
      </c>
      <c r="G285" s="52" t="s">
        <v>97</v>
      </c>
      <c r="H285" s="3" t="s">
        <v>571</v>
      </c>
      <c r="I285" s="61">
        <v>660008</v>
      </c>
      <c r="J285" s="15" t="s">
        <v>570</v>
      </c>
      <c r="K285" s="12" t="s">
        <v>569</v>
      </c>
      <c r="L285" s="61" t="s">
        <v>1273</v>
      </c>
      <c r="M285" s="58" t="s">
        <v>2</v>
      </c>
      <c r="N285" s="13">
        <v>100000</v>
      </c>
      <c r="O285" s="14" t="s">
        <v>568</v>
      </c>
      <c r="P285" s="15" t="s">
        <v>1</v>
      </c>
      <c r="Q285" s="3" t="s">
        <v>153</v>
      </c>
      <c r="R285" s="1" t="s">
        <v>0</v>
      </c>
      <c r="S285" s="52" t="s">
        <v>78</v>
      </c>
      <c r="T285" s="121"/>
    </row>
    <row r="286" spans="1:20" ht="12" customHeight="1" x14ac:dyDescent="0.2">
      <c r="A286" s="55">
        <v>45711</v>
      </c>
      <c r="B286" s="57" t="s">
        <v>566</v>
      </c>
      <c r="C286" s="15">
        <v>10525194</v>
      </c>
      <c r="D286" s="52" t="s">
        <v>565</v>
      </c>
      <c r="E286" s="52" t="s">
        <v>65</v>
      </c>
      <c r="F286" s="52" t="s">
        <v>164</v>
      </c>
      <c r="G286" s="52" t="s">
        <v>206</v>
      </c>
      <c r="H286" s="3" t="s">
        <v>1157</v>
      </c>
      <c r="I286" s="61">
        <v>190001</v>
      </c>
      <c r="J286" s="15" t="s">
        <v>564</v>
      </c>
      <c r="K286" s="12" t="s">
        <v>563</v>
      </c>
      <c r="L286" s="61" t="s">
        <v>1215</v>
      </c>
      <c r="M286" s="58" t="s">
        <v>8</v>
      </c>
      <c r="N286" s="13">
        <v>100000</v>
      </c>
      <c r="O286" s="14" t="s">
        <v>567</v>
      </c>
      <c r="P286" s="15" t="s">
        <v>1</v>
      </c>
      <c r="Q286" s="3" t="s">
        <v>153</v>
      </c>
      <c r="R286" s="1" t="s">
        <v>0</v>
      </c>
      <c r="S286" s="52" t="s">
        <v>78</v>
      </c>
      <c r="T286" s="121"/>
    </row>
    <row r="287" spans="1:20" ht="12" customHeight="1" x14ac:dyDescent="0.2">
      <c r="A287" s="55">
        <v>45930</v>
      </c>
      <c r="B287" s="57" t="s">
        <v>566</v>
      </c>
      <c r="C287" s="15">
        <v>10525194</v>
      </c>
      <c r="D287" s="52" t="s">
        <v>565</v>
      </c>
      <c r="E287" s="52" t="s">
        <v>65</v>
      </c>
      <c r="F287" s="52" t="s">
        <v>164</v>
      </c>
      <c r="G287" s="52" t="s">
        <v>206</v>
      </c>
      <c r="H287" s="3" t="s">
        <v>1157</v>
      </c>
      <c r="I287" s="61">
        <v>190001</v>
      </c>
      <c r="J287" s="15" t="s">
        <v>564</v>
      </c>
      <c r="K287" s="12" t="s">
        <v>563</v>
      </c>
      <c r="L287" s="61" t="s">
        <v>1215</v>
      </c>
      <c r="M287" s="58" t="s">
        <v>180</v>
      </c>
      <c r="N287" s="13">
        <v>20000</v>
      </c>
      <c r="O287" s="14" t="s">
        <v>562</v>
      </c>
      <c r="P287" s="15" t="s">
        <v>1</v>
      </c>
      <c r="Q287" s="3" t="s">
        <v>153</v>
      </c>
      <c r="R287" s="1" t="s">
        <v>0</v>
      </c>
      <c r="S287" s="52" t="s">
        <v>78</v>
      </c>
      <c r="T287" s="121"/>
    </row>
    <row r="288" spans="1:20" ht="12" customHeight="1" x14ac:dyDescent="0.2">
      <c r="A288" s="55">
        <v>45814.752821689814</v>
      </c>
      <c r="B288" s="57" t="s">
        <v>558</v>
      </c>
      <c r="C288" s="15">
        <v>18502052</v>
      </c>
      <c r="D288" s="52" t="s">
        <v>1177</v>
      </c>
      <c r="E288" s="52" t="s">
        <v>65</v>
      </c>
      <c r="F288" s="52" t="s">
        <v>98</v>
      </c>
      <c r="G288" s="52" t="s">
        <v>103</v>
      </c>
      <c r="H288" s="3" t="s">
        <v>426</v>
      </c>
      <c r="I288" s="61">
        <v>661001</v>
      </c>
      <c r="J288" s="15" t="s">
        <v>557</v>
      </c>
      <c r="K288" s="12" t="s">
        <v>556</v>
      </c>
      <c r="L288" s="61" t="s">
        <v>1274</v>
      </c>
      <c r="M288" s="58" t="s">
        <v>104</v>
      </c>
      <c r="N288" s="13">
        <v>120000</v>
      </c>
      <c r="O288" s="14" t="s">
        <v>561</v>
      </c>
      <c r="P288" s="15" t="s">
        <v>106</v>
      </c>
      <c r="Q288" s="3" t="s">
        <v>153</v>
      </c>
      <c r="R288" s="1" t="s">
        <v>0</v>
      </c>
      <c r="S288" s="52" t="s">
        <v>78</v>
      </c>
      <c r="T288" s="121"/>
    </row>
    <row r="289" spans="1:20" ht="12" customHeight="1" x14ac:dyDescent="0.2">
      <c r="A289" s="55">
        <v>46015</v>
      </c>
      <c r="B289" s="57" t="s">
        <v>558</v>
      </c>
      <c r="C289" s="15">
        <v>18502052</v>
      </c>
      <c r="D289" s="52" t="s">
        <v>1177</v>
      </c>
      <c r="E289" s="52" t="s">
        <v>65</v>
      </c>
      <c r="F289" s="52" t="s">
        <v>98</v>
      </c>
      <c r="G289" s="52" t="s">
        <v>103</v>
      </c>
      <c r="H289" s="3" t="s">
        <v>426</v>
      </c>
      <c r="I289" s="61">
        <v>661001</v>
      </c>
      <c r="J289" s="15" t="s">
        <v>557</v>
      </c>
      <c r="K289" s="12" t="s">
        <v>556</v>
      </c>
      <c r="L289" s="61" t="s">
        <v>1274</v>
      </c>
      <c r="M289" s="58" t="s">
        <v>560</v>
      </c>
      <c r="N289" s="13">
        <v>100000</v>
      </c>
      <c r="O289" s="14" t="s">
        <v>559</v>
      </c>
      <c r="P289" s="15" t="s">
        <v>3</v>
      </c>
      <c r="Q289" s="3" t="s">
        <v>153</v>
      </c>
      <c r="R289" s="1" t="s">
        <v>0</v>
      </c>
      <c r="S289" s="52" t="s">
        <v>78</v>
      </c>
      <c r="T289" s="121"/>
    </row>
    <row r="290" spans="1:20" ht="12" customHeight="1" x14ac:dyDescent="0.2">
      <c r="A290" s="55">
        <v>46118</v>
      </c>
      <c r="B290" s="57" t="s">
        <v>558</v>
      </c>
      <c r="C290" s="15">
        <v>18502052</v>
      </c>
      <c r="D290" s="52" t="s">
        <v>1177</v>
      </c>
      <c r="E290" s="52" t="s">
        <v>65</v>
      </c>
      <c r="F290" s="52" t="s">
        <v>98</v>
      </c>
      <c r="G290" s="52" t="s">
        <v>103</v>
      </c>
      <c r="H290" s="3" t="s">
        <v>426</v>
      </c>
      <c r="I290" s="61">
        <v>661001</v>
      </c>
      <c r="J290" s="15" t="s">
        <v>557</v>
      </c>
      <c r="K290" s="12" t="s">
        <v>556</v>
      </c>
      <c r="L290" s="61" t="s">
        <v>1274</v>
      </c>
      <c r="M290" s="58" t="s">
        <v>107</v>
      </c>
      <c r="N290" s="13">
        <v>100000</v>
      </c>
      <c r="O290" s="12">
        <v>948128</v>
      </c>
      <c r="P290" s="15" t="s">
        <v>53</v>
      </c>
      <c r="Q290" s="3" t="s">
        <v>153</v>
      </c>
      <c r="R290" s="1" t="s">
        <v>0</v>
      </c>
      <c r="S290" s="52" t="s">
        <v>78</v>
      </c>
      <c r="T290" s="121"/>
    </row>
    <row r="291" spans="1:20" ht="12" customHeight="1" x14ac:dyDescent="0.2">
      <c r="A291" s="172">
        <v>46172</v>
      </c>
      <c r="B291" s="173" t="s">
        <v>558</v>
      </c>
      <c r="C291" s="15">
        <v>18502052</v>
      </c>
      <c r="D291" s="52" t="s">
        <v>1325</v>
      </c>
      <c r="E291" s="52" t="s">
        <v>65</v>
      </c>
      <c r="F291" s="52" t="s">
        <v>98</v>
      </c>
      <c r="G291" s="52" t="s">
        <v>103</v>
      </c>
      <c r="H291" s="3" t="s">
        <v>1326</v>
      </c>
      <c r="I291" s="61">
        <v>661001</v>
      </c>
      <c r="J291" s="15" t="s">
        <v>557</v>
      </c>
      <c r="K291" s="12" t="s">
        <v>556</v>
      </c>
      <c r="L291" s="61" t="s">
        <v>1274</v>
      </c>
      <c r="M291" s="145" t="s">
        <v>1336</v>
      </c>
      <c r="N291" s="146">
        <v>60000</v>
      </c>
      <c r="O291" s="147" t="s">
        <v>1339</v>
      </c>
      <c r="P291" s="106" t="s">
        <v>1351</v>
      </c>
      <c r="Q291" s="3" t="s">
        <v>153</v>
      </c>
      <c r="R291" s="1" t="s">
        <v>0</v>
      </c>
      <c r="S291" s="52" t="s">
        <v>78</v>
      </c>
      <c r="T291" s="59"/>
    </row>
    <row r="292" spans="1:20" ht="12" customHeight="1" x14ac:dyDescent="0.2">
      <c r="A292" s="55">
        <v>45854</v>
      </c>
      <c r="B292" s="57" t="s">
        <v>555</v>
      </c>
      <c r="C292" s="15">
        <v>16216869</v>
      </c>
      <c r="D292" s="52" t="s">
        <v>554</v>
      </c>
      <c r="E292" s="52" t="s">
        <v>65</v>
      </c>
      <c r="F292" s="52" t="s">
        <v>66</v>
      </c>
      <c r="G292" s="52" t="s">
        <v>67</v>
      </c>
      <c r="H292" s="3" t="s">
        <v>511</v>
      </c>
      <c r="I292" s="61">
        <v>762021</v>
      </c>
      <c r="J292" s="15" t="s">
        <v>553</v>
      </c>
      <c r="K292" s="12" t="s">
        <v>552</v>
      </c>
      <c r="L292" s="61" t="s">
        <v>1215</v>
      </c>
      <c r="M292" s="58" t="s">
        <v>551</v>
      </c>
      <c r="N292" s="13">
        <v>20000000</v>
      </c>
      <c r="O292" s="12">
        <v>901765090</v>
      </c>
      <c r="P292" s="15" t="s">
        <v>1</v>
      </c>
      <c r="Q292" s="3" t="s">
        <v>153</v>
      </c>
      <c r="R292" s="1" t="s">
        <v>0</v>
      </c>
      <c r="S292" s="52" t="s">
        <v>78</v>
      </c>
      <c r="T292" s="121"/>
    </row>
    <row r="293" spans="1:20" ht="12" customHeight="1" x14ac:dyDescent="0.2">
      <c r="A293" s="55">
        <v>45846.700196759259</v>
      </c>
      <c r="B293" s="57" t="s">
        <v>542</v>
      </c>
      <c r="C293" s="15">
        <v>11301248</v>
      </c>
      <c r="D293" s="52" t="s">
        <v>541</v>
      </c>
      <c r="E293" s="52" t="s">
        <v>65</v>
      </c>
      <c r="F293" s="52" t="s">
        <v>294</v>
      </c>
      <c r="G293" s="52" t="s">
        <v>293</v>
      </c>
      <c r="H293" s="3" t="s">
        <v>540</v>
      </c>
      <c r="I293" s="61" t="s">
        <v>1141</v>
      </c>
      <c r="J293" s="15" t="s">
        <v>539</v>
      </c>
      <c r="K293" s="12" t="s">
        <v>538</v>
      </c>
      <c r="L293" s="61" t="s">
        <v>1275</v>
      </c>
      <c r="M293" s="58" t="s">
        <v>130</v>
      </c>
      <c r="N293" s="13">
        <v>600000</v>
      </c>
      <c r="O293" s="14" t="s">
        <v>550</v>
      </c>
      <c r="P293" s="15" t="s">
        <v>348</v>
      </c>
      <c r="Q293" s="3" t="s">
        <v>153</v>
      </c>
      <c r="R293" s="1" t="s">
        <v>0</v>
      </c>
      <c r="S293" s="52" t="s">
        <v>78</v>
      </c>
      <c r="T293" s="52"/>
    </row>
    <row r="294" spans="1:20" ht="12" customHeight="1" x14ac:dyDescent="0.2">
      <c r="A294" s="55">
        <v>45937</v>
      </c>
      <c r="B294" s="57" t="s">
        <v>542</v>
      </c>
      <c r="C294" s="15">
        <v>11301248</v>
      </c>
      <c r="D294" s="52" t="s">
        <v>541</v>
      </c>
      <c r="E294" s="52" t="s">
        <v>65</v>
      </c>
      <c r="F294" s="52" t="s">
        <v>294</v>
      </c>
      <c r="G294" s="52" t="s">
        <v>293</v>
      </c>
      <c r="H294" s="3" t="s">
        <v>540</v>
      </c>
      <c r="I294" s="61" t="s">
        <v>1141</v>
      </c>
      <c r="J294" s="15" t="s">
        <v>539</v>
      </c>
      <c r="K294" s="12" t="s">
        <v>538</v>
      </c>
      <c r="L294" s="61" t="s">
        <v>1275</v>
      </c>
      <c r="M294" s="58" t="s">
        <v>115</v>
      </c>
      <c r="N294" s="13">
        <v>300000</v>
      </c>
      <c r="O294" s="14" t="s">
        <v>549</v>
      </c>
      <c r="P294" s="15" t="s">
        <v>106</v>
      </c>
      <c r="Q294" s="3" t="s">
        <v>153</v>
      </c>
      <c r="R294" s="1" t="s">
        <v>0</v>
      </c>
      <c r="S294" s="52" t="s">
        <v>78</v>
      </c>
      <c r="T294" s="121"/>
    </row>
    <row r="295" spans="1:20" ht="12" customHeight="1" x14ac:dyDescent="0.2">
      <c r="A295" s="55">
        <v>46052</v>
      </c>
      <c r="B295" s="57" t="s">
        <v>542</v>
      </c>
      <c r="C295" s="15">
        <v>11301248</v>
      </c>
      <c r="D295" s="52" t="s">
        <v>541</v>
      </c>
      <c r="E295" s="52" t="s">
        <v>65</v>
      </c>
      <c r="F295" s="52" t="s">
        <v>294</v>
      </c>
      <c r="G295" s="52" t="s">
        <v>293</v>
      </c>
      <c r="H295" s="3" t="s">
        <v>540</v>
      </c>
      <c r="I295" s="61" t="s">
        <v>1141</v>
      </c>
      <c r="J295" s="15" t="s">
        <v>539</v>
      </c>
      <c r="K295" s="12" t="s">
        <v>538</v>
      </c>
      <c r="L295" s="61" t="s">
        <v>1275</v>
      </c>
      <c r="M295" s="58" t="s">
        <v>116</v>
      </c>
      <c r="N295" s="13">
        <v>300000</v>
      </c>
      <c r="O295" s="14" t="s">
        <v>548</v>
      </c>
      <c r="P295" s="15" t="s">
        <v>3</v>
      </c>
      <c r="Q295" s="3" t="s">
        <v>153</v>
      </c>
      <c r="R295" s="1" t="s">
        <v>0</v>
      </c>
      <c r="S295" s="52" t="s">
        <v>78</v>
      </c>
      <c r="T295" s="121"/>
    </row>
    <row r="296" spans="1:20" ht="12" customHeight="1" x14ac:dyDescent="0.2">
      <c r="A296" s="55">
        <v>46053</v>
      </c>
      <c r="B296" s="57" t="s">
        <v>542</v>
      </c>
      <c r="C296" s="15">
        <v>11301248</v>
      </c>
      <c r="D296" s="52" t="s">
        <v>541</v>
      </c>
      <c r="E296" s="52" t="s">
        <v>65</v>
      </c>
      <c r="F296" s="52" t="s">
        <v>294</v>
      </c>
      <c r="G296" s="52" t="s">
        <v>293</v>
      </c>
      <c r="H296" s="3" t="s">
        <v>540</v>
      </c>
      <c r="I296" s="61" t="s">
        <v>1141</v>
      </c>
      <c r="J296" s="15" t="s">
        <v>539</v>
      </c>
      <c r="K296" s="12" t="s">
        <v>538</v>
      </c>
      <c r="L296" s="61" t="s">
        <v>1275</v>
      </c>
      <c r="M296" s="58" t="s">
        <v>116</v>
      </c>
      <c r="N296" s="13">
        <v>300000</v>
      </c>
      <c r="O296" s="14" t="s">
        <v>547</v>
      </c>
      <c r="P296" s="15" t="s">
        <v>3</v>
      </c>
      <c r="Q296" s="3" t="s">
        <v>153</v>
      </c>
      <c r="R296" s="1" t="s">
        <v>0</v>
      </c>
      <c r="S296" s="52" t="s">
        <v>78</v>
      </c>
      <c r="T296" s="121"/>
    </row>
    <row r="297" spans="1:20" ht="12" customHeight="1" x14ac:dyDescent="0.2">
      <c r="A297" s="55">
        <v>46112</v>
      </c>
      <c r="B297" s="57" t="s">
        <v>542</v>
      </c>
      <c r="C297" s="15">
        <v>11301248</v>
      </c>
      <c r="D297" s="52" t="s">
        <v>541</v>
      </c>
      <c r="E297" s="52" t="s">
        <v>65</v>
      </c>
      <c r="F297" s="52" t="s">
        <v>294</v>
      </c>
      <c r="G297" s="52" t="s">
        <v>293</v>
      </c>
      <c r="H297" s="3" t="s">
        <v>540</v>
      </c>
      <c r="I297" s="61" t="s">
        <v>1141</v>
      </c>
      <c r="J297" s="15" t="s">
        <v>539</v>
      </c>
      <c r="K297" s="12" t="s">
        <v>538</v>
      </c>
      <c r="L297" s="61" t="s">
        <v>1275</v>
      </c>
      <c r="M297" s="58" t="s">
        <v>546</v>
      </c>
      <c r="N297" s="13">
        <v>300000</v>
      </c>
      <c r="O297" s="12" t="s">
        <v>545</v>
      </c>
      <c r="P297" s="15" t="s">
        <v>3</v>
      </c>
      <c r="Q297" s="3" t="s">
        <v>153</v>
      </c>
      <c r="R297" s="1" t="s">
        <v>0</v>
      </c>
      <c r="S297" s="52" t="s">
        <v>78</v>
      </c>
      <c r="T297" s="121"/>
    </row>
    <row r="298" spans="1:20" ht="12" customHeight="1" x14ac:dyDescent="0.2">
      <c r="A298" s="60">
        <v>46149</v>
      </c>
      <c r="B298" s="57" t="s">
        <v>542</v>
      </c>
      <c r="C298" s="15">
        <v>11301248</v>
      </c>
      <c r="D298" s="52" t="s">
        <v>541</v>
      </c>
      <c r="E298" s="52" t="s">
        <v>65</v>
      </c>
      <c r="F298" s="52" t="s">
        <v>294</v>
      </c>
      <c r="G298" s="52" t="s">
        <v>293</v>
      </c>
      <c r="H298" s="3" t="s">
        <v>540</v>
      </c>
      <c r="I298" s="61" t="s">
        <v>1141</v>
      </c>
      <c r="J298" s="15" t="s">
        <v>539</v>
      </c>
      <c r="K298" s="12" t="s">
        <v>538</v>
      </c>
      <c r="L298" s="61" t="s">
        <v>1275</v>
      </c>
      <c r="M298" s="58" t="s">
        <v>544</v>
      </c>
      <c r="N298" s="13">
        <v>600000</v>
      </c>
      <c r="O298" s="61" t="s">
        <v>543</v>
      </c>
      <c r="P298" s="15" t="s">
        <v>106</v>
      </c>
      <c r="Q298" s="3" t="s">
        <v>153</v>
      </c>
      <c r="R298" s="1" t="s">
        <v>0</v>
      </c>
      <c r="S298" s="52" t="s">
        <v>78</v>
      </c>
      <c r="T298" s="52"/>
    </row>
    <row r="299" spans="1:20" ht="12" customHeight="1" x14ac:dyDescent="0.2">
      <c r="A299" s="60">
        <v>46149.719710648147</v>
      </c>
      <c r="B299" s="57" t="s">
        <v>542</v>
      </c>
      <c r="C299" s="15">
        <v>11301248</v>
      </c>
      <c r="D299" s="52" t="s">
        <v>541</v>
      </c>
      <c r="E299" s="52" t="s">
        <v>65</v>
      </c>
      <c r="F299" s="52" t="s">
        <v>294</v>
      </c>
      <c r="G299" s="52" t="s">
        <v>293</v>
      </c>
      <c r="H299" s="3" t="s">
        <v>540</v>
      </c>
      <c r="I299" s="61" t="s">
        <v>1141</v>
      </c>
      <c r="J299" s="15" t="s">
        <v>539</v>
      </c>
      <c r="K299" s="12" t="s">
        <v>538</v>
      </c>
      <c r="L299" s="61" t="s">
        <v>1275</v>
      </c>
      <c r="M299" s="58" t="s">
        <v>8</v>
      </c>
      <c r="N299" s="13">
        <v>0</v>
      </c>
      <c r="O299" s="14" t="s">
        <v>81</v>
      </c>
      <c r="P299" s="15" t="s">
        <v>68</v>
      </c>
      <c r="Q299" s="3" t="s">
        <v>153</v>
      </c>
      <c r="R299" s="1" t="s">
        <v>0</v>
      </c>
      <c r="S299" s="52" t="s">
        <v>78</v>
      </c>
      <c r="T299" s="121"/>
    </row>
    <row r="300" spans="1:20" ht="12" customHeight="1" x14ac:dyDescent="0.2">
      <c r="A300" s="60">
        <v>46149.722314814811</v>
      </c>
      <c r="B300" s="57" t="s">
        <v>542</v>
      </c>
      <c r="C300" s="15">
        <v>11301248</v>
      </c>
      <c r="D300" s="52" t="s">
        <v>541</v>
      </c>
      <c r="E300" s="52" t="s">
        <v>65</v>
      </c>
      <c r="F300" s="52" t="s">
        <v>294</v>
      </c>
      <c r="G300" s="52" t="s">
        <v>293</v>
      </c>
      <c r="H300" s="3" t="s">
        <v>540</v>
      </c>
      <c r="I300" s="61" t="s">
        <v>1141</v>
      </c>
      <c r="J300" s="15" t="s">
        <v>539</v>
      </c>
      <c r="K300" s="12" t="s">
        <v>538</v>
      </c>
      <c r="L300" s="61" t="s">
        <v>1275</v>
      </c>
      <c r="M300" s="58" t="s">
        <v>79</v>
      </c>
      <c r="N300" s="13">
        <v>0</v>
      </c>
      <c r="O300" s="14" t="s">
        <v>81</v>
      </c>
      <c r="P300" s="15" t="s">
        <v>68</v>
      </c>
      <c r="Q300" s="3" t="s">
        <v>153</v>
      </c>
      <c r="R300" s="1" t="s">
        <v>0</v>
      </c>
      <c r="S300" s="52" t="s">
        <v>78</v>
      </c>
      <c r="T300" s="121"/>
    </row>
    <row r="301" spans="1:20" ht="12" customHeight="1" x14ac:dyDescent="0.2">
      <c r="A301" s="60">
        <v>46149.724699074075</v>
      </c>
      <c r="B301" s="57" t="s">
        <v>542</v>
      </c>
      <c r="C301" s="15">
        <v>11301248</v>
      </c>
      <c r="D301" s="52" t="s">
        <v>541</v>
      </c>
      <c r="E301" s="52" t="s">
        <v>65</v>
      </c>
      <c r="F301" s="52" t="s">
        <v>294</v>
      </c>
      <c r="G301" s="52" t="s">
        <v>293</v>
      </c>
      <c r="H301" s="3" t="s">
        <v>540</v>
      </c>
      <c r="I301" s="61" t="s">
        <v>1141</v>
      </c>
      <c r="J301" s="15" t="s">
        <v>539</v>
      </c>
      <c r="K301" s="12" t="s">
        <v>538</v>
      </c>
      <c r="L301" s="61" t="s">
        <v>1275</v>
      </c>
      <c r="M301" s="58" t="s">
        <v>2</v>
      </c>
      <c r="N301" s="13">
        <v>0</v>
      </c>
      <c r="O301" s="14" t="s">
        <v>81</v>
      </c>
      <c r="P301" s="15" t="s">
        <v>68</v>
      </c>
      <c r="Q301" s="3" t="s">
        <v>153</v>
      </c>
      <c r="R301" s="1" t="s">
        <v>0</v>
      </c>
      <c r="S301" s="52" t="s">
        <v>78</v>
      </c>
      <c r="T301" s="121"/>
    </row>
    <row r="302" spans="1:20" ht="12" customHeight="1" x14ac:dyDescent="0.2">
      <c r="A302" s="60">
        <v>46149.726909722223</v>
      </c>
      <c r="B302" s="57" t="s">
        <v>542</v>
      </c>
      <c r="C302" s="15">
        <v>11301248</v>
      </c>
      <c r="D302" s="52" t="s">
        <v>541</v>
      </c>
      <c r="E302" s="52" t="s">
        <v>65</v>
      </c>
      <c r="F302" s="52" t="s">
        <v>294</v>
      </c>
      <c r="G302" s="52" t="s">
        <v>293</v>
      </c>
      <c r="H302" s="3" t="s">
        <v>540</v>
      </c>
      <c r="I302" s="61" t="s">
        <v>1141</v>
      </c>
      <c r="J302" s="15" t="s">
        <v>539</v>
      </c>
      <c r="K302" s="12" t="s">
        <v>538</v>
      </c>
      <c r="L302" s="61" t="s">
        <v>1275</v>
      </c>
      <c r="M302" s="58" t="s">
        <v>79</v>
      </c>
      <c r="N302" s="13">
        <v>0</v>
      </c>
      <c r="O302" s="14" t="s">
        <v>81</v>
      </c>
      <c r="P302" s="15" t="s">
        <v>68</v>
      </c>
      <c r="Q302" s="3" t="s">
        <v>153</v>
      </c>
      <c r="R302" s="1" t="s">
        <v>0</v>
      </c>
      <c r="S302" s="52" t="s">
        <v>78</v>
      </c>
      <c r="T302" s="121"/>
    </row>
    <row r="303" spans="1:20" ht="12" customHeight="1" x14ac:dyDescent="0.2">
      <c r="A303" s="60">
        <v>46149.72861111111</v>
      </c>
      <c r="B303" s="57" t="s">
        <v>542</v>
      </c>
      <c r="C303" s="15">
        <v>11301248</v>
      </c>
      <c r="D303" s="52" t="s">
        <v>541</v>
      </c>
      <c r="E303" s="52" t="s">
        <v>65</v>
      </c>
      <c r="F303" s="52" t="s">
        <v>294</v>
      </c>
      <c r="G303" s="52" t="s">
        <v>293</v>
      </c>
      <c r="H303" s="3" t="s">
        <v>540</v>
      </c>
      <c r="I303" s="61" t="s">
        <v>1141</v>
      </c>
      <c r="J303" s="15" t="s">
        <v>539</v>
      </c>
      <c r="K303" s="12" t="s">
        <v>538</v>
      </c>
      <c r="L303" s="61" t="s">
        <v>1275</v>
      </c>
      <c r="M303" s="58" t="s">
        <v>2</v>
      </c>
      <c r="N303" s="13">
        <v>0</v>
      </c>
      <c r="O303" s="14" t="s">
        <v>81</v>
      </c>
      <c r="P303" s="15" t="s">
        <v>68</v>
      </c>
      <c r="Q303" s="3" t="s">
        <v>153</v>
      </c>
      <c r="R303" s="1" t="s">
        <v>0</v>
      </c>
      <c r="S303" s="52" t="s">
        <v>78</v>
      </c>
      <c r="T303" s="121"/>
    </row>
    <row r="304" spans="1:20" ht="12" customHeight="1" x14ac:dyDescent="0.2">
      <c r="A304" s="60">
        <v>46149.731747685182</v>
      </c>
      <c r="B304" s="57" t="s">
        <v>542</v>
      </c>
      <c r="C304" s="15">
        <v>11301248</v>
      </c>
      <c r="D304" s="52" t="s">
        <v>541</v>
      </c>
      <c r="E304" s="52" t="s">
        <v>65</v>
      </c>
      <c r="F304" s="52" t="s">
        <v>294</v>
      </c>
      <c r="G304" s="52" t="s">
        <v>293</v>
      </c>
      <c r="H304" s="3" t="s">
        <v>540</v>
      </c>
      <c r="I304" s="61" t="s">
        <v>1141</v>
      </c>
      <c r="J304" s="15" t="s">
        <v>539</v>
      </c>
      <c r="K304" s="12" t="s">
        <v>538</v>
      </c>
      <c r="L304" s="61" t="s">
        <v>1275</v>
      </c>
      <c r="M304" s="58" t="s">
        <v>79</v>
      </c>
      <c r="N304" s="13">
        <v>0</v>
      </c>
      <c r="O304" s="14" t="s">
        <v>81</v>
      </c>
      <c r="P304" s="15" t="s">
        <v>68</v>
      </c>
      <c r="Q304" s="3" t="s">
        <v>153</v>
      </c>
      <c r="R304" s="1" t="s">
        <v>0</v>
      </c>
      <c r="S304" s="52" t="s">
        <v>78</v>
      </c>
      <c r="T304" s="121"/>
    </row>
    <row r="305" spans="1:20" ht="12" customHeight="1" x14ac:dyDescent="0.2">
      <c r="A305" s="55">
        <v>45830.962899872684</v>
      </c>
      <c r="B305" s="57" t="s">
        <v>537</v>
      </c>
      <c r="C305" s="15">
        <v>98430509</v>
      </c>
      <c r="D305" s="52" t="s">
        <v>68</v>
      </c>
      <c r="E305" s="52" t="s">
        <v>65</v>
      </c>
      <c r="F305" s="52" t="s">
        <v>536</v>
      </c>
      <c r="G305" s="52" t="s">
        <v>535</v>
      </c>
      <c r="H305" s="3" t="s">
        <v>1178</v>
      </c>
      <c r="I305" s="61">
        <v>528501</v>
      </c>
      <c r="J305" s="15" t="s">
        <v>534</v>
      </c>
      <c r="K305" s="12" t="s">
        <v>533</v>
      </c>
      <c r="L305" s="61" t="s">
        <v>1276</v>
      </c>
      <c r="M305" s="58" t="s">
        <v>104</v>
      </c>
      <c r="N305" s="13">
        <v>120000</v>
      </c>
      <c r="O305" s="14" t="s">
        <v>532</v>
      </c>
      <c r="P305" s="15" t="s">
        <v>3</v>
      </c>
      <c r="Q305" s="3" t="s">
        <v>153</v>
      </c>
      <c r="R305" s="1" t="s">
        <v>0</v>
      </c>
      <c r="S305" s="52" t="s">
        <v>68</v>
      </c>
      <c r="T305" s="121"/>
    </row>
    <row r="306" spans="1:20" ht="12" customHeight="1" x14ac:dyDescent="0.2">
      <c r="A306" s="55">
        <v>45890</v>
      </c>
      <c r="B306" s="57" t="s">
        <v>531</v>
      </c>
      <c r="C306" s="15">
        <v>11319563</v>
      </c>
      <c r="D306" s="52" t="s">
        <v>68</v>
      </c>
      <c r="E306" s="52" t="s">
        <v>65</v>
      </c>
      <c r="F306" s="52" t="s">
        <v>119</v>
      </c>
      <c r="G306" s="52" t="s">
        <v>530</v>
      </c>
      <c r="H306" s="3" t="s">
        <v>529</v>
      </c>
      <c r="I306" s="61">
        <v>730001</v>
      </c>
      <c r="J306" s="15" t="s">
        <v>528</v>
      </c>
      <c r="K306" s="12" t="s">
        <v>527</v>
      </c>
      <c r="L306" s="61" t="s">
        <v>1277</v>
      </c>
      <c r="M306" s="58" t="s">
        <v>108</v>
      </c>
      <c r="N306" s="13">
        <v>200000</v>
      </c>
      <c r="O306" s="14" t="s">
        <v>526</v>
      </c>
      <c r="P306" s="15" t="s">
        <v>3</v>
      </c>
      <c r="Q306" s="3" t="s">
        <v>153</v>
      </c>
      <c r="R306" s="1" t="s">
        <v>0</v>
      </c>
      <c r="S306" s="52" t="s">
        <v>68</v>
      </c>
      <c r="T306" s="121"/>
    </row>
    <row r="307" spans="1:20" ht="12" customHeight="1" x14ac:dyDescent="0.2">
      <c r="A307" s="55">
        <v>45708</v>
      </c>
      <c r="B307" s="57" t="s">
        <v>522</v>
      </c>
      <c r="C307" s="15">
        <v>12130726</v>
      </c>
      <c r="D307" s="52" t="s">
        <v>521</v>
      </c>
      <c r="E307" s="52" t="s">
        <v>65</v>
      </c>
      <c r="F307" s="52" t="s">
        <v>338</v>
      </c>
      <c r="G307" s="52" t="s">
        <v>206</v>
      </c>
      <c r="H307" s="3" t="s">
        <v>520</v>
      </c>
      <c r="I307" s="61">
        <v>190002</v>
      </c>
      <c r="J307" s="15" t="s">
        <v>519</v>
      </c>
      <c r="K307" s="12" t="s">
        <v>518</v>
      </c>
      <c r="L307" s="61" t="s">
        <v>1278</v>
      </c>
      <c r="M307" s="58" t="s">
        <v>8</v>
      </c>
      <c r="N307" s="13">
        <v>100000</v>
      </c>
      <c r="O307" s="14" t="s">
        <v>525</v>
      </c>
      <c r="P307" s="15" t="s">
        <v>3</v>
      </c>
      <c r="Q307" s="3" t="s">
        <v>153</v>
      </c>
      <c r="R307" s="1" t="s">
        <v>0</v>
      </c>
      <c r="S307" s="52" t="s">
        <v>78</v>
      </c>
      <c r="T307" s="121"/>
    </row>
    <row r="308" spans="1:20" ht="12" customHeight="1" x14ac:dyDescent="0.2">
      <c r="A308" s="55">
        <v>45781</v>
      </c>
      <c r="B308" s="57" t="s">
        <v>522</v>
      </c>
      <c r="C308" s="15">
        <v>12130726</v>
      </c>
      <c r="D308" s="52" t="s">
        <v>521</v>
      </c>
      <c r="E308" s="52" t="s">
        <v>65</v>
      </c>
      <c r="F308" s="52" t="s">
        <v>338</v>
      </c>
      <c r="G308" s="52" t="s">
        <v>206</v>
      </c>
      <c r="H308" s="3" t="s">
        <v>520</v>
      </c>
      <c r="I308" s="61">
        <v>190002</v>
      </c>
      <c r="J308" s="15" t="s">
        <v>519</v>
      </c>
      <c r="K308" s="12" t="s">
        <v>518</v>
      </c>
      <c r="L308" s="61" t="s">
        <v>1278</v>
      </c>
      <c r="M308" s="129" t="s">
        <v>8</v>
      </c>
      <c r="N308" s="104">
        <v>120000</v>
      </c>
      <c r="O308" s="15" t="s">
        <v>524</v>
      </c>
      <c r="P308" s="3" t="s">
        <v>3</v>
      </c>
      <c r="Q308" s="3" t="s">
        <v>153</v>
      </c>
      <c r="R308" s="1" t="s">
        <v>0</v>
      </c>
      <c r="S308" s="52" t="s">
        <v>78</v>
      </c>
      <c r="T308" s="121"/>
    </row>
    <row r="309" spans="1:20" ht="12" customHeight="1" x14ac:dyDescent="0.2">
      <c r="A309" s="55">
        <v>45825.815838738425</v>
      </c>
      <c r="B309" s="57" t="s">
        <v>522</v>
      </c>
      <c r="C309" s="15">
        <v>12130726</v>
      </c>
      <c r="D309" s="52" t="s">
        <v>521</v>
      </c>
      <c r="E309" s="52" t="s">
        <v>65</v>
      </c>
      <c r="F309" s="52" t="s">
        <v>338</v>
      </c>
      <c r="G309" s="52" t="s">
        <v>206</v>
      </c>
      <c r="H309" s="3" t="s">
        <v>520</v>
      </c>
      <c r="I309" s="61">
        <v>190002</v>
      </c>
      <c r="J309" s="15" t="s">
        <v>519</v>
      </c>
      <c r="K309" s="12" t="s">
        <v>518</v>
      </c>
      <c r="L309" s="61" t="s">
        <v>1278</v>
      </c>
      <c r="M309" s="58" t="s">
        <v>104</v>
      </c>
      <c r="N309" s="13">
        <v>120000</v>
      </c>
      <c r="O309" s="14" t="s">
        <v>523</v>
      </c>
      <c r="P309" s="15" t="s">
        <v>3</v>
      </c>
      <c r="Q309" s="3" t="s">
        <v>153</v>
      </c>
      <c r="R309" s="1" t="s">
        <v>0</v>
      </c>
      <c r="S309" s="52" t="s">
        <v>78</v>
      </c>
      <c r="T309" s="121"/>
    </row>
    <row r="310" spans="1:20" ht="12" customHeight="1" x14ac:dyDescent="0.2">
      <c r="A310" s="55">
        <v>45924</v>
      </c>
      <c r="B310" s="57" t="s">
        <v>522</v>
      </c>
      <c r="C310" s="15">
        <v>12130726</v>
      </c>
      <c r="D310" s="52" t="s">
        <v>521</v>
      </c>
      <c r="E310" s="52" t="s">
        <v>65</v>
      </c>
      <c r="F310" s="52" t="s">
        <v>338</v>
      </c>
      <c r="G310" s="52" t="s">
        <v>206</v>
      </c>
      <c r="H310" s="3" t="s">
        <v>520</v>
      </c>
      <c r="I310" s="61">
        <v>190002</v>
      </c>
      <c r="J310" s="15" t="s">
        <v>519</v>
      </c>
      <c r="K310" s="12" t="s">
        <v>518</v>
      </c>
      <c r="L310" s="61" t="s">
        <v>1278</v>
      </c>
      <c r="M310" s="58" t="s">
        <v>180</v>
      </c>
      <c r="N310" s="13">
        <v>20000</v>
      </c>
      <c r="O310" s="14" t="s">
        <v>517</v>
      </c>
      <c r="P310" s="15" t="s">
        <v>3</v>
      </c>
      <c r="Q310" s="3" t="s">
        <v>153</v>
      </c>
      <c r="R310" s="1" t="s">
        <v>0</v>
      </c>
      <c r="S310" s="52" t="s">
        <v>78</v>
      </c>
      <c r="T310" s="121"/>
    </row>
    <row r="311" spans="1:20" ht="12" customHeight="1" x14ac:dyDescent="0.2">
      <c r="A311" s="55">
        <v>45857.468993055554</v>
      </c>
      <c r="B311" s="57" t="s">
        <v>513</v>
      </c>
      <c r="C311" s="15">
        <v>16225101</v>
      </c>
      <c r="D311" s="52" t="s">
        <v>512</v>
      </c>
      <c r="E311" s="52" t="s">
        <v>65</v>
      </c>
      <c r="F311" s="52" t="s">
        <v>66</v>
      </c>
      <c r="G311" s="52" t="s">
        <v>67</v>
      </c>
      <c r="H311" s="3" t="s">
        <v>1179</v>
      </c>
      <c r="I311" s="61">
        <v>762021</v>
      </c>
      <c r="J311" s="15" t="s">
        <v>510</v>
      </c>
      <c r="K311" s="12" t="s">
        <v>509</v>
      </c>
      <c r="L311" s="61" t="s">
        <v>1279</v>
      </c>
      <c r="M311" s="127" t="s">
        <v>516</v>
      </c>
      <c r="N311" s="100">
        <v>50000</v>
      </c>
      <c r="O311" s="101" t="s">
        <v>515</v>
      </c>
      <c r="P311" s="15" t="s">
        <v>3</v>
      </c>
      <c r="Q311" s="3" t="s">
        <v>153</v>
      </c>
      <c r="R311" s="1" t="s">
        <v>0</v>
      </c>
      <c r="S311" s="52" t="s">
        <v>78</v>
      </c>
      <c r="T311" s="121"/>
    </row>
    <row r="312" spans="1:20" ht="12" customHeight="1" x14ac:dyDescent="0.2">
      <c r="A312" s="55">
        <v>45857.468993055554</v>
      </c>
      <c r="B312" s="57" t="s">
        <v>513</v>
      </c>
      <c r="C312" s="15">
        <v>16225101</v>
      </c>
      <c r="D312" s="52" t="s">
        <v>512</v>
      </c>
      <c r="E312" s="52" t="s">
        <v>65</v>
      </c>
      <c r="F312" s="52" t="s">
        <v>66</v>
      </c>
      <c r="G312" s="52" t="s">
        <v>67</v>
      </c>
      <c r="H312" s="3" t="s">
        <v>1179</v>
      </c>
      <c r="I312" s="61">
        <v>762021</v>
      </c>
      <c r="J312" s="15" t="s">
        <v>510</v>
      </c>
      <c r="K312" s="12" t="s">
        <v>509</v>
      </c>
      <c r="L312" s="61" t="s">
        <v>1279</v>
      </c>
      <c r="M312" s="127" t="s">
        <v>108</v>
      </c>
      <c r="N312" s="100">
        <v>150000</v>
      </c>
      <c r="O312" s="101" t="s">
        <v>514</v>
      </c>
      <c r="P312" s="15" t="s">
        <v>3</v>
      </c>
      <c r="Q312" s="3" t="s">
        <v>153</v>
      </c>
      <c r="R312" s="1" t="s">
        <v>0</v>
      </c>
      <c r="S312" s="52" t="s">
        <v>78</v>
      </c>
      <c r="T312" s="121"/>
    </row>
    <row r="313" spans="1:20" ht="12" customHeight="1" x14ac:dyDescent="0.2">
      <c r="A313" s="55">
        <v>46056</v>
      </c>
      <c r="B313" s="57" t="s">
        <v>513</v>
      </c>
      <c r="C313" s="15">
        <v>16225101</v>
      </c>
      <c r="D313" s="52" t="s">
        <v>512</v>
      </c>
      <c r="E313" s="52" t="s">
        <v>65</v>
      </c>
      <c r="F313" s="52" t="s">
        <v>66</v>
      </c>
      <c r="G313" s="52" t="s">
        <v>67</v>
      </c>
      <c r="H313" s="3" t="s">
        <v>1179</v>
      </c>
      <c r="I313" s="61">
        <v>762021</v>
      </c>
      <c r="J313" s="15" t="s">
        <v>510</v>
      </c>
      <c r="K313" s="12" t="s">
        <v>509</v>
      </c>
      <c r="L313" s="61" t="s">
        <v>1279</v>
      </c>
      <c r="M313" s="58" t="s">
        <v>5</v>
      </c>
      <c r="N313" s="13">
        <v>900000</v>
      </c>
      <c r="O313" s="14">
        <v>1332577551</v>
      </c>
      <c r="P313" s="107" t="s">
        <v>242</v>
      </c>
      <c r="Q313" s="3" t="s">
        <v>153</v>
      </c>
      <c r="R313" s="1" t="s">
        <v>0</v>
      </c>
      <c r="S313" s="52" t="s">
        <v>78</v>
      </c>
      <c r="T313" s="52"/>
    </row>
    <row r="314" spans="1:20" ht="12" customHeight="1" x14ac:dyDescent="0.2">
      <c r="A314" s="55">
        <v>45854.800694444442</v>
      </c>
      <c r="B314" s="57" t="s">
        <v>508</v>
      </c>
      <c r="C314" s="15" t="s">
        <v>1180</v>
      </c>
      <c r="D314" s="52" t="s">
        <v>507</v>
      </c>
      <c r="E314" s="52" t="s">
        <v>118</v>
      </c>
      <c r="F314" s="52" t="s">
        <v>506</v>
      </c>
      <c r="G314" s="52" t="s">
        <v>248</v>
      </c>
      <c r="H314" s="3" t="s">
        <v>505</v>
      </c>
      <c r="I314" s="61" t="s">
        <v>1147</v>
      </c>
      <c r="J314" s="15" t="s">
        <v>504</v>
      </c>
      <c r="K314" s="12" t="s">
        <v>503</v>
      </c>
      <c r="L314" s="61" t="s">
        <v>1280</v>
      </c>
      <c r="M314" s="58" t="s">
        <v>108</v>
      </c>
      <c r="N314" s="13">
        <v>200000</v>
      </c>
      <c r="O314" s="14" t="s">
        <v>502</v>
      </c>
      <c r="P314" s="15" t="s">
        <v>50</v>
      </c>
      <c r="Q314" s="3" t="s">
        <v>153</v>
      </c>
      <c r="R314" s="1" t="s">
        <v>0</v>
      </c>
      <c r="S314" s="52" t="s">
        <v>78</v>
      </c>
      <c r="T314" s="121"/>
    </row>
    <row r="315" spans="1:20" ht="12" customHeight="1" x14ac:dyDescent="0.2">
      <c r="A315" s="55">
        <v>45831</v>
      </c>
      <c r="B315" s="57" t="s">
        <v>501</v>
      </c>
      <c r="C315" s="15" t="s">
        <v>500</v>
      </c>
      <c r="D315" s="52" t="s">
        <v>499</v>
      </c>
      <c r="E315" s="52" t="s">
        <v>139</v>
      </c>
      <c r="F315" s="52" t="s">
        <v>248</v>
      </c>
      <c r="G315" s="52" t="s">
        <v>248</v>
      </c>
      <c r="H315" s="3" t="s">
        <v>498</v>
      </c>
      <c r="I315" s="61" t="s">
        <v>497</v>
      </c>
      <c r="J315" s="15" t="s">
        <v>496</v>
      </c>
      <c r="K315" s="12" t="s">
        <v>495</v>
      </c>
      <c r="L315" s="61" t="s">
        <v>1281</v>
      </c>
      <c r="M315" s="58" t="s">
        <v>104</v>
      </c>
      <c r="N315" s="13">
        <v>120000</v>
      </c>
      <c r="O315" s="14" t="s">
        <v>494</v>
      </c>
      <c r="P315" s="15" t="s">
        <v>50</v>
      </c>
      <c r="Q315" s="3" t="s">
        <v>153</v>
      </c>
      <c r="R315" s="1" t="s">
        <v>0</v>
      </c>
      <c r="S315" s="52" t="s">
        <v>78</v>
      </c>
      <c r="T315" s="121"/>
    </row>
    <row r="316" spans="1:20" ht="12" customHeight="1" x14ac:dyDescent="0.2">
      <c r="A316" s="55">
        <v>45819.610936365745</v>
      </c>
      <c r="B316" s="57" t="s">
        <v>1181</v>
      </c>
      <c r="C316" s="15">
        <v>26649101</v>
      </c>
      <c r="D316" s="52" t="s">
        <v>492</v>
      </c>
      <c r="E316" s="52" t="s">
        <v>65</v>
      </c>
      <c r="F316" s="52" t="s">
        <v>119</v>
      </c>
      <c r="G316" s="52" t="s">
        <v>120</v>
      </c>
      <c r="H316" s="3" t="s">
        <v>491</v>
      </c>
      <c r="I316" s="61">
        <v>730003</v>
      </c>
      <c r="J316" s="15" t="s">
        <v>490</v>
      </c>
      <c r="K316" s="12" t="s">
        <v>489</v>
      </c>
      <c r="L316" s="61" t="s">
        <v>1282</v>
      </c>
      <c r="M316" s="58" t="s">
        <v>4</v>
      </c>
      <c r="N316" s="13">
        <v>200000</v>
      </c>
      <c r="O316" s="14" t="s">
        <v>488</v>
      </c>
      <c r="P316" s="15" t="s">
        <v>3</v>
      </c>
      <c r="Q316" s="3" t="s">
        <v>153</v>
      </c>
      <c r="R316" s="1" t="s">
        <v>0</v>
      </c>
      <c r="S316" s="52" t="s">
        <v>78</v>
      </c>
      <c r="T316" s="121"/>
    </row>
    <row r="317" spans="1:20" ht="12" customHeight="1" x14ac:dyDescent="0.2">
      <c r="A317" s="55">
        <v>45938.502118055556</v>
      </c>
      <c r="B317" s="57" t="s">
        <v>477</v>
      </c>
      <c r="C317" s="15">
        <v>42095093</v>
      </c>
      <c r="D317" s="52" t="s">
        <v>476</v>
      </c>
      <c r="E317" s="52" t="s">
        <v>65</v>
      </c>
      <c r="F317" s="52" t="s">
        <v>98</v>
      </c>
      <c r="G317" s="52" t="s">
        <v>97</v>
      </c>
      <c r="H317" s="3" t="s">
        <v>475</v>
      </c>
      <c r="I317" s="61">
        <v>660002</v>
      </c>
      <c r="J317" s="15" t="s">
        <v>474</v>
      </c>
      <c r="K317" s="12" t="s">
        <v>473</v>
      </c>
      <c r="L317" s="61" t="s">
        <v>1283</v>
      </c>
      <c r="M317" s="127" t="s">
        <v>112</v>
      </c>
      <c r="N317" s="100">
        <v>100000</v>
      </c>
      <c r="O317" s="101" t="s">
        <v>487</v>
      </c>
      <c r="P317" s="15" t="s">
        <v>3</v>
      </c>
      <c r="Q317" s="3" t="s">
        <v>153</v>
      </c>
      <c r="R317" s="1" t="s">
        <v>0</v>
      </c>
      <c r="S317" s="52" t="s">
        <v>78</v>
      </c>
      <c r="T317" s="121"/>
    </row>
    <row r="318" spans="1:20" ht="12" customHeight="1" x14ac:dyDescent="0.2">
      <c r="A318" s="55">
        <v>45944</v>
      </c>
      <c r="B318" s="57" t="s">
        <v>477</v>
      </c>
      <c r="C318" s="15">
        <v>42095093</v>
      </c>
      <c r="D318" s="52" t="s">
        <v>476</v>
      </c>
      <c r="E318" s="52" t="s">
        <v>65</v>
      </c>
      <c r="F318" s="52" t="s">
        <v>98</v>
      </c>
      <c r="G318" s="52" t="s">
        <v>97</v>
      </c>
      <c r="H318" s="3" t="s">
        <v>475</v>
      </c>
      <c r="I318" s="61">
        <v>660002</v>
      </c>
      <c r="J318" s="15" t="s">
        <v>474</v>
      </c>
      <c r="K318" s="12" t="s">
        <v>473</v>
      </c>
      <c r="L318" s="61" t="s">
        <v>1283</v>
      </c>
      <c r="M318" s="132" t="s">
        <v>486</v>
      </c>
      <c r="N318" s="102">
        <v>100000</v>
      </c>
      <c r="O318" s="103" t="s">
        <v>485</v>
      </c>
      <c r="P318" s="15" t="s">
        <v>3</v>
      </c>
      <c r="Q318" s="3" t="s">
        <v>153</v>
      </c>
      <c r="R318" s="1" t="s">
        <v>0</v>
      </c>
      <c r="S318" s="52" t="s">
        <v>78</v>
      </c>
      <c r="T318" s="121"/>
    </row>
    <row r="319" spans="1:20" ht="12" customHeight="1" x14ac:dyDescent="0.2">
      <c r="A319" s="55">
        <v>46011</v>
      </c>
      <c r="B319" s="57" t="s">
        <v>477</v>
      </c>
      <c r="C319" s="15">
        <v>42095093</v>
      </c>
      <c r="D319" s="52" t="s">
        <v>476</v>
      </c>
      <c r="E319" s="52" t="s">
        <v>65</v>
      </c>
      <c r="F319" s="52" t="s">
        <v>98</v>
      </c>
      <c r="G319" s="52" t="s">
        <v>97</v>
      </c>
      <c r="H319" s="3" t="s">
        <v>475</v>
      </c>
      <c r="I319" s="61">
        <v>660002</v>
      </c>
      <c r="J319" s="15" t="s">
        <v>474</v>
      </c>
      <c r="K319" s="12" t="s">
        <v>473</v>
      </c>
      <c r="L319" s="61" t="s">
        <v>1283</v>
      </c>
      <c r="M319" s="127" t="s">
        <v>484</v>
      </c>
      <c r="N319" s="100">
        <v>100000</v>
      </c>
      <c r="O319" s="101" t="s">
        <v>483</v>
      </c>
      <c r="P319" s="15" t="s">
        <v>3</v>
      </c>
      <c r="Q319" s="3" t="s">
        <v>153</v>
      </c>
      <c r="R319" s="1" t="s">
        <v>0</v>
      </c>
      <c r="S319" s="52" t="s">
        <v>78</v>
      </c>
      <c r="T319" s="121"/>
    </row>
    <row r="320" spans="1:20" ht="12" customHeight="1" x14ac:dyDescent="0.2">
      <c r="A320" s="55">
        <v>46013</v>
      </c>
      <c r="B320" s="57" t="s">
        <v>477</v>
      </c>
      <c r="C320" s="15">
        <v>42095093</v>
      </c>
      <c r="D320" s="52" t="s">
        <v>476</v>
      </c>
      <c r="E320" s="52" t="s">
        <v>65</v>
      </c>
      <c r="F320" s="52" t="s">
        <v>98</v>
      </c>
      <c r="G320" s="52" t="s">
        <v>97</v>
      </c>
      <c r="H320" s="3" t="s">
        <v>475</v>
      </c>
      <c r="I320" s="61">
        <v>660002</v>
      </c>
      <c r="J320" s="15" t="s">
        <v>474</v>
      </c>
      <c r="K320" s="12" t="s">
        <v>473</v>
      </c>
      <c r="L320" s="61" t="s">
        <v>1283</v>
      </c>
      <c r="M320" s="131" t="s">
        <v>121</v>
      </c>
      <c r="N320" s="100">
        <v>100000</v>
      </c>
      <c r="O320" s="101" t="s">
        <v>482</v>
      </c>
      <c r="P320" s="15" t="s">
        <v>3</v>
      </c>
      <c r="Q320" s="3" t="s">
        <v>153</v>
      </c>
      <c r="R320" s="1" t="s">
        <v>0</v>
      </c>
      <c r="S320" s="52" t="s">
        <v>78</v>
      </c>
      <c r="T320" s="121"/>
    </row>
    <row r="321" spans="1:20" ht="12" customHeight="1" x14ac:dyDescent="0.2">
      <c r="A321" s="55">
        <v>46015</v>
      </c>
      <c r="B321" s="57" t="s">
        <v>477</v>
      </c>
      <c r="C321" s="15">
        <v>42095093</v>
      </c>
      <c r="D321" s="52" t="s">
        <v>476</v>
      </c>
      <c r="E321" s="52" t="s">
        <v>65</v>
      </c>
      <c r="F321" s="52" t="s">
        <v>98</v>
      </c>
      <c r="G321" s="52" t="s">
        <v>97</v>
      </c>
      <c r="H321" s="3" t="s">
        <v>475</v>
      </c>
      <c r="I321" s="61">
        <v>660002</v>
      </c>
      <c r="J321" s="15" t="s">
        <v>474</v>
      </c>
      <c r="K321" s="12" t="s">
        <v>473</v>
      </c>
      <c r="L321" s="61" t="s">
        <v>1283</v>
      </c>
      <c r="M321" s="127" t="s">
        <v>121</v>
      </c>
      <c r="N321" s="100">
        <v>100000</v>
      </c>
      <c r="O321" s="101" t="s">
        <v>481</v>
      </c>
      <c r="P321" s="15" t="s">
        <v>3</v>
      </c>
      <c r="Q321" s="3" t="s">
        <v>153</v>
      </c>
      <c r="R321" s="1" t="s">
        <v>0</v>
      </c>
      <c r="S321" s="52" t="s">
        <v>78</v>
      </c>
      <c r="T321" s="121"/>
    </row>
    <row r="322" spans="1:20" ht="12" customHeight="1" x14ac:dyDescent="0.2">
      <c r="A322" s="55">
        <v>46022</v>
      </c>
      <c r="B322" s="57" t="s">
        <v>477</v>
      </c>
      <c r="C322" s="15">
        <v>42095093</v>
      </c>
      <c r="D322" s="52" t="s">
        <v>476</v>
      </c>
      <c r="E322" s="52" t="s">
        <v>65</v>
      </c>
      <c r="F322" s="52" t="s">
        <v>98</v>
      </c>
      <c r="G322" s="52" t="s">
        <v>97</v>
      </c>
      <c r="H322" s="3" t="s">
        <v>475</v>
      </c>
      <c r="I322" s="61">
        <v>660002</v>
      </c>
      <c r="J322" s="15" t="s">
        <v>474</v>
      </c>
      <c r="K322" s="12" t="s">
        <v>473</v>
      </c>
      <c r="L322" s="61" t="s">
        <v>1283</v>
      </c>
      <c r="M322" s="130" t="s">
        <v>70</v>
      </c>
      <c r="N322" s="102">
        <v>100000</v>
      </c>
      <c r="O322" s="103" t="s">
        <v>480</v>
      </c>
      <c r="P322" s="15" t="s">
        <v>1</v>
      </c>
      <c r="Q322" s="3" t="s">
        <v>153</v>
      </c>
      <c r="R322" s="1" t="s">
        <v>0</v>
      </c>
      <c r="S322" s="52" t="s">
        <v>78</v>
      </c>
      <c r="T322" s="121"/>
    </row>
    <row r="323" spans="1:20" ht="12" customHeight="1" x14ac:dyDescent="0.2">
      <c r="A323" s="55">
        <v>46053</v>
      </c>
      <c r="B323" s="57" t="s">
        <v>477</v>
      </c>
      <c r="C323" s="15">
        <v>42095093</v>
      </c>
      <c r="D323" s="52" t="s">
        <v>476</v>
      </c>
      <c r="E323" s="52" t="s">
        <v>65</v>
      </c>
      <c r="F323" s="52" t="s">
        <v>98</v>
      </c>
      <c r="G323" s="52" t="s">
        <v>97</v>
      </c>
      <c r="H323" s="3" t="s">
        <v>475</v>
      </c>
      <c r="I323" s="61">
        <v>660002</v>
      </c>
      <c r="J323" s="15" t="s">
        <v>474</v>
      </c>
      <c r="K323" s="12" t="s">
        <v>473</v>
      </c>
      <c r="L323" s="61" t="s">
        <v>1283</v>
      </c>
      <c r="M323" s="58" t="s">
        <v>5</v>
      </c>
      <c r="N323" s="13">
        <v>150000</v>
      </c>
      <c r="O323" s="14" t="s">
        <v>479</v>
      </c>
      <c r="P323" s="15" t="s">
        <v>3</v>
      </c>
      <c r="Q323" s="3" t="s">
        <v>153</v>
      </c>
      <c r="R323" s="1" t="s">
        <v>0</v>
      </c>
      <c r="S323" s="52" t="s">
        <v>78</v>
      </c>
      <c r="T323" s="121"/>
    </row>
    <row r="324" spans="1:20" ht="12" customHeight="1" x14ac:dyDescent="0.2">
      <c r="A324" s="60">
        <v>46150</v>
      </c>
      <c r="B324" s="57" t="s">
        <v>477</v>
      </c>
      <c r="C324" s="15">
        <v>42095093</v>
      </c>
      <c r="D324" s="52" t="s">
        <v>476</v>
      </c>
      <c r="E324" s="52" t="s">
        <v>65</v>
      </c>
      <c r="F324" s="52" t="s">
        <v>98</v>
      </c>
      <c r="G324" s="52" t="s">
        <v>97</v>
      </c>
      <c r="H324" s="3" t="s">
        <v>475</v>
      </c>
      <c r="I324" s="61">
        <v>660002</v>
      </c>
      <c r="J324" s="15" t="s">
        <v>474</v>
      </c>
      <c r="K324" s="12" t="s">
        <v>473</v>
      </c>
      <c r="L324" s="61" t="s">
        <v>1283</v>
      </c>
      <c r="M324" s="58" t="s">
        <v>82</v>
      </c>
      <c r="N324" s="13">
        <v>200000</v>
      </c>
      <c r="O324" s="61" t="s">
        <v>478</v>
      </c>
      <c r="P324" s="15" t="s">
        <v>3</v>
      </c>
      <c r="Q324" s="3" t="s">
        <v>153</v>
      </c>
      <c r="R324" s="1" t="s">
        <v>0</v>
      </c>
      <c r="S324" s="52" t="s">
        <v>78</v>
      </c>
      <c r="T324" s="52"/>
    </row>
    <row r="325" spans="1:20" ht="12" customHeight="1" x14ac:dyDescent="0.2">
      <c r="A325" s="60">
        <v>46150.69</v>
      </c>
      <c r="B325" s="57" t="s">
        <v>477</v>
      </c>
      <c r="C325" s="15">
        <v>42095093</v>
      </c>
      <c r="D325" s="52" t="s">
        <v>476</v>
      </c>
      <c r="E325" s="52" t="s">
        <v>65</v>
      </c>
      <c r="F325" s="52" t="s">
        <v>98</v>
      </c>
      <c r="G325" s="52" t="s">
        <v>97</v>
      </c>
      <c r="H325" s="3" t="s">
        <v>475</v>
      </c>
      <c r="I325" s="61">
        <v>660002</v>
      </c>
      <c r="J325" s="15" t="s">
        <v>474</v>
      </c>
      <c r="K325" s="12" t="s">
        <v>473</v>
      </c>
      <c r="L325" s="61" t="s">
        <v>1283</v>
      </c>
      <c r="M325" s="58" t="s">
        <v>84</v>
      </c>
      <c r="N325" s="13">
        <v>0</v>
      </c>
      <c r="O325" s="14" t="s">
        <v>81</v>
      </c>
      <c r="P325" s="15" t="s">
        <v>68</v>
      </c>
      <c r="Q325" s="3" t="s">
        <v>153</v>
      </c>
      <c r="R325" s="1" t="s">
        <v>0</v>
      </c>
      <c r="S325" s="52" t="s">
        <v>78</v>
      </c>
      <c r="T325" s="121"/>
    </row>
    <row r="326" spans="1:20" ht="12" customHeight="1" x14ac:dyDescent="0.2">
      <c r="A326" s="60">
        <v>46150.693148148152</v>
      </c>
      <c r="B326" s="57" t="s">
        <v>477</v>
      </c>
      <c r="C326" s="15">
        <v>42095093</v>
      </c>
      <c r="D326" s="52" t="s">
        <v>476</v>
      </c>
      <c r="E326" s="52" t="s">
        <v>65</v>
      </c>
      <c r="F326" s="52" t="s">
        <v>98</v>
      </c>
      <c r="G326" s="52" t="s">
        <v>97</v>
      </c>
      <c r="H326" s="3" t="s">
        <v>475</v>
      </c>
      <c r="I326" s="61">
        <v>660002</v>
      </c>
      <c r="J326" s="15" t="s">
        <v>474</v>
      </c>
      <c r="K326" s="12" t="s">
        <v>473</v>
      </c>
      <c r="L326" s="61" t="s">
        <v>1283</v>
      </c>
      <c r="M326" s="58" t="s">
        <v>8</v>
      </c>
      <c r="N326" s="13">
        <v>0</v>
      </c>
      <c r="O326" s="14" t="s">
        <v>81</v>
      </c>
      <c r="P326" s="15" t="s">
        <v>68</v>
      </c>
      <c r="Q326" s="3" t="s">
        <v>153</v>
      </c>
      <c r="R326" s="1" t="s">
        <v>0</v>
      </c>
      <c r="S326" s="52" t="s">
        <v>78</v>
      </c>
      <c r="T326" s="121"/>
    </row>
    <row r="327" spans="1:20" ht="12" customHeight="1" x14ac:dyDescent="0.2">
      <c r="A327" s="60">
        <v>46279</v>
      </c>
      <c r="B327" s="57" t="s">
        <v>477</v>
      </c>
      <c r="C327" s="15">
        <v>42095093</v>
      </c>
      <c r="D327" s="52" t="s">
        <v>476</v>
      </c>
      <c r="E327" s="52" t="s">
        <v>65</v>
      </c>
      <c r="F327" s="52" t="s">
        <v>98</v>
      </c>
      <c r="G327" s="52" t="s">
        <v>97</v>
      </c>
      <c r="H327" s="3" t="s">
        <v>475</v>
      </c>
      <c r="I327" s="61">
        <v>660002</v>
      </c>
      <c r="J327" s="15" t="s">
        <v>474</v>
      </c>
      <c r="K327" s="12" t="s">
        <v>473</v>
      </c>
      <c r="L327" s="61" t="s">
        <v>1283</v>
      </c>
      <c r="M327" s="58" t="s">
        <v>1336</v>
      </c>
      <c r="N327" s="13" t="s">
        <v>1378</v>
      </c>
      <c r="O327" s="14" t="s">
        <v>1376</v>
      </c>
      <c r="P327" s="15" t="s">
        <v>3</v>
      </c>
      <c r="Q327" s="3" t="s">
        <v>153</v>
      </c>
      <c r="R327" s="1" t="s">
        <v>0</v>
      </c>
      <c r="S327" s="52" t="s">
        <v>78</v>
      </c>
      <c r="T327" s="59"/>
    </row>
    <row r="328" spans="1:20" ht="12" customHeight="1" x14ac:dyDescent="0.2">
      <c r="A328" s="55">
        <v>45874</v>
      </c>
      <c r="B328" s="57" t="s">
        <v>470</v>
      </c>
      <c r="C328" s="15">
        <v>10273172</v>
      </c>
      <c r="D328" s="52" t="s">
        <v>469</v>
      </c>
      <c r="E328" s="52" t="s">
        <v>65</v>
      </c>
      <c r="F328" s="52" t="s">
        <v>294</v>
      </c>
      <c r="G328" s="52" t="s">
        <v>468</v>
      </c>
      <c r="H328" s="3" t="s">
        <v>467</v>
      </c>
      <c r="I328" s="61">
        <v>170001</v>
      </c>
      <c r="J328" s="15" t="s">
        <v>466</v>
      </c>
      <c r="K328" s="12" t="s">
        <v>465</v>
      </c>
      <c r="L328" s="61" t="s">
        <v>1284</v>
      </c>
      <c r="M328" s="58" t="s">
        <v>108</v>
      </c>
      <c r="N328" s="13">
        <v>200000</v>
      </c>
      <c r="O328" s="14" t="s">
        <v>472</v>
      </c>
      <c r="P328" s="15" t="s">
        <v>3</v>
      </c>
      <c r="Q328" s="3" t="s">
        <v>153</v>
      </c>
      <c r="R328" s="1" t="s">
        <v>0</v>
      </c>
      <c r="S328" s="52" t="s">
        <v>78</v>
      </c>
      <c r="T328" s="121"/>
    </row>
    <row r="329" spans="1:20" ht="12" customHeight="1" x14ac:dyDescent="0.2">
      <c r="A329" s="55">
        <v>45904</v>
      </c>
      <c r="B329" s="57" t="s">
        <v>470</v>
      </c>
      <c r="C329" s="15">
        <v>10273172</v>
      </c>
      <c r="D329" s="52" t="s">
        <v>469</v>
      </c>
      <c r="E329" s="52" t="s">
        <v>65</v>
      </c>
      <c r="F329" s="52" t="s">
        <v>294</v>
      </c>
      <c r="G329" s="52" t="s">
        <v>468</v>
      </c>
      <c r="H329" s="3" t="s">
        <v>467</v>
      </c>
      <c r="I329" s="61">
        <v>170001</v>
      </c>
      <c r="J329" s="15" t="s">
        <v>466</v>
      </c>
      <c r="K329" s="12" t="s">
        <v>465</v>
      </c>
      <c r="L329" s="61" t="s">
        <v>1284</v>
      </c>
      <c r="M329" s="58" t="s">
        <v>6</v>
      </c>
      <c r="N329" s="13">
        <v>200000</v>
      </c>
      <c r="O329" s="14" t="s">
        <v>471</v>
      </c>
      <c r="P329" s="15" t="s">
        <v>3</v>
      </c>
      <c r="Q329" s="3" t="s">
        <v>153</v>
      </c>
      <c r="R329" s="1" t="s">
        <v>0</v>
      </c>
      <c r="S329" s="52" t="s">
        <v>78</v>
      </c>
      <c r="T329" s="121"/>
    </row>
    <row r="330" spans="1:20" ht="12" customHeight="1" x14ac:dyDescent="0.2">
      <c r="A330" s="55">
        <v>46083</v>
      </c>
      <c r="B330" s="57" t="s">
        <v>470</v>
      </c>
      <c r="C330" s="15">
        <v>10273172</v>
      </c>
      <c r="D330" s="52" t="s">
        <v>469</v>
      </c>
      <c r="E330" s="52" t="s">
        <v>65</v>
      </c>
      <c r="F330" s="52" t="s">
        <v>294</v>
      </c>
      <c r="G330" s="52" t="s">
        <v>468</v>
      </c>
      <c r="H330" s="3" t="s">
        <v>467</v>
      </c>
      <c r="I330" s="61">
        <v>170001</v>
      </c>
      <c r="J330" s="15" t="s">
        <v>466</v>
      </c>
      <c r="K330" s="12" t="s">
        <v>465</v>
      </c>
      <c r="L330" s="61" t="s">
        <v>1284</v>
      </c>
      <c r="M330" s="129" t="s">
        <v>8</v>
      </c>
      <c r="N330" s="13">
        <v>300000</v>
      </c>
      <c r="O330" s="14" t="s">
        <v>464</v>
      </c>
      <c r="P330" s="15" t="s">
        <v>3</v>
      </c>
      <c r="Q330" s="3" t="s">
        <v>153</v>
      </c>
      <c r="R330" s="1" t="s">
        <v>0</v>
      </c>
      <c r="S330" s="52" t="s">
        <v>78</v>
      </c>
      <c r="T330" s="121"/>
    </row>
    <row r="331" spans="1:20" ht="12" customHeight="1" x14ac:dyDescent="0.2">
      <c r="A331" s="55">
        <v>45798.785143715279</v>
      </c>
      <c r="B331" s="57" t="s">
        <v>462</v>
      </c>
      <c r="C331" s="15">
        <v>1121944121</v>
      </c>
      <c r="D331" s="52" t="s">
        <v>461</v>
      </c>
      <c r="E331" s="52" t="s">
        <v>65</v>
      </c>
      <c r="F331" s="52" t="s">
        <v>294</v>
      </c>
      <c r="G331" s="52" t="s">
        <v>293</v>
      </c>
      <c r="H331" s="3" t="s">
        <v>1182</v>
      </c>
      <c r="I331" s="61">
        <v>170001</v>
      </c>
      <c r="J331" s="15" t="s">
        <v>460</v>
      </c>
      <c r="K331" s="12" t="s">
        <v>459</v>
      </c>
      <c r="L331" s="61" t="s">
        <v>1318</v>
      </c>
      <c r="M331" s="58" t="s">
        <v>104</v>
      </c>
      <c r="N331" s="13">
        <v>120000</v>
      </c>
      <c r="O331" s="14" t="s">
        <v>463</v>
      </c>
      <c r="P331" s="15" t="s">
        <v>3</v>
      </c>
      <c r="Q331" s="3" t="s">
        <v>153</v>
      </c>
      <c r="R331" s="1" t="s">
        <v>0</v>
      </c>
      <c r="S331" s="52" t="s">
        <v>78</v>
      </c>
      <c r="T331" s="121"/>
    </row>
    <row r="332" spans="1:20" ht="12" customHeight="1" x14ac:dyDescent="0.2">
      <c r="A332" s="55">
        <v>45946</v>
      </c>
      <c r="B332" s="57" t="s">
        <v>462</v>
      </c>
      <c r="C332" s="15">
        <v>1121944121</v>
      </c>
      <c r="D332" s="52" t="s">
        <v>461</v>
      </c>
      <c r="E332" s="52" t="s">
        <v>65</v>
      </c>
      <c r="F332" s="52" t="s">
        <v>294</v>
      </c>
      <c r="G332" s="52" t="s">
        <v>293</v>
      </c>
      <c r="H332" s="3" t="s">
        <v>1182</v>
      </c>
      <c r="I332" s="61">
        <v>170001</v>
      </c>
      <c r="J332" s="15" t="s">
        <v>460</v>
      </c>
      <c r="K332" s="12" t="s">
        <v>459</v>
      </c>
      <c r="L332" s="61" t="s">
        <v>1318</v>
      </c>
      <c r="M332" s="58" t="s">
        <v>2</v>
      </c>
      <c r="N332" s="13">
        <v>100000</v>
      </c>
      <c r="O332" s="14" t="s">
        <v>458</v>
      </c>
      <c r="P332" s="15" t="s">
        <v>3</v>
      </c>
      <c r="Q332" s="3" t="s">
        <v>153</v>
      </c>
      <c r="R332" s="1" t="s">
        <v>0</v>
      </c>
      <c r="S332" s="52" t="s">
        <v>78</v>
      </c>
      <c r="T332" s="121"/>
    </row>
    <row r="333" spans="1:20" ht="12" customHeight="1" x14ac:dyDescent="0.2">
      <c r="A333" s="55">
        <v>45816</v>
      </c>
      <c r="B333" s="57" t="s">
        <v>456</v>
      </c>
      <c r="C333" s="15">
        <v>25170435</v>
      </c>
      <c r="D333" s="52" t="s">
        <v>1353</v>
      </c>
      <c r="E333" s="52" t="s">
        <v>99</v>
      </c>
      <c r="F333" s="52" t="s">
        <v>122</v>
      </c>
      <c r="G333" s="52" t="s">
        <v>1183</v>
      </c>
      <c r="H333" s="3" t="s">
        <v>1184</v>
      </c>
      <c r="I333" s="61" t="s">
        <v>1185</v>
      </c>
      <c r="J333" s="15" t="s">
        <v>455</v>
      </c>
      <c r="K333" s="12" t="s">
        <v>1186</v>
      </c>
      <c r="L333" s="61" t="s">
        <v>1285</v>
      </c>
      <c r="M333" s="58" t="s">
        <v>104</v>
      </c>
      <c r="N333" s="13">
        <v>120000</v>
      </c>
      <c r="O333" s="14" t="s">
        <v>457</v>
      </c>
      <c r="P333" s="15" t="s">
        <v>1</v>
      </c>
      <c r="Q333" s="3" t="s">
        <v>153</v>
      </c>
      <c r="R333" s="1" t="s">
        <v>0</v>
      </c>
      <c r="S333" s="52" t="s">
        <v>78</v>
      </c>
      <c r="T333" s="121"/>
    </row>
    <row r="334" spans="1:20" ht="12" customHeight="1" x14ac:dyDescent="0.2">
      <c r="A334" s="55">
        <v>46034</v>
      </c>
      <c r="B334" s="57" t="s">
        <v>456</v>
      </c>
      <c r="C334" s="15">
        <v>25170435</v>
      </c>
      <c r="D334" s="52" t="s">
        <v>1353</v>
      </c>
      <c r="E334" s="52" t="s">
        <v>99</v>
      </c>
      <c r="F334" s="52" t="s">
        <v>122</v>
      </c>
      <c r="G334" s="52" t="s">
        <v>1183</v>
      </c>
      <c r="H334" s="3" t="s">
        <v>1184</v>
      </c>
      <c r="I334" s="61" t="s">
        <v>1185</v>
      </c>
      <c r="J334" s="15" t="s">
        <v>455</v>
      </c>
      <c r="K334" s="12" t="s">
        <v>1186</v>
      </c>
      <c r="L334" s="61" t="s">
        <v>1285</v>
      </c>
      <c r="M334" s="58" t="s">
        <v>2</v>
      </c>
      <c r="N334" s="13">
        <v>100000</v>
      </c>
      <c r="O334" s="14" t="s">
        <v>454</v>
      </c>
      <c r="P334" s="15" t="s">
        <v>1</v>
      </c>
      <c r="Q334" s="3" t="s">
        <v>153</v>
      </c>
      <c r="R334" s="1" t="s">
        <v>0</v>
      </c>
      <c r="S334" s="52" t="s">
        <v>78</v>
      </c>
      <c r="T334" s="121"/>
    </row>
    <row r="335" spans="1:20" ht="12" customHeight="1" x14ac:dyDescent="0.2">
      <c r="A335" s="55">
        <v>45967</v>
      </c>
      <c r="B335" s="57" t="s">
        <v>453</v>
      </c>
      <c r="C335" s="15">
        <v>34533946</v>
      </c>
      <c r="D335" s="52" t="s">
        <v>452</v>
      </c>
      <c r="E335" s="52" t="s">
        <v>65</v>
      </c>
      <c r="F335" s="52" t="s">
        <v>338</v>
      </c>
      <c r="G335" s="52" t="s">
        <v>206</v>
      </c>
      <c r="H335" s="3" t="s">
        <v>1187</v>
      </c>
      <c r="I335" s="61" t="s">
        <v>1188</v>
      </c>
      <c r="J335" s="15" t="s">
        <v>451</v>
      </c>
      <c r="K335" s="12" t="s">
        <v>450</v>
      </c>
      <c r="L335" s="61" t="s">
        <v>1286</v>
      </c>
      <c r="M335" s="58" t="s">
        <v>2</v>
      </c>
      <c r="N335" s="13">
        <v>100000</v>
      </c>
      <c r="O335" s="14" t="s">
        <v>449</v>
      </c>
      <c r="P335" s="15" t="s">
        <v>53</v>
      </c>
      <c r="Q335" s="3" t="s">
        <v>153</v>
      </c>
      <c r="R335" s="1" t="s">
        <v>0</v>
      </c>
      <c r="S335" s="52" t="s">
        <v>78</v>
      </c>
      <c r="T335" s="121"/>
    </row>
    <row r="336" spans="1:20" ht="12" customHeight="1" x14ac:dyDescent="0.2">
      <c r="A336" s="60">
        <v>46147</v>
      </c>
      <c r="B336" s="57" t="s">
        <v>447</v>
      </c>
      <c r="C336" s="15">
        <v>1112933063</v>
      </c>
      <c r="D336" s="52" t="s">
        <v>446</v>
      </c>
      <c r="E336" s="52" t="s">
        <v>65</v>
      </c>
      <c r="F336" s="52" t="s">
        <v>66</v>
      </c>
      <c r="G336" s="52" t="s">
        <v>1362</v>
      </c>
      <c r="H336" s="3" t="s">
        <v>445</v>
      </c>
      <c r="I336" s="61">
        <v>761540</v>
      </c>
      <c r="J336" s="15" t="s">
        <v>444</v>
      </c>
      <c r="K336" s="12" t="s">
        <v>1363</v>
      </c>
      <c r="L336" s="61" t="s">
        <v>1215</v>
      </c>
      <c r="M336" s="58" t="s">
        <v>105</v>
      </c>
      <c r="N336" s="13">
        <v>100000</v>
      </c>
      <c r="O336" s="61" t="s">
        <v>448</v>
      </c>
      <c r="P336" s="15" t="s">
        <v>114</v>
      </c>
      <c r="Q336" s="3" t="s">
        <v>153</v>
      </c>
      <c r="R336" s="1" t="s">
        <v>0</v>
      </c>
      <c r="S336" s="52" t="s">
        <v>78</v>
      </c>
      <c r="T336" s="52"/>
    </row>
    <row r="337" spans="1:20" ht="12" customHeight="1" x14ac:dyDescent="0.2">
      <c r="A337" s="60">
        <v>46147.590277777781</v>
      </c>
      <c r="B337" s="57" t="s">
        <v>447</v>
      </c>
      <c r="C337" s="15">
        <v>1112933063</v>
      </c>
      <c r="D337" s="52" t="s">
        <v>446</v>
      </c>
      <c r="E337" s="52" t="s">
        <v>65</v>
      </c>
      <c r="F337" s="52" t="s">
        <v>66</v>
      </c>
      <c r="G337" s="52" t="s">
        <v>1362</v>
      </c>
      <c r="H337" s="3" t="s">
        <v>445</v>
      </c>
      <c r="I337" s="61">
        <v>761540</v>
      </c>
      <c r="J337" s="15" t="s">
        <v>444</v>
      </c>
      <c r="K337" s="12" t="s">
        <v>1363</v>
      </c>
      <c r="L337" s="61" t="s">
        <v>1215</v>
      </c>
      <c r="M337" s="58" t="s">
        <v>51</v>
      </c>
      <c r="N337" s="13">
        <v>0</v>
      </c>
      <c r="O337" s="14" t="s">
        <v>81</v>
      </c>
      <c r="P337" s="15" t="s">
        <v>68</v>
      </c>
      <c r="Q337" s="3" t="s">
        <v>153</v>
      </c>
      <c r="R337" s="1" t="s">
        <v>0</v>
      </c>
      <c r="S337" s="52" t="s">
        <v>78</v>
      </c>
      <c r="T337" s="52"/>
    </row>
    <row r="338" spans="1:20" ht="12" customHeight="1" x14ac:dyDescent="0.2">
      <c r="A338" s="47">
        <v>45813</v>
      </c>
      <c r="B338" s="57" t="s">
        <v>443</v>
      </c>
      <c r="C338" s="15">
        <v>29820961</v>
      </c>
      <c r="D338" s="52" t="s">
        <v>68</v>
      </c>
      <c r="E338" s="52" t="s">
        <v>65</v>
      </c>
      <c r="F338" s="52" t="s">
        <v>66</v>
      </c>
      <c r="G338" s="52" t="s">
        <v>442</v>
      </c>
      <c r="H338" s="3" t="s">
        <v>441</v>
      </c>
      <c r="I338" s="61">
        <v>760021</v>
      </c>
      <c r="J338" s="15" t="s">
        <v>440</v>
      </c>
      <c r="K338" s="12" t="s">
        <v>439</v>
      </c>
      <c r="L338" s="61" t="s">
        <v>1287</v>
      </c>
      <c r="M338" s="58" t="s">
        <v>104</v>
      </c>
      <c r="N338" s="13">
        <v>120000</v>
      </c>
      <c r="O338" s="14" t="s">
        <v>438</v>
      </c>
      <c r="P338" s="15" t="s">
        <v>3</v>
      </c>
      <c r="Q338" s="3" t="s">
        <v>153</v>
      </c>
      <c r="R338" s="1" t="s">
        <v>0</v>
      </c>
      <c r="S338" s="52" t="s">
        <v>68</v>
      </c>
      <c r="T338" s="121"/>
    </row>
    <row r="339" spans="1:20" ht="12" customHeight="1" x14ac:dyDescent="0.2">
      <c r="A339" s="55">
        <v>46110</v>
      </c>
      <c r="B339" s="57" t="s">
        <v>433</v>
      </c>
      <c r="C339" s="15">
        <v>24950300</v>
      </c>
      <c r="D339" s="52" t="s">
        <v>432</v>
      </c>
      <c r="E339" s="52" t="s">
        <v>65</v>
      </c>
      <c r="F339" s="52" t="s">
        <v>98</v>
      </c>
      <c r="G339" s="52" t="s">
        <v>97</v>
      </c>
      <c r="H339" s="3" t="s">
        <v>431</v>
      </c>
      <c r="I339" s="61">
        <v>660007</v>
      </c>
      <c r="J339" s="15" t="s">
        <v>430</v>
      </c>
      <c r="K339" s="12" t="s">
        <v>429</v>
      </c>
      <c r="L339" s="61" t="s">
        <v>1288</v>
      </c>
      <c r="M339" s="58" t="s">
        <v>47</v>
      </c>
      <c r="N339" s="13">
        <v>200000</v>
      </c>
      <c r="O339" s="12" t="s">
        <v>437</v>
      </c>
      <c r="P339" s="15" t="s">
        <v>114</v>
      </c>
      <c r="Q339" s="3" t="s">
        <v>153</v>
      </c>
      <c r="R339" s="1" t="s">
        <v>0</v>
      </c>
      <c r="S339" s="52" t="s">
        <v>78</v>
      </c>
      <c r="T339" s="121"/>
    </row>
    <row r="340" spans="1:20" ht="12" customHeight="1" x14ac:dyDescent="0.2">
      <c r="A340" s="55">
        <v>46110</v>
      </c>
      <c r="B340" s="57" t="s">
        <v>433</v>
      </c>
      <c r="C340" s="15">
        <v>24950300</v>
      </c>
      <c r="D340" s="52" t="s">
        <v>432</v>
      </c>
      <c r="E340" s="52" t="s">
        <v>65</v>
      </c>
      <c r="F340" s="52" t="s">
        <v>98</v>
      </c>
      <c r="G340" s="52" t="s">
        <v>97</v>
      </c>
      <c r="H340" s="3" t="s">
        <v>431</v>
      </c>
      <c r="I340" s="61">
        <v>660007</v>
      </c>
      <c r="J340" s="15" t="s">
        <v>430</v>
      </c>
      <c r="K340" s="12" t="s">
        <v>429</v>
      </c>
      <c r="L340" s="61" t="s">
        <v>1288</v>
      </c>
      <c r="M340" s="58" t="s">
        <v>47</v>
      </c>
      <c r="N340" s="13">
        <v>200000</v>
      </c>
      <c r="O340" s="12" t="s">
        <v>436</v>
      </c>
      <c r="P340" s="15" t="s">
        <v>114</v>
      </c>
      <c r="Q340" s="3" t="s">
        <v>153</v>
      </c>
      <c r="R340" s="1" t="s">
        <v>0</v>
      </c>
      <c r="S340" s="52" t="s">
        <v>78</v>
      </c>
      <c r="T340" s="121"/>
    </row>
    <row r="341" spans="1:20" ht="12" customHeight="1" x14ac:dyDescent="0.2">
      <c r="A341" s="55">
        <v>46126</v>
      </c>
      <c r="B341" s="57" t="s">
        <v>433</v>
      </c>
      <c r="C341" s="15">
        <v>24950300</v>
      </c>
      <c r="D341" s="52" t="s">
        <v>432</v>
      </c>
      <c r="E341" s="52" t="s">
        <v>65</v>
      </c>
      <c r="F341" s="52" t="s">
        <v>98</v>
      </c>
      <c r="G341" s="52" t="s">
        <v>97</v>
      </c>
      <c r="H341" s="3" t="s">
        <v>431</v>
      </c>
      <c r="I341" s="61">
        <v>660007</v>
      </c>
      <c r="J341" s="15" t="s">
        <v>430</v>
      </c>
      <c r="K341" s="12" t="s">
        <v>429</v>
      </c>
      <c r="L341" s="61" t="s">
        <v>1288</v>
      </c>
      <c r="M341" s="58" t="s">
        <v>47</v>
      </c>
      <c r="N341" s="13">
        <v>200000</v>
      </c>
      <c r="O341" s="12" t="s">
        <v>435</v>
      </c>
      <c r="P341" s="15" t="s">
        <v>114</v>
      </c>
      <c r="Q341" s="3" t="s">
        <v>153</v>
      </c>
      <c r="R341" s="1" t="s">
        <v>0</v>
      </c>
      <c r="S341" s="52" t="s">
        <v>78</v>
      </c>
      <c r="T341" s="121"/>
    </row>
    <row r="342" spans="1:20" ht="12" customHeight="1" x14ac:dyDescent="0.2">
      <c r="A342" s="47">
        <v>46126.612581018519</v>
      </c>
      <c r="B342" s="57" t="s">
        <v>433</v>
      </c>
      <c r="C342" s="15">
        <v>24950300</v>
      </c>
      <c r="D342" s="52" t="s">
        <v>432</v>
      </c>
      <c r="E342" s="52" t="s">
        <v>65</v>
      </c>
      <c r="F342" s="52" t="s">
        <v>98</v>
      </c>
      <c r="G342" s="52" t="s">
        <v>97</v>
      </c>
      <c r="H342" s="3" t="s">
        <v>431</v>
      </c>
      <c r="I342" s="61">
        <v>660007</v>
      </c>
      <c r="J342" s="15" t="s">
        <v>430</v>
      </c>
      <c r="K342" s="12" t="s">
        <v>429</v>
      </c>
      <c r="L342" s="61" t="s">
        <v>1288</v>
      </c>
      <c r="M342" s="125" t="s">
        <v>74</v>
      </c>
      <c r="N342" s="13">
        <v>0</v>
      </c>
      <c r="O342" s="14" t="s">
        <v>81</v>
      </c>
      <c r="P342" s="15" t="s">
        <v>68</v>
      </c>
      <c r="Q342" s="3" t="s">
        <v>153</v>
      </c>
      <c r="R342" s="1" t="s">
        <v>0</v>
      </c>
      <c r="S342" s="52" t="s">
        <v>78</v>
      </c>
      <c r="T342" s="121"/>
    </row>
    <row r="343" spans="1:20" ht="12" customHeight="1" x14ac:dyDescent="0.2">
      <c r="A343" s="47">
        <v>46132</v>
      </c>
      <c r="B343" s="57" t="s">
        <v>433</v>
      </c>
      <c r="C343" s="15">
        <v>24950300</v>
      </c>
      <c r="D343" s="52" t="s">
        <v>432</v>
      </c>
      <c r="E343" s="52" t="s">
        <v>65</v>
      </c>
      <c r="F343" s="52" t="s">
        <v>98</v>
      </c>
      <c r="G343" s="52" t="s">
        <v>97</v>
      </c>
      <c r="H343" s="3" t="s">
        <v>431</v>
      </c>
      <c r="I343" s="61">
        <v>660007</v>
      </c>
      <c r="J343" s="15" t="s">
        <v>430</v>
      </c>
      <c r="K343" s="12" t="s">
        <v>429</v>
      </c>
      <c r="L343" s="61" t="s">
        <v>1288</v>
      </c>
      <c r="M343" s="125" t="s">
        <v>47</v>
      </c>
      <c r="N343" s="13">
        <v>200000</v>
      </c>
      <c r="O343" s="14" t="s">
        <v>434</v>
      </c>
      <c r="P343" s="15" t="s">
        <v>114</v>
      </c>
      <c r="Q343" s="3" t="s">
        <v>153</v>
      </c>
      <c r="R343" s="1" t="s">
        <v>0</v>
      </c>
      <c r="S343" s="52" t="s">
        <v>78</v>
      </c>
      <c r="T343" s="121"/>
    </row>
    <row r="344" spans="1:20" ht="12" customHeight="1" x14ac:dyDescent="0.2">
      <c r="A344" s="47">
        <v>46132</v>
      </c>
      <c r="B344" s="57" t="s">
        <v>433</v>
      </c>
      <c r="C344" s="15">
        <v>24950300</v>
      </c>
      <c r="D344" s="52" t="s">
        <v>432</v>
      </c>
      <c r="E344" s="52" t="s">
        <v>65</v>
      </c>
      <c r="F344" s="52" t="s">
        <v>98</v>
      </c>
      <c r="G344" s="52" t="s">
        <v>97</v>
      </c>
      <c r="H344" s="3" t="s">
        <v>431</v>
      </c>
      <c r="I344" s="61">
        <v>660007</v>
      </c>
      <c r="J344" s="15" t="s">
        <v>430</v>
      </c>
      <c r="K344" s="12" t="s">
        <v>429</v>
      </c>
      <c r="L344" s="61" t="s">
        <v>1288</v>
      </c>
      <c r="M344" s="125" t="s">
        <v>8</v>
      </c>
      <c r="N344" s="13">
        <v>0</v>
      </c>
      <c r="O344" s="14" t="s">
        <v>81</v>
      </c>
      <c r="P344" s="15" t="s">
        <v>68</v>
      </c>
      <c r="Q344" s="3" t="s">
        <v>153</v>
      </c>
      <c r="R344" s="1" t="s">
        <v>0</v>
      </c>
      <c r="S344" s="52" t="s">
        <v>78</v>
      </c>
      <c r="T344" s="121"/>
    </row>
    <row r="345" spans="1:20" ht="12" customHeight="1" x14ac:dyDescent="0.2">
      <c r="A345" s="135">
        <v>46281</v>
      </c>
      <c r="B345" s="57" t="s">
        <v>433</v>
      </c>
      <c r="C345" s="15">
        <v>24950300</v>
      </c>
      <c r="D345" s="52" t="s">
        <v>432</v>
      </c>
      <c r="E345" s="52" t="s">
        <v>65</v>
      </c>
      <c r="F345" s="52" t="s">
        <v>98</v>
      </c>
      <c r="G345" s="52" t="s">
        <v>97</v>
      </c>
      <c r="H345" s="3" t="s">
        <v>431</v>
      </c>
      <c r="I345" s="61">
        <v>660007</v>
      </c>
      <c r="J345" s="15" t="s">
        <v>430</v>
      </c>
      <c r="K345" s="12" t="s">
        <v>429</v>
      </c>
      <c r="L345" s="61" t="s">
        <v>1288</v>
      </c>
      <c r="M345" s="58" t="s">
        <v>1382</v>
      </c>
      <c r="N345" s="13">
        <v>600000</v>
      </c>
      <c r="O345" s="14" t="s">
        <v>1383</v>
      </c>
      <c r="P345" s="15" t="s">
        <v>7</v>
      </c>
      <c r="Q345" s="3" t="s">
        <v>153</v>
      </c>
      <c r="R345" s="1" t="s">
        <v>0</v>
      </c>
      <c r="S345" s="52" t="s">
        <v>78</v>
      </c>
    </row>
    <row r="346" spans="1:20" ht="12" customHeight="1" x14ac:dyDescent="0.2">
      <c r="A346" s="135">
        <v>46281</v>
      </c>
      <c r="B346" s="57" t="s">
        <v>433</v>
      </c>
      <c r="C346" s="15">
        <v>24950300</v>
      </c>
      <c r="D346" s="52" t="s">
        <v>432</v>
      </c>
      <c r="E346" s="52" t="s">
        <v>65</v>
      </c>
      <c r="F346" s="52" t="s">
        <v>98</v>
      </c>
      <c r="G346" s="52" t="s">
        <v>97</v>
      </c>
      <c r="H346" s="3" t="s">
        <v>431</v>
      </c>
      <c r="I346" s="61">
        <v>660007</v>
      </c>
      <c r="J346" s="15" t="s">
        <v>430</v>
      </c>
      <c r="K346" s="12" t="s">
        <v>429</v>
      </c>
      <c r="L346" s="61" t="s">
        <v>1288</v>
      </c>
      <c r="M346" s="58" t="s">
        <v>85</v>
      </c>
      <c r="N346" s="13">
        <v>500000</v>
      </c>
      <c r="O346" s="14" t="s">
        <v>1384</v>
      </c>
      <c r="P346" s="15" t="s">
        <v>3</v>
      </c>
      <c r="Q346" s="3" t="s">
        <v>153</v>
      </c>
      <c r="R346" s="1" t="s">
        <v>0</v>
      </c>
      <c r="S346" s="52" t="s">
        <v>78</v>
      </c>
    </row>
    <row r="347" spans="1:20" ht="12" customHeight="1" x14ac:dyDescent="0.2">
      <c r="A347" s="55">
        <v>46167</v>
      </c>
      <c r="B347" s="57" t="s">
        <v>428</v>
      </c>
      <c r="C347" s="15" t="s">
        <v>1108</v>
      </c>
      <c r="D347" s="52" t="s">
        <v>158</v>
      </c>
      <c r="E347" s="52" t="s">
        <v>65</v>
      </c>
      <c r="F347" s="52" t="s">
        <v>129</v>
      </c>
      <c r="G347" s="52" t="s">
        <v>157</v>
      </c>
      <c r="H347" s="3" t="s">
        <v>156</v>
      </c>
      <c r="I347" s="61">
        <v>203020</v>
      </c>
      <c r="J347" s="15" t="s">
        <v>155</v>
      </c>
      <c r="K347" s="12" t="s">
        <v>1097</v>
      </c>
      <c r="L347" s="61" t="s">
        <v>1289</v>
      </c>
      <c r="M347" s="58" t="s">
        <v>2</v>
      </c>
      <c r="N347" s="13">
        <v>100000</v>
      </c>
      <c r="O347" s="12" t="s">
        <v>154</v>
      </c>
      <c r="P347" s="15" t="s">
        <v>3</v>
      </c>
      <c r="Q347" s="3" t="s">
        <v>153</v>
      </c>
      <c r="R347" s="1" t="s">
        <v>0</v>
      </c>
      <c r="S347" s="52" t="s">
        <v>78</v>
      </c>
      <c r="T347" s="52"/>
    </row>
    <row r="348" spans="1:20" ht="12" customHeight="1" x14ac:dyDescent="0.2">
      <c r="A348" s="47">
        <v>45814.781320104172</v>
      </c>
      <c r="B348" s="57" t="s">
        <v>427</v>
      </c>
      <c r="C348" s="15">
        <v>42064137</v>
      </c>
      <c r="D348" s="52" t="s">
        <v>1189</v>
      </c>
      <c r="E348" s="52" t="s">
        <v>65</v>
      </c>
      <c r="F348" s="52" t="s">
        <v>98</v>
      </c>
      <c r="G348" s="52" t="s">
        <v>103</v>
      </c>
      <c r="H348" s="3" t="s">
        <v>426</v>
      </c>
      <c r="I348" s="61">
        <v>661001</v>
      </c>
      <c r="J348" s="15" t="s">
        <v>425</v>
      </c>
      <c r="K348" s="12" t="s">
        <v>424</v>
      </c>
      <c r="L348" s="61" t="s">
        <v>1290</v>
      </c>
      <c r="M348" s="58" t="s">
        <v>104</v>
      </c>
      <c r="N348" s="13">
        <v>120000</v>
      </c>
      <c r="O348" s="14" t="s">
        <v>423</v>
      </c>
      <c r="P348" s="15" t="s">
        <v>1</v>
      </c>
      <c r="Q348" s="3" t="s">
        <v>153</v>
      </c>
      <c r="R348" s="1" t="s">
        <v>0</v>
      </c>
      <c r="S348" s="52" t="s">
        <v>78</v>
      </c>
      <c r="T348" s="52"/>
    </row>
    <row r="349" spans="1:20" ht="12" customHeight="1" x14ac:dyDescent="0.2">
      <c r="A349" s="60">
        <v>45711</v>
      </c>
      <c r="B349" s="57" t="s">
        <v>421</v>
      </c>
      <c r="C349" s="15">
        <v>34537005</v>
      </c>
      <c r="D349" s="52" t="s">
        <v>420</v>
      </c>
      <c r="E349" s="52" t="s">
        <v>65</v>
      </c>
      <c r="F349" s="52" t="s">
        <v>164</v>
      </c>
      <c r="G349" s="52" t="s">
        <v>206</v>
      </c>
      <c r="H349" s="3" t="s">
        <v>419</v>
      </c>
      <c r="I349" s="61">
        <v>190001</v>
      </c>
      <c r="J349" s="15" t="s">
        <v>418</v>
      </c>
      <c r="K349" s="12" t="s">
        <v>417</v>
      </c>
      <c r="L349" s="61" t="s">
        <v>1319</v>
      </c>
      <c r="M349" s="126" t="s">
        <v>8</v>
      </c>
      <c r="N349" s="123">
        <v>100000</v>
      </c>
      <c r="O349" s="122" t="s">
        <v>422</v>
      </c>
      <c r="P349" s="15" t="s">
        <v>1</v>
      </c>
      <c r="Q349" s="3" t="s">
        <v>153</v>
      </c>
      <c r="R349" s="1" t="s">
        <v>0</v>
      </c>
      <c r="S349" s="52" t="s">
        <v>78</v>
      </c>
      <c r="T349" s="52"/>
    </row>
    <row r="350" spans="1:20" ht="12" customHeight="1" x14ac:dyDescent="0.2">
      <c r="A350" s="60">
        <v>45944</v>
      </c>
      <c r="B350" s="57" t="s">
        <v>421</v>
      </c>
      <c r="C350" s="15">
        <v>34537005</v>
      </c>
      <c r="D350" s="52" t="s">
        <v>420</v>
      </c>
      <c r="E350" s="52" t="s">
        <v>65</v>
      </c>
      <c r="F350" s="52" t="s">
        <v>164</v>
      </c>
      <c r="G350" s="52" t="s">
        <v>206</v>
      </c>
      <c r="H350" s="3" t="s">
        <v>419</v>
      </c>
      <c r="I350" s="61">
        <v>190001</v>
      </c>
      <c r="J350" s="15" t="s">
        <v>418</v>
      </c>
      <c r="K350" s="12" t="s">
        <v>417</v>
      </c>
      <c r="L350" s="61" t="s">
        <v>1319</v>
      </c>
      <c r="M350" s="126" t="s">
        <v>180</v>
      </c>
      <c r="N350" s="123">
        <v>20000</v>
      </c>
      <c r="O350" s="128" t="s">
        <v>416</v>
      </c>
      <c r="P350" s="15" t="s">
        <v>1</v>
      </c>
      <c r="Q350" s="3" t="s">
        <v>153</v>
      </c>
      <c r="R350" s="1" t="s">
        <v>0</v>
      </c>
      <c r="S350" s="52" t="s">
        <v>78</v>
      </c>
      <c r="T350" s="52"/>
    </row>
    <row r="351" spans="1:20" ht="12" customHeight="1" x14ac:dyDescent="0.2">
      <c r="A351" s="47">
        <v>45848.706493055557</v>
      </c>
      <c r="B351" s="57" t="s">
        <v>413</v>
      </c>
      <c r="C351" s="15">
        <v>46640316</v>
      </c>
      <c r="D351" s="52" t="s">
        <v>412</v>
      </c>
      <c r="E351" s="52" t="s">
        <v>65</v>
      </c>
      <c r="F351" s="52" t="s">
        <v>294</v>
      </c>
      <c r="G351" s="52" t="s">
        <v>411</v>
      </c>
      <c r="H351" s="3" t="s">
        <v>410</v>
      </c>
      <c r="I351" s="61">
        <v>175030</v>
      </c>
      <c r="J351" s="15" t="s">
        <v>409</v>
      </c>
      <c r="K351" s="12" t="s">
        <v>408</v>
      </c>
      <c r="L351" s="61" t="s">
        <v>1291</v>
      </c>
      <c r="M351" s="58" t="s">
        <v>115</v>
      </c>
      <c r="N351" s="13">
        <v>300000</v>
      </c>
      <c r="O351" s="14" t="s">
        <v>415</v>
      </c>
      <c r="P351" s="15" t="s">
        <v>3</v>
      </c>
      <c r="Q351" s="3" t="s">
        <v>153</v>
      </c>
      <c r="R351" s="1" t="s">
        <v>0</v>
      </c>
      <c r="S351" s="52" t="s">
        <v>78</v>
      </c>
      <c r="T351" s="121"/>
    </row>
    <row r="352" spans="1:20" ht="12" customHeight="1" x14ac:dyDescent="0.2">
      <c r="A352" s="55">
        <v>46125</v>
      </c>
      <c r="B352" s="57" t="s">
        <v>413</v>
      </c>
      <c r="C352" s="15">
        <v>46640316</v>
      </c>
      <c r="D352" s="52" t="s">
        <v>412</v>
      </c>
      <c r="E352" s="52" t="s">
        <v>65</v>
      </c>
      <c r="F352" s="52" t="s">
        <v>294</v>
      </c>
      <c r="G352" s="52" t="s">
        <v>411</v>
      </c>
      <c r="H352" s="3" t="s">
        <v>410</v>
      </c>
      <c r="I352" s="61">
        <v>175030</v>
      </c>
      <c r="J352" s="15" t="s">
        <v>409</v>
      </c>
      <c r="K352" s="12" t="s">
        <v>408</v>
      </c>
      <c r="L352" s="61" t="s">
        <v>1291</v>
      </c>
      <c r="M352" s="58" t="s">
        <v>2</v>
      </c>
      <c r="N352" s="13">
        <v>100000</v>
      </c>
      <c r="O352" s="12" t="s">
        <v>414</v>
      </c>
      <c r="P352" s="15" t="s">
        <v>3</v>
      </c>
      <c r="Q352" s="3" t="s">
        <v>153</v>
      </c>
      <c r="R352" s="1" t="s">
        <v>0</v>
      </c>
      <c r="S352" s="52" t="s">
        <v>78</v>
      </c>
      <c r="T352" s="121"/>
    </row>
    <row r="353" spans="1:20" ht="12" customHeight="1" x14ac:dyDescent="0.2">
      <c r="A353" s="47">
        <v>46125.729814814818</v>
      </c>
      <c r="B353" s="57" t="s">
        <v>413</v>
      </c>
      <c r="C353" s="15">
        <v>46640316</v>
      </c>
      <c r="D353" s="52" t="s">
        <v>412</v>
      </c>
      <c r="E353" s="52" t="s">
        <v>65</v>
      </c>
      <c r="F353" s="52" t="s">
        <v>294</v>
      </c>
      <c r="G353" s="52" t="s">
        <v>411</v>
      </c>
      <c r="H353" s="3" t="s">
        <v>410</v>
      </c>
      <c r="I353" s="61">
        <v>175030</v>
      </c>
      <c r="J353" s="15" t="s">
        <v>409</v>
      </c>
      <c r="K353" s="12" t="s">
        <v>408</v>
      </c>
      <c r="L353" s="61" t="s">
        <v>1291</v>
      </c>
      <c r="M353" s="125" t="s">
        <v>84</v>
      </c>
      <c r="N353" s="13">
        <v>0</v>
      </c>
      <c r="O353" s="14" t="s">
        <v>81</v>
      </c>
      <c r="P353" s="15" t="s">
        <v>68</v>
      </c>
      <c r="Q353" s="3" t="s">
        <v>153</v>
      </c>
      <c r="R353" s="1" t="s">
        <v>0</v>
      </c>
      <c r="S353" s="52" t="s">
        <v>78</v>
      </c>
      <c r="T353" s="121"/>
    </row>
    <row r="354" spans="1:20" ht="12" customHeight="1" x14ac:dyDescent="0.2">
      <c r="A354" s="55">
        <v>46163</v>
      </c>
      <c r="B354" s="57" t="s">
        <v>413</v>
      </c>
      <c r="C354" s="15">
        <v>46640316</v>
      </c>
      <c r="D354" s="52" t="s">
        <v>412</v>
      </c>
      <c r="E354" s="52" t="s">
        <v>65</v>
      </c>
      <c r="F354" s="52" t="s">
        <v>294</v>
      </c>
      <c r="G354" s="52" t="s">
        <v>411</v>
      </c>
      <c r="H354" s="3" t="s">
        <v>410</v>
      </c>
      <c r="I354" s="61">
        <v>175030</v>
      </c>
      <c r="J354" s="15" t="s">
        <v>409</v>
      </c>
      <c r="K354" s="12" t="s">
        <v>408</v>
      </c>
      <c r="L354" s="61" t="s">
        <v>1291</v>
      </c>
      <c r="M354" s="58" t="s">
        <v>2</v>
      </c>
      <c r="N354" s="13">
        <v>100000</v>
      </c>
      <c r="O354" s="12" t="s">
        <v>407</v>
      </c>
      <c r="P354" s="15" t="s">
        <v>3</v>
      </c>
      <c r="Q354" s="3" t="s">
        <v>153</v>
      </c>
      <c r="R354" s="1" t="s">
        <v>0</v>
      </c>
      <c r="S354" s="52" t="s">
        <v>78</v>
      </c>
      <c r="T354" s="121"/>
    </row>
    <row r="355" spans="1:20" ht="12" customHeight="1" x14ac:dyDescent="0.2">
      <c r="A355" s="47">
        <v>46130</v>
      </c>
      <c r="B355" s="57" t="s">
        <v>405</v>
      </c>
      <c r="C355" s="15">
        <v>49670323</v>
      </c>
      <c r="D355" s="52" t="s">
        <v>404</v>
      </c>
      <c r="E355" s="52" t="s">
        <v>65</v>
      </c>
      <c r="F355" s="52" t="s">
        <v>129</v>
      </c>
      <c r="G355" s="52" t="s">
        <v>157</v>
      </c>
      <c r="H355" s="3" t="s">
        <v>403</v>
      </c>
      <c r="I355" s="61">
        <v>203020</v>
      </c>
      <c r="J355" s="15" t="s">
        <v>402</v>
      </c>
      <c r="K355" s="12" t="s">
        <v>401</v>
      </c>
      <c r="L355" s="61" t="s">
        <v>1292</v>
      </c>
      <c r="M355" s="125" t="s">
        <v>47</v>
      </c>
      <c r="N355" s="13">
        <v>200000</v>
      </c>
      <c r="O355" s="14" t="s">
        <v>406</v>
      </c>
      <c r="P355" s="15" t="s">
        <v>3</v>
      </c>
      <c r="Q355" s="3" t="s">
        <v>153</v>
      </c>
      <c r="R355" s="1" t="s">
        <v>0</v>
      </c>
      <c r="S355" s="52" t="s">
        <v>78</v>
      </c>
      <c r="T355" s="121"/>
    </row>
    <row r="356" spans="1:20" ht="12" customHeight="1" x14ac:dyDescent="0.2">
      <c r="A356" s="47">
        <v>46130</v>
      </c>
      <c r="B356" s="57" t="s">
        <v>405</v>
      </c>
      <c r="C356" s="15">
        <v>49670323</v>
      </c>
      <c r="D356" s="52" t="s">
        <v>404</v>
      </c>
      <c r="E356" s="52" t="s">
        <v>65</v>
      </c>
      <c r="F356" s="52" t="s">
        <v>129</v>
      </c>
      <c r="G356" s="52" t="s">
        <v>157</v>
      </c>
      <c r="H356" s="3" t="s">
        <v>403</v>
      </c>
      <c r="I356" s="61">
        <v>203020</v>
      </c>
      <c r="J356" s="15" t="s">
        <v>402</v>
      </c>
      <c r="K356" s="12" t="s">
        <v>401</v>
      </c>
      <c r="L356" s="61" t="s">
        <v>1292</v>
      </c>
      <c r="M356" s="125" t="s">
        <v>51</v>
      </c>
      <c r="N356" s="13">
        <v>0</v>
      </c>
      <c r="O356" s="14" t="s">
        <v>81</v>
      </c>
      <c r="P356" s="15" t="s">
        <v>68</v>
      </c>
      <c r="Q356" s="3" t="s">
        <v>153</v>
      </c>
      <c r="R356" s="1" t="s">
        <v>0</v>
      </c>
      <c r="S356" s="52" t="s">
        <v>78</v>
      </c>
      <c r="T356" s="121"/>
    </row>
    <row r="357" spans="1:20" ht="12" customHeight="1" x14ac:dyDescent="0.2">
      <c r="A357" s="47">
        <v>45916</v>
      </c>
      <c r="B357" s="57" t="s">
        <v>393</v>
      </c>
      <c r="C357" s="15">
        <v>38894024</v>
      </c>
      <c r="D357" s="52" t="s">
        <v>392</v>
      </c>
      <c r="E357" s="52" t="s">
        <v>99</v>
      </c>
      <c r="F357" s="52" t="s">
        <v>1191</v>
      </c>
      <c r="G357" s="52" t="s">
        <v>1192</v>
      </c>
      <c r="H357" s="3" t="s">
        <v>1193</v>
      </c>
      <c r="I357" s="61" t="s">
        <v>1190</v>
      </c>
      <c r="J357" s="15" t="s">
        <v>391</v>
      </c>
      <c r="K357" s="12" t="s">
        <v>390</v>
      </c>
      <c r="L357" s="61" t="s">
        <v>1293</v>
      </c>
      <c r="M357" s="58" t="s">
        <v>102</v>
      </c>
      <c r="N357" s="13">
        <v>300000</v>
      </c>
      <c r="O357" s="14" t="s">
        <v>400</v>
      </c>
      <c r="P357" s="15" t="s">
        <v>123</v>
      </c>
      <c r="Q357" s="3" t="s">
        <v>153</v>
      </c>
      <c r="R357" s="1" t="s">
        <v>0</v>
      </c>
      <c r="S357" s="52" t="s">
        <v>78</v>
      </c>
      <c r="T357" s="121"/>
    </row>
    <row r="358" spans="1:20" ht="12" customHeight="1" x14ac:dyDescent="0.2">
      <c r="A358" s="47">
        <v>45932</v>
      </c>
      <c r="B358" s="57" t="s">
        <v>393</v>
      </c>
      <c r="C358" s="15">
        <v>38894024</v>
      </c>
      <c r="D358" s="52" t="s">
        <v>392</v>
      </c>
      <c r="E358" s="52" t="s">
        <v>99</v>
      </c>
      <c r="F358" s="52" t="s">
        <v>1191</v>
      </c>
      <c r="G358" s="52" t="s">
        <v>1192</v>
      </c>
      <c r="H358" s="3" t="s">
        <v>1193</v>
      </c>
      <c r="I358" s="61" t="s">
        <v>1190</v>
      </c>
      <c r="J358" s="15" t="s">
        <v>391</v>
      </c>
      <c r="K358" s="12" t="s">
        <v>390</v>
      </c>
      <c r="L358" s="61" t="s">
        <v>1293</v>
      </c>
      <c r="M358" s="58" t="s">
        <v>125</v>
      </c>
      <c r="N358" s="13">
        <v>200000</v>
      </c>
      <c r="O358" s="14" t="s">
        <v>399</v>
      </c>
      <c r="P358" s="15" t="s">
        <v>123</v>
      </c>
      <c r="Q358" s="3" t="s">
        <v>153</v>
      </c>
      <c r="R358" s="1" t="s">
        <v>0</v>
      </c>
      <c r="S358" s="52" t="s">
        <v>78</v>
      </c>
      <c r="T358" s="121"/>
    </row>
    <row r="359" spans="1:20" ht="12" customHeight="1" x14ac:dyDescent="0.2">
      <c r="A359" s="47">
        <v>45946</v>
      </c>
      <c r="B359" s="57" t="s">
        <v>393</v>
      </c>
      <c r="C359" s="15">
        <v>38894024</v>
      </c>
      <c r="D359" s="52" t="s">
        <v>392</v>
      </c>
      <c r="E359" s="52" t="s">
        <v>99</v>
      </c>
      <c r="F359" s="52" t="s">
        <v>1191</v>
      </c>
      <c r="G359" s="52" t="s">
        <v>1192</v>
      </c>
      <c r="H359" s="3" t="s">
        <v>1193</v>
      </c>
      <c r="I359" s="61" t="s">
        <v>1190</v>
      </c>
      <c r="J359" s="15" t="s">
        <v>391</v>
      </c>
      <c r="K359" s="12" t="s">
        <v>390</v>
      </c>
      <c r="L359" s="61" t="s">
        <v>1293</v>
      </c>
      <c r="M359" s="58" t="s">
        <v>2</v>
      </c>
      <c r="N359" s="13">
        <v>100000</v>
      </c>
      <c r="O359" s="14" t="s">
        <v>398</v>
      </c>
      <c r="P359" s="15" t="s">
        <v>109</v>
      </c>
      <c r="Q359" s="3" t="s">
        <v>153</v>
      </c>
      <c r="R359" s="1" t="s">
        <v>0</v>
      </c>
      <c r="S359" s="52" t="s">
        <v>78</v>
      </c>
      <c r="T359" s="121"/>
    </row>
    <row r="360" spans="1:20" ht="12" customHeight="1" x14ac:dyDescent="0.2">
      <c r="A360" s="47">
        <v>46053</v>
      </c>
      <c r="B360" s="57" t="s">
        <v>393</v>
      </c>
      <c r="C360" s="15">
        <v>38894024</v>
      </c>
      <c r="D360" s="52" t="s">
        <v>392</v>
      </c>
      <c r="E360" s="52" t="s">
        <v>99</v>
      </c>
      <c r="F360" s="52" t="s">
        <v>1191</v>
      </c>
      <c r="G360" s="52" t="s">
        <v>1192</v>
      </c>
      <c r="H360" s="3" t="s">
        <v>1193</v>
      </c>
      <c r="I360" s="61" t="s">
        <v>1190</v>
      </c>
      <c r="J360" s="15" t="s">
        <v>391</v>
      </c>
      <c r="K360" s="12" t="s">
        <v>390</v>
      </c>
      <c r="L360" s="61" t="s">
        <v>1293</v>
      </c>
      <c r="M360" s="58" t="s">
        <v>85</v>
      </c>
      <c r="N360" s="13">
        <v>500000</v>
      </c>
      <c r="O360" s="14" t="s">
        <v>397</v>
      </c>
      <c r="P360" s="15" t="s">
        <v>114</v>
      </c>
      <c r="Q360" s="3" t="s">
        <v>153</v>
      </c>
      <c r="R360" s="1" t="s">
        <v>0</v>
      </c>
      <c r="S360" s="52" t="s">
        <v>78</v>
      </c>
      <c r="T360" s="121"/>
    </row>
    <row r="361" spans="1:20" ht="12" customHeight="1" x14ac:dyDescent="0.2">
      <c r="A361" s="47">
        <v>46053</v>
      </c>
      <c r="B361" s="57" t="s">
        <v>393</v>
      </c>
      <c r="C361" s="15">
        <v>38894024</v>
      </c>
      <c r="D361" s="52" t="s">
        <v>392</v>
      </c>
      <c r="E361" s="52" t="s">
        <v>99</v>
      </c>
      <c r="F361" s="52" t="s">
        <v>1191</v>
      </c>
      <c r="G361" s="52" t="s">
        <v>1192</v>
      </c>
      <c r="H361" s="3" t="s">
        <v>1193</v>
      </c>
      <c r="I361" s="61" t="s">
        <v>1190</v>
      </c>
      <c r="J361" s="15" t="s">
        <v>391</v>
      </c>
      <c r="K361" s="12" t="s">
        <v>390</v>
      </c>
      <c r="L361" s="61" t="s">
        <v>1293</v>
      </c>
      <c r="M361" s="58" t="s">
        <v>5</v>
      </c>
      <c r="N361" s="13">
        <v>150000</v>
      </c>
      <c r="O361" s="14" t="s">
        <v>396</v>
      </c>
      <c r="P361" s="15" t="s">
        <v>114</v>
      </c>
      <c r="Q361" s="3" t="s">
        <v>153</v>
      </c>
      <c r="R361" s="1" t="s">
        <v>0</v>
      </c>
      <c r="S361" s="52" t="s">
        <v>78</v>
      </c>
      <c r="T361" s="121"/>
    </row>
    <row r="362" spans="1:20" ht="12" customHeight="1" x14ac:dyDescent="0.2">
      <c r="A362" s="55">
        <v>46134</v>
      </c>
      <c r="B362" s="57" t="s">
        <v>393</v>
      </c>
      <c r="C362" s="15">
        <v>38894024</v>
      </c>
      <c r="D362" s="52" t="s">
        <v>392</v>
      </c>
      <c r="E362" s="52" t="s">
        <v>99</v>
      </c>
      <c r="F362" s="52" t="s">
        <v>1191</v>
      </c>
      <c r="G362" s="52" t="s">
        <v>1192</v>
      </c>
      <c r="H362" s="3" t="s">
        <v>1193</v>
      </c>
      <c r="I362" s="61" t="s">
        <v>1190</v>
      </c>
      <c r="J362" s="15" t="s">
        <v>391</v>
      </c>
      <c r="K362" s="12" t="s">
        <v>390</v>
      </c>
      <c r="L362" s="61" t="s">
        <v>1293</v>
      </c>
      <c r="M362" s="58" t="s">
        <v>74</v>
      </c>
      <c r="N362" s="13">
        <v>200000</v>
      </c>
      <c r="O362" s="12" t="s">
        <v>395</v>
      </c>
      <c r="P362" s="15" t="s">
        <v>114</v>
      </c>
      <c r="Q362" s="3" t="s">
        <v>153</v>
      </c>
      <c r="R362" s="1" t="s">
        <v>0</v>
      </c>
      <c r="S362" s="52" t="s">
        <v>78</v>
      </c>
      <c r="T362" s="52"/>
    </row>
    <row r="363" spans="1:20" ht="12" customHeight="1" x14ac:dyDescent="0.2">
      <c r="A363" s="55">
        <v>46134</v>
      </c>
      <c r="B363" s="57" t="s">
        <v>393</v>
      </c>
      <c r="C363" s="15">
        <v>38894024</v>
      </c>
      <c r="D363" s="52" t="s">
        <v>392</v>
      </c>
      <c r="E363" s="52" t="s">
        <v>99</v>
      </c>
      <c r="F363" s="52" t="s">
        <v>1191</v>
      </c>
      <c r="G363" s="52" t="s">
        <v>1192</v>
      </c>
      <c r="H363" s="3" t="s">
        <v>1193</v>
      </c>
      <c r="I363" s="61" t="s">
        <v>1190</v>
      </c>
      <c r="J363" s="15" t="s">
        <v>391</v>
      </c>
      <c r="K363" s="12" t="s">
        <v>390</v>
      </c>
      <c r="L363" s="61" t="s">
        <v>1293</v>
      </c>
      <c r="M363" s="58" t="s">
        <v>8</v>
      </c>
      <c r="N363" s="13">
        <v>0</v>
      </c>
      <c r="O363" s="14" t="s">
        <v>81</v>
      </c>
      <c r="P363" s="15" t="s">
        <v>68</v>
      </c>
      <c r="Q363" s="3" t="s">
        <v>153</v>
      </c>
      <c r="R363" s="1" t="s">
        <v>0</v>
      </c>
      <c r="S363" s="52" t="s">
        <v>78</v>
      </c>
      <c r="T363" s="121"/>
    </row>
    <row r="364" spans="1:20" ht="12" customHeight="1" x14ac:dyDescent="0.2">
      <c r="A364" s="55">
        <v>46134</v>
      </c>
      <c r="B364" s="57" t="s">
        <v>393</v>
      </c>
      <c r="C364" s="15">
        <v>38894024</v>
      </c>
      <c r="D364" s="52" t="s">
        <v>392</v>
      </c>
      <c r="E364" s="52" t="s">
        <v>99</v>
      </c>
      <c r="F364" s="52" t="s">
        <v>1191</v>
      </c>
      <c r="G364" s="52" t="s">
        <v>1192</v>
      </c>
      <c r="H364" s="3" t="s">
        <v>1193</v>
      </c>
      <c r="I364" s="61" t="s">
        <v>1190</v>
      </c>
      <c r="J364" s="15" t="s">
        <v>391</v>
      </c>
      <c r="K364" s="12" t="s">
        <v>390</v>
      </c>
      <c r="L364" s="61" t="s">
        <v>1293</v>
      </c>
      <c r="M364" s="58" t="s">
        <v>74</v>
      </c>
      <c r="N364" s="13">
        <v>0</v>
      </c>
      <c r="O364" s="14" t="s">
        <v>81</v>
      </c>
      <c r="P364" s="15" t="s">
        <v>68</v>
      </c>
      <c r="Q364" s="3" t="s">
        <v>153</v>
      </c>
      <c r="R364" s="1" t="s">
        <v>0</v>
      </c>
      <c r="S364" s="52" t="s">
        <v>78</v>
      </c>
      <c r="T364" s="121"/>
    </row>
    <row r="365" spans="1:20" ht="12" customHeight="1" x14ac:dyDescent="0.2">
      <c r="A365" s="60">
        <v>46148</v>
      </c>
      <c r="B365" s="57" t="s">
        <v>393</v>
      </c>
      <c r="C365" s="15">
        <v>38894024</v>
      </c>
      <c r="D365" s="52" t="s">
        <v>392</v>
      </c>
      <c r="E365" s="52" t="s">
        <v>99</v>
      </c>
      <c r="F365" s="52" t="s">
        <v>1191</v>
      </c>
      <c r="G365" s="52" t="s">
        <v>1192</v>
      </c>
      <c r="H365" s="3" t="s">
        <v>1193</v>
      </c>
      <c r="I365" s="61" t="s">
        <v>1190</v>
      </c>
      <c r="J365" s="15" t="s">
        <v>391</v>
      </c>
      <c r="K365" s="12" t="s">
        <v>390</v>
      </c>
      <c r="L365" s="61" t="s">
        <v>1293</v>
      </c>
      <c r="M365" s="58" t="s">
        <v>105</v>
      </c>
      <c r="N365" s="13">
        <v>100000</v>
      </c>
      <c r="O365" s="14" t="s">
        <v>394</v>
      </c>
      <c r="P365" s="15" t="s">
        <v>114</v>
      </c>
      <c r="Q365" s="3" t="s">
        <v>153</v>
      </c>
      <c r="R365" s="1" t="s">
        <v>0</v>
      </c>
      <c r="S365" s="52" t="s">
        <v>78</v>
      </c>
      <c r="T365" s="52"/>
    </row>
    <row r="366" spans="1:20" ht="12" customHeight="1" x14ac:dyDescent="0.2">
      <c r="A366" s="60">
        <v>46150</v>
      </c>
      <c r="B366" s="57" t="s">
        <v>393</v>
      </c>
      <c r="C366" s="15">
        <v>38894024</v>
      </c>
      <c r="D366" s="52" t="s">
        <v>392</v>
      </c>
      <c r="E366" s="52" t="s">
        <v>99</v>
      </c>
      <c r="F366" s="52" t="s">
        <v>1191</v>
      </c>
      <c r="G366" s="52" t="s">
        <v>1192</v>
      </c>
      <c r="H366" s="3" t="s">
        <v>1193</v>
      </c>
      <c r="I366" s="61" t="s">
        <v>1190</v>
      </c>
      <c r="J366" s="15" t="s">
        <v>391</v>
      </c>
      <c r="K366" s="12" t="s">
        <v>390</v>
      </c>
      <c r="L366" s="61" t="s">
        <v>1293</v>
      </c>
      <c r="M366" s="58" t="s">
        <v>74</v>
      </c>
      <c r="N366" s="13">
        <v>0</v>
      </c>
      <c r="O366" s="14" t="s">
        <v>80</v>
      </c>
      <c r="P366" s="15" t="s">
        <v>68</v>
      </c>
      <c r="Q366" s="3" t="s">
        <v>153</v>
      </c>
      <c r="R366" s="1" t="s">
        <v>0</v>
      </c>
      <c r="S366" s="52" t="s">
        <v>78</v>
      </c>
      <c r="T366" s="121"/>
    </row>
    <row r="367" spans="1:20" ht="12" customHeight="1" x14ac:dyDescent="0.2">
      <c r="A367" s="60">
        <v>46150.361354166664</v>
      </c>
      <c r="B367" s="57" t="s">
        <v>393</v>
      </c>
      <c r="C367" s="15">
        <v>38894024</v>
      </c>
      <c r="D367" s="52" t="s">
        <v>392</v>
      </c>
      <c r="E367" s="52" t="s">
        <v>99</v>
      </c>
      <c r="F367" s="52" t="s">
        <v>1191</v>
      </c>
      <c r="G367" s="52" t="s">
        <v>1192</v>
      </c>
      <c r="H367" s="3" t="s">
        <v>1193</v>
      </c>
      <c r="I367" s="61" t="s">
        <v>1190</v>
      </c>
      <c r="J367" s="15" t="s">
        <v>391</v>
      </c>
      <c r="K367" s="12" t="s">
        <v>390</v>
      </c>
      <c r="L367" s="61" t="s">
        <v>1293</v>
      </c>
      <c r="M367" s="58" t="s">
        <v>74</v>
      </c>
      <c r="N367" s="13">
        <v>0</v>
      </c>
      <c r="O367" s="14" t="s">
        <v>81</v>
      </c>
      <c r="P367" s="15" t="s">
        <v>68</v>
      </c>
      <c r="Q367" s="3" t="s">
        <v>153</v>
      </c>
      <c r="R367" s="1" t="s">
        <v>0</v>
      </c>
      <c r="S367" s="52" t="s">
        <v>78</v>
      </c>
      <c r="T367" s="121"/>
    </row>
    <row r="368" spans="1:20" ht="12" customHeight="1" x14ac:dyDescent="0.2">
      <c r="A368" s="47">
        <v>45815.920568136571</v>
      </c>
      <c r="B368" s="57" t="s">
        <v>389</v>
      </c>
      <c r="C368" s="15">
        <v>32535847</v>
      </c>
      <c r="D368" s="52" t="s">
        <v>388</v>
      </c>
      <c r="E368" s="52" t="s">
        <v>65</v>
      </c>
      <c r="F368" s="52" t="s">
        <v>110</v>
      </c>
      <c r="G368" s="52" t="s">
        <v>111</v>
      </c>
      <c r="H368" s="3" t="s">
        <v>387</v>
      </c>
      <c r="I368" s="61" t="s">
        <v>386</v>
      </c>
      <c r="J368" s="15" t="s">
        <v>385</v>
      </c>
      <c r="K368" s="12" t="s">
        <v>384</v>
      </c>
      <c r="L368" s="61" t="s">
        <v>1294</v>
      </c>
      <c r="M368" s="58" t="s">
        <v>104</v>
      </c>
      <c r="N368" s="13">
        <v>120000</v>
      </c>
      <c r="O368" s="14" t="s">
        <v>383</v>
      </c>
      <c r="P368" s="15" t="s">
        <v>106</v>
      </c>
      <c r="Q368" s="3" t="s">
        <v>153</v>
      </c>
      <c r="R368" s="1" t="s">
        <v>0</v>
      </c>
      <c r="S368" s="52" t="s">
        <v>78</v>
      </c>
      <c r="T368" s="121"/>
    </row>
    <row r="369" spans="1:20" ht="12" customHeight="1" x14ac:dyDescent="0.2">
      <c r="A369" s="47">
        <v>45800.647580810182</v>
      </c>
      <c r="B369" s="57" t="s">
        <v>1194</v>
      </c>
      <c r="C369" s="15">
        <v>38613836</v>
      </c>
      <c r="D369" s="52" t="s">
        <v>68</v>
      </c>
      <c r="E369" s="52" t="s">
        <v>381</v>
      </c>
      <c r="F369" s="52" t="s">
        <v>380</v>
      </c>
      <c r="G369" s="52" t="s">
        <v>380</v>
      </c>
      <c r="H369" s="3" t="s">
        <v>379</v>
      </c>
      <c r="I369" s="61">
        <v>1648</v>
      </c>
      <c r="J369" s="15" t="s">
        <v>1195</v>
      </c>
      <c r="K369" s="12" t="s">
        <v>378</v>
      </c>
      <c r="L369" s="61" t="s">
        <v>1295</v>
      </c>
      <c r="M369" s="58" t="s">
        <v>104</v>
      </c>
      <c r="N369" s="13">
        <v>120000</v>
      </c>
      <c r="O369" s="14" t="s">
        <v>377</v>
      </c>
      <c r="P369" s="15" t="s">
        <v>3</v>
      </c>
      <c r="Q369" s="3" t="s">
        <v>153</v>
      </c>
      <c r="R369" s="1" t="s">
        <v>0</v>
      </c>
      <c r="S369" s="52" t="s">
        <v>68</v>
      </c>
      <c r="T369" s="121"/>
    </row>
    <row r="370" spans="1:20" ht="12" customHeight="1" x14ac:dyDescent="0.2">
      <c r="A370" s="47">
        <v>46055</v>
      </c>
      <c r="B370" s="57" t="s">
        <v>376</v>
      </c>
      <c r="C370" s="15">
        <v>1053864707</v>
      </c>
      <c r="D370" s="52" t="s">
        <v>68</v>
      </c>
      <c r="E370" s="52" t="s">
        <v>65</v>
      </c>
      <c r="F370" s="52" t="s">
        <v>294</v>
      </c>
      <c r="G370" s="52" t="s">
        <v>293</v>
      </c>
      <c r="H370" s="3" t="s">
        <v>375</v>
      </c>
      <c r="I370" s="61" t="s">
        <v>1196</v>
      </c>
      <c r="J370" s="15" t="s">
        <v>374</v>
      </c>
      <c r="K370" s="12" t="s">
        <v>373</v>
      </c>
      <c r="L370" s="61">
        <v>3185027262</v>
      </c>
      <c r="M370" s="58" t="s">
        <v>5</v>
      </c>
      <c r="N370" s="13">
        <v>150000</v>
      </c>
      <c r="O370" s="14" t="s">
        <v>290</v>
      </c>
      <c r="P370" s="15" t="s">
        <v>1197</v>
      </c>
      <c r="Q370" s="3" t="s">
        <v>153</v>
      </c>
      <c r="R370" s="1" t="s">
        <v>0</v>
      </c>
      <c r="S370" s="52" t="s">
        <v>68</v>
      </c>
      <c r="T370" s="52"/>
    </row>
    <row r="371" spans="1:20" ht="12" customHeight="1" x14ac:dyDescent="0.2">
      <c r="A371" s="47">
        <v>45818</v>
      </c>
      <c r="B371" s="57" t="s">
        <v>371</v>
      </c>
      <c r="C371" s="15">
        <v>1010141206</v>
      </c>
      <c r="D371" s="52" t="s">
        <v>370</v>
      </c>
      <c r="E371" s="52" t="s">
        <v>65</v>
      </c>
      <c r="F371" s="52" t="s">
        <v>294</v>
      </c>
      <c r="G371" s="52" t="s">
        <v>293</v>
      </c>
      <c r="H371" s="3" t="s">
        <v>369</v>
      </c>
      <c r="I371" s="61">
        <v>170001</v>
      </c>
      <c r="J371" s="15" t="s">
        <v>368</v>
      </c>
      <c r="K371" s="12" t="s">
        <v>367</v>
      </c>
      <c r="L371" s="61" t="s">
        <v>1296</v>
      </c>
      <c r="M371" s="58" t="s">
        <v>4</v>
      </c>
      <c r="N371" s="13">
        <v>200000</v>
      </c>
      <c r="O371" s="14" t="s">
        <v>372</v>
      </c>
      <c r="P371" s="15" t="s">
        <v>3</v>
      </c>
      <c r="Q371" s="3" t="s">
        <v>153</v>
      </c>
      <c r="R371" s="1" t="s">
        <v>0</v>
      </c>
      <c r="S371" s="52" t="s">
        <v>78</v>
      </c>
      <c r="T371" s="121"/>
    </row>
    <row r="372" spans="1:20" ht="12" customHeight="1" x14ac:dyDescent="0.2">
      <c r="A372" s="47">
        <v>45827</v>
      </c>
      <c r="B372" s="57" t="s">
        <v>371</v>
      </c>
      <c r="C372" s="15">
        <v>1010141206</v>
      </c>
      <c r="D372" s="52" t="s">
        <v>370</v>
      </c>
      <c r="E372" s="52" t="s">
        <v>65</v>
      </c>
      <c r="F372" s="52" t="s">
        <v>294</v>
      </c>
      <c r="G372" s="52" t="s">
        <v>293</v>
      </c>
      <c r="H372" s="3" t="s">
        <v>369</v>
      </c>
      <c r="I372" s="61">
        <v>170001</v>
      </c>
      <c r="J372" s="15" t="s">
        <v>368</v>
      </c>
      <c r="K372" s="12" t="s">
        <v>367</v>
      </c>
      <c r="L372" s="61" t="s">
        <v>1296</v>
      </c>
      <c r="M372" s="58" t="s">
        <v>4</v>
      </c>
      <c r="N372" s="13">
        <v>200000</v>
      </c>
      <c r="O372" s="14" t="s">
        <v>366</v>
      </c>
      <c r="P372" s="15" t="s">
        <v>3</v>
      </c>
      <c r="Q372" s="3" t="s">
        <v>153</v>
      </c>
      <c r="R372" s="1" t="s">
        <v>0</v>
      </c>
      <c r="S372" s="52" t="s">
        <v>78</v>
      </c>
      <c r="T372" s="121"/>
    </row>
    <row r="373" spans="1:20" ht="12" customHeight="1" x14ac:dyDescent="0.2">
      <c r="A373" s="47">
        <v>45907</v>
      </c>
      <c r="B373" s="57" t="s">
        <v>353</v>
      </c>
      <c r="C373" s="15">
        <v>30346524</v>
      </c>
      <c r="D373" s="52" t="s">
        <v>1328</v>
      </c>
      <c r="E373" s="52" t="s">
        <v>65</v>
      </c>
      <c r="F373" s="52" t="s">
        <v>294</v>
      </c>
      <c r="G373" s="52" t="s">
        <v>352</v>
      </c>
      <c r="H373" s="3" t="s">
        <v>1198</v>
      </c>
      <c r="I373" s="61">
        <v>175030</v>
      </c>
      <c r="J373" s="15" t="s">
        <v>351</v>
      </c>
      <c r="K373" s="12" t="s">
        <v>350</v>
      </c>
      <c r="L373" s="61" t="s">
        <v>1297</v>
      </c>
      <c r="M373" s="58" t="s">
        <v>84</v>
      </c>
      <c r="N373" s="13">
        <v>120000</v>
      </c>
      <c r="O373" s="14" t="s">
        <v>365</v>
      </c>
      <c r="P373" s="15" t="s">
        <v>3</v>
      </c>
      <c r="Q373" s="3" t="s">
        <v>153</v>
      </c>
      <c r="R373" s="1" t="s">
        <v>0</v>
      </c>
      <c r="S373" s="52" t="s">
        <v>78</v>
      </c>
      <c r="T373" s="121"/>
    </row>
    <row r="374" spans="1:20" ht="12" customHeight="1" x14ac:dyDescent="0.2">
      <c r="A374" s="47">
        <v>45972</v>
      </c>
      <c r="B374" s="57" t="s">
        <v>353</v>
      </c>
      <c r="C374" s="15">
        <v>30346524</v>
      </c>
      <c r="D374" s="52" t="s">
        <v>1328</v>
      </c>
      <c r="E374" s="52" t="s">
        <v>65</v>
      </c>
      <c r="F374" s="52" t="s">
        <v>294</v>
      </c>
      <c r="G374" s="52" t="s">
        <v>352</v>
      </c>
      <c r="H374" s="3" t="s">
        <v>1198</v>
      </c>
      <c r="I374" s="61">
        <v>175030</v>
      </c>
      <c r="J374" s="15" t="s">
        <v>351</v>
      </c>
      <c r="K374" s="12" t="s">
        <v>350</v>
      </c>
      <c r="L374" s="61" t="s">
        <v>1297</v>
      </c>
      <c r="M374" s="58" t="s">
        <v>2</v>
      </c>
      <c r="N374" s="13">
        <v>100000</v>
      </c>
      <c r="O374" s="14" t="s">
        <v>364</v>
      </c>
      <c r="P374" s="15" t="s">
        <v>3</v>
      </c>
      <c r="Q374" s="3" t="s">
        <v>153</v>
      </c>
      <c r="R374" s="1" t="s">
        <v>0</v>
      </c>
      <c r="S374" s="52" t="s">
        <v>78</v>
      </c>
      <c r="T374" s="121"/>
    </row>
    <row r="375" spans="1:20" ht="12" customHeight="1" x14ac:dyDescent="0.2">
      <c r="A375" s="47">
        <v>45998</v>
      </c>
      <c r="B375" s="57" t="s">
        <v>353</v>
      </c>
      <c r="C375" s="15">
        <v>30346524</v>
      </c>
      <c r="D375" s="52" t="s">
        <v>1328</v>
      </c>
      <c r="E375" s="52" t="s">
        <v>65</v>
      </c>
      <c r="F375" s="52" t="s">
        <v>294</v>
      </c>
      <c r="G375" s="52" t="s">
        <v>352</v>
      </c>
      <c r="H375" s="3" t="s">
        <v>1198</v>
      </c>
      <c r="I375" s="61">
        <v>175030</v>
      </c>
      <c r="J375" s="15" t="s">
        <v>351</v>
      </c>
      <c r="K375" s="12" t="s">
        <v>350</v>
      </c>
      <c r="L375" s="61" t="s">
        <v>1297</v>
      </c>
      <c r="M375" s="127" t="s">
        <v>113</v>
      </c>
      <c r="N375" s="100">
        <v>100000</v>
      </c>
      <c r="O375" s="101" t="s">
        <v>363</v>
      </c>
      <c r="P375" s="15" t="s">
        <v>3</v>
      </c>
      <c r="Q375" s="3" t="s">
        <v>153</v>
      </c>
      <c r="R375" s="1" t="s">
        <v>0</v>
      </c>
      <c r="S375" s="52" t="s">
        <v>78</v>
      </c>
      <c r="T375" s="121"/>
    </row>
    <row r="376" spans="1:20" ht="12" customHeight="1" x14ac:dyDescent="0.2">
      <c r="A376" s="47">
        <v>46003</v>
      </c>
      <c r="B376" s="57" t="s">
        <v>353</v>
      </c>
      <c r="C376" s="15">
        <v>30346524</v>
      </c>
      <c r="D376" s="52" t="s">
        <v>1328</v>
      </c>
      <c r="E376" s="52" t="s">
        <v>65</v>
      </c>
      <c r="F376" s="52" t="s">
        <v>294</v>
      </c>
      <c r="G376" s="52" t="s">
        <v>352</v>
      </c>
      <c r="H376" s="3" t="s">
        <v>1198</v>
      </c>
      <c r="I376" s="61">
        <v>175030</v>
      </c>
      <c r="J376" s="15" t="s">
        <v>351</v>
      </c>
      <c r="K376" s="12" t="s">
        <v>350</v>
      </c>
      <c r="L376" s="61" t="s">
        <v>1297</v>
      </c>
      <c r="M376" s="127" t="s">
        <v>112</v>
      </c>
      <c r="N376" s="100">
        <v>300000</v>
      </c>
      <c r="O376" s="101" t="s">
        <v>362</v>
      </c>
      <c r="P376" s="15" t="s">
        <v>3</v>
      </c>
      <c r="Q376" s="3" t="s">
        <v>153</v>
      </c>
      <c r="R376" s="1" t="s">
        <v>0</v>
      </c>
      <c r="S376" s="52" t="s">
        <v>78</v>
      </c>
      <c r="T376" s="121"/>
    </row>
    <row r="377" spans="1:20" ht="12" customHeight="1" x14ac:dyDescent="0.2">
      <c r="A377" s="60">
        <v>46015</v>
      </c>
      <c r="B377" s="57" t="s">
        <v>353</v>
      </c>
      <c r="C377" s="15">
        <v>30346524</v>
      </c>
      <c r="D377" s="52" t="s">
        <v>1328</v>
      </c>
      <c r="E377" s="52" t="s">
        <v>65</v>
      </c>
      <c r="F377" s="52" t="s">
        <v>294</v>
      </c>
      <c r="G377" s="52" t="s">
        <v>352</v>
      </c>
      <c r="H377" s="3" t="s">
        <v>1198</v>
      </c>
      <c r="I377" s="61">
        <v>175030</v>
      </c>
      <c r="J377" s="15" t="s">
        <v>351</v>
      </c>
      <c r="K377" s="12" t="s">
        <v>350</v>
      </c>
      <c r="L377" s="61" t="s">
        <v>1297</v>
      </c>
      <c r="M377" s="58" t="s">
        <v>360</v>
      </c>
      <c r="N377" s="13">
        <v>0</v>
      </c>
      <c r="O377" s="14" t="s">
        <v>359</v>
      </c>
      <c r="P377" s="15" t="s">
        <v>358</v>
      </c>
      <c r="Q377" s="3" t="s">
        <v>153</v>
      </c>
      <c r="R377" s="1" t="s">
        <v>0</v>
      </c>
      <c r="S377" s="52" t="s">
        <v>78</v>
      </c>
      <c r="T377" s="121"/>
    </row>
    <row r="378" spans="1:20" ht="12" customHeight="1" x14ac:dyDescent="0.2">
      <c r="A378" s="60">
        <v>46057</v>
      </c>
      <c r="B378" s="57" t="s">
        <v>353</v>
      </c>
      <c r="C378" s="15">
        <v>30346524</v>
      </c>
      <c r="D378" s="52" t="s">
        <v>1328</v>
      </c>
      <c r="E378" s="52" t="s">
        <v>65</v>
      </c>
      <c r="F378" s="52" t="s">
        <v>294</v>
      </c>
      <c r="G378" s="52" t="s">
        <v>352</v>
      </c>
      <c r="H378" s="3" t="s">
        <v>1198</v>
      </c>
      <c r="I378" s="61">
        <v>175030</v>
      </c>
      <c r="J378" s="15" t="s">
        <v>351</v>
      </c>
      <c r="K378" s="12" t="s">
        <v>350</v>
      </c>
      <c r="L378" s="61" t="s">
        <v>1297</v>
      </c>
      <c r="M378" s="58" t="s">
        <v>85</v>
      </c>
      <c r="N378" s="13">
        <v>500000</v>
      </c>
      <c r="O378" s="14" t="s">
        <v>357</v>
      </c>
      <c r="P378" s="15" t="s">
        <v>53</v>
      </c>
      <c r="Q378" s="3" t="s">
        <v>153</v>
      </c>
      <c r="R378" s="1" t="s">
        <v>0</v>
      </c>
      <c r="S378" s="52" t="s">
        <v>78</v>
      </c>
      <c r="T378" s="121"/>
    </row>
    <row r="379" spans="1:20" ht="12" customHeight="1" x14ac:dyDescent="0.2">
      <c r="A379" s="60">
        <v>46059</v>
      </c>
      <c r="B379" s="57" t="s">
        <v>353</v>
      </c>
      <c r="C379" s="15">
        <v>30346524</v>
      </c>
      <c r="D379" s="52" t="s">
        <v>1328</v>
      </c>
      <c r="E379" s="52" t="s">
        <v>65</v>
      </c>
      <c r="F379" s="52" t="s">
        <v>294</v>
      </c>
      <c r="G379" s="52" t="s">
        <v>352</v>
      </c>
      <c r="H379" s="3" t="s">
        <v>1198</v>
      </c>
      <c r="I379" s="61">
        <v>175030</v>
      </c>
      <c r="J379" s="15" t="s">
        <v>351</v>
      </c>
      <c r="K379" s="12" t="s">
        <v>350</v>
      </c>
      <c r="L379" s="61" t="s">
        <v>1297</v>
      </c>
      <c r="M379" s="58" t="s">
        <v>243</v>
      </c>
      <c r="N379" s="13">
        <v>450000</v>
      </c>
      <c r="O379" s="14" t="s">
        <v>356</v>
      </c>
      <c r="P379" s="15" t="s">
        <v>53</v>
      </c>
      <c r="Q379" s="3" t="s">
        <v>153</v>
      </c>
      <c r="R379" s="1" t="s">
        <v>0</v>
      </c>
      <c r="S379" s="52" t="s">
        <v>78</v>
      </c>
      <c r="T379" s="121"/>
    </row>
    <row r="380" spans="1:20" ht="12" customHeight="1" x14ac:dyDescent="0.2">
      <c r="A380" s="60">
        <v>46106</v>
      </c>
      <c r="B380" s="57" t="s">
        <v>353</v>
      </c>
      <c r="C380" s="15">
        <v>30346524</v>
      </c>
      <c r="D380" s="52" t="s">
        <v>1328</v>
      </c>
      <c r="E380" s="52" t="s">
        <v>65</v>
      </c>
      <c r="F380" s="52" t="s">
        <v>294</v>
      </c>
      <c r="G380" s="52" t="s">
        <v>352</v>
      </c>
      <c r="H380" s="3" t="s">
        <v>1198</v>
      </c>
      <c r="I380" s="61">
        <v>175030</v>
      </c>
      <c r="J380" s="15" t="s">
        <v>351</v>
      </c>
      <c r="K380" s="12" t="s">
        <v>350</v>
      </c>
      <c r="L380" s="61" t="s">
        <v>1297</v>
      </c>
      <c r="M380" s="58" t="s">
        <v>355</v>
      </c>
      <c r="N380" s="13">
        <v>200000</v>
      </c>
      <c r="O380" s="12">
        <v>616602</v>
      </c>
      <c r="P380" s="15" t="s">
        <v>53</v>
      </c>
      <c r="Q380" s="3" t="s">
        <v>153</v>
      </c>
      <c r="R380" s="1" t="s">
        <v>0</v>
      </c>
      <c r="S380" s="52" t="s">
        <v>78</v>
      </c>
      <c r="T380" s="121"/>
    </row>
    <row r="381" spans="1:20" ht="12" customHeight="1" x14ac:dyDescent="0.2">
      <c r="A381" s="60">
        <v>46128</v>
      </c>
      <c r="B381" s="57" t="s">
        <v>353</v>
      </c>
      <c r="C381" s="15">
        <v>30346524</v>
      </c>
      <c r="D381" s="52" t="s">
        <v>1328</v>
      </c>
      <c r="E381" s="52" t="s">
        <v>65</v>
      </c>
      <c r="F381" s="52" t="s">
        <v>294</v>
      </c>
      <c r="G381" s="52" t="s">
        <v>352</v>
      </c>
      <c r="H381" s="3" t="s">
        <v>1198</v>
      </c>
      <c r="I381" s="61">
        <v>175030</v>
      </c>
      <c r="J381" s="15" t="s">
        <v>351</v>
      </c>
      <c r="K381" s="12" t="s">
        <v>350</v>
      </c>
      <c r="L381" s="61" t="s">
        <v>1297</v>
      </c>
      <c r="M381" s="58" t="s">
        <v>2</v>
      </c>
      <c r="N381" s="13">
        <v>100000</v>
      </c>
      <c r="O381" s="14" t="s">
        <v>354</v>
      </c>
      <c r="P381" s="62" t="s">
        <v>3</v>
      </c>
      <c r="Q381" s="3" t="s">
        <v>153</v>
      </c>
      <c r="R381" s="1" t="s">
        <v>0</v>
      </c>
      <c r="S381" s="52" t="s">
        <v>78</v>
      </c>
      <c r="T381" s="121"/>
    </row>
    <row r="382" spans="1:20" ht="12" customHeight="1" x14ac:dyDescent="0.2">
      <c r="A382" s="60">
        <v>46128</v>
      </c>
      <c r="B382" s="57" t="s">
        <v>353</v>
      </c>
      <c r="C382" s="15">
        <v>30346524</v>
      </c>
      <c r="D382" s="52" t="s">
        <v>1328</v>
      </c>
      <c r="E382" s="52" t="s">
        <v>65</v>
      </c>
      <c r="F382" s="52" t="s">
        <v>294</v>
      </c>
      <c r="G382" s="52" t="s">
        <v>352</v>
      </c>
      <c r="H382" s="3" t="s">
        <v>1198</v>
      </c>
      <c r="I382" s="61">
        <v>175030</v>
      </c>
      <c r="J382" s="15" t="s">
        <v>351</v>
      </c>
      <c r="K382" s="12" t="s">
        <v>350</v>
      </c>
      <c r="L382" s="61" t="s">
        <v>1297</v>
      </c>
      <c r="M382" s="125" t="s">
        <v>84</v>
      </c>
      <c r="N382" s="13">
        <v>0</v>
      </c>
      <c r="O382" s="14" t="s">
        <v>81</v>
      </c>
      <c r="P382" s="15" t="s">
        <v>68</v>
      </c>
      <c r="Q382" s="3" t="s">
        <v>153</v>
      </c>
      <c r="R382" s="1" t="s">
        <v>0</v>
      </c>
      <c r="S382" s="52" t="s">
        <v>78</v>
      </c>
      <c r="T382" s="121"/>
    </row>
    <row r="383" spans="1:20" ht="12" customHeight="1" x14ac:dyDescent="0.2">
      <c r="A383" s="60">
        <v>46140</v>
      </c>
      <c r="B383" s="57" t="s">
        <v>353</v>
      </c>
      <c r="C383" s="15">
        <v>30346524</v>
      </c>
      <c r="D383" s="52" t="s">
        <v>1328</v>
      </c>
      <c r="E383" s="52" t="s">
        <v>65</v>
      </c>
      <c r="F383" s="52" t="s">
        <v>294</v>
      </c>
      <c r="G383" s="52" t="s">
        <v>352</v>
      </c>
      <c r="H383" s="3" t="s">
        <v>1198</v>
      </c>
      <c r="I383" s="61">
        <v>175030</v>
      </c>
      <c r="J383" s="15" t="s">
        <v>351</v>
      </c>
      <c r="K383" s="12" t="s">
        <v>350</v>
      </c>
      <c r="L383" s="61" t="s">
        <v>1297</v>
      </c>
      <c r="M383" s="58" t="s">
        <v>105</v>
      </c>
      <c r="N383" s="13">
        <v>100000</v>
      </c>
      <c r="O383" s="12">
        <v>804589</v>
      </c>
      <c r="P383" s="15" t="s">
        <v>53</v>
      </c>
      <c r="Q383" s="3" t="s">
        <v>153</v>
      </c>
      <c r="R383" s="1" t="s">
        <v>0</v>
      </c>
      <c r="S383" s="52" t="s">
        <v>78</v>
      </c>
      <c r="T383" s="52"/>
    </row>
    <row r="384" spans="1:20" ht="12" customHeight="1" x14ac:dyDescent="0.2">
      <c r="A384" s="60">
        <v>46140</v>
      </c>
      <c r="B384" s="57" t="s">
        <v>353</v>
      </c>
      <c r="C384" s="15">
        <v>30346524</v>
      </c>
      <c r="D384" s="52" t="s">
        <v>1328</v>
      </c>
      <c r="E384" s="52" t="s">
        <v>65</v>
      </c>
      <c r="F384" s="52" t="s">
        <v>294</v>
      </c>
      <c r="G384" s="52" t="s">
        <v>352</v>
      </c>
      <c r="H384" s="3" t="s">
        <v>1198</v>
      </c>
      <c r="I384" s="61">
        <v>175030</v>
      </c>
      <c r="J384" s="15" t="s">
        <v>351</v>
      </c>
      <c r="K384" s="12" t="s">
        <v>350</v>
      </c>
      <c r="L384" s="61" t="s">
        <v>1297</v>
      </c>
      <c r="M384" s="58" t="s">
        <v>79</v>
      </c>
      <c r="N384" s="13">
        <v>0</v>
      </c>
      <c r="O384" s="14" t="s">
        <v>81</v>
      </c>
      <c r="P384" s="15" t="s">
        <v>68</v>
      </c>
      <c r="Q384" s="3" t="s">
        <v>153</v>
      </c>
      <c r="R384" s="1" t="s">
        <v>0</v>
      </c>
      <c r="S384" s="52" t="s">
        <v>78</v>
      </c>
      <c r="T384" s="121"/>
    </row>
    <row r="385" spans="1:20" ht="12" customHeight="1" x14ac:dyDescent="0.2">
      <c r="A385" s="172">
        <v>46174</v>
      </c>
      <c r="B385" s="173" t="s">
        <v>353</v>
      </c>
      <c r="C385" s="15">
        <v>30346524</v>
      </c>
      <c r="D385" s="52" t="s">
        <v>1328</v>
      </c>
      <c r="E385" s="52" t="s">
        <v>65</v>
      </c>
      <c r="F385" s="52" t="s">
        <v>294</v>
      </c>
      <c r="G385" s="52" t="s">
        <v>352</v>
      </c>
      <c r="H385" s="3" t="s">
        <v>1329</v>
      </c>
      <c r="I385" s="61">
        <v>175030</v>
      </c>
      <c r="J385" s="15" t="s">
        <v>351</v>
      </c>
      <c r="K385" s="12" t="s">
        <v>350</v>
      </c>
      <c r="L385" s="61" t="s">
        <v>1297</v>
      </c>
      <c r="M385" s="145" t="s">
        <v>104</v>
      </c>
      <c r="N385">
        <v>100000</v>
      </c>
      <c r="O385" t="s">
        <v>1341</v>
      </c>
      <c r="P385" s="106" t="s">
        <v>1351</v>
      </c>
      <c r="Q385" s="3" t="s">
        <v>153</v>
      </c>
      <c r="R385" s="1" t="s">
        <v>0</v>
      </c>
      <c r="S385" s="52" t="s">
        <v>78</v>
      </c>
    </row>
    <row r="386" spans="1:20" ht="12" customHeight="1" x14ac:dyDescent="0.2">
      <c r="A386" s="172">
        <v>46192</v>
      </c>
      <c r="B386" s="173" t="s">
        <v>353</v>
      </c>
      <c r="C386" s="15">
        <v>30346524</v>
      </c>
      <c r="D386" s="52" t="s">
        <v>1328</v>
      </c>
      <c r="E386" s="52" t="s">
        <v>65</v>
      </c>
      <c r="F386" s="52" t="s">
        <v>294</v>
      </c>
      <c r="G386" s="52" t="s">
        <v>352</v>
      </c>
      <c r="H386" s="3" t="s">
        <v>1329</v>
      </c>
      <c r="I386" s="61">
        <v>175030</v>
      </c>
      <c r="J386" s="15" t="s">
        <v>351</v>
      </c>
      <c r="K386" s="12" t="s">
        <v>350</v>
      </c>
      <c r="L386" s="61" t="s">
        <v>1297</v>
      </c>
      <c r="M386" s="145" t="s">
        <v>104</v>
      </c>
      <c r="N386">
        <v>100000</v>
      </c>
      <c r="O386" t="s">
        <v>1342</v>
      </c>
      <c r="P386" s="106" t="s">
        <v>3</v>
      </c>
      <c r="Q386" s="3" t="s">
        <v>153</v>
      </c>
      <c r="R386" s="1" t="s">
        <v>0</v>
      </c>
      <c r="S386" s="52" t="s">
        <v>78</v>
      </c>
    </row>
    <row r="387" spans="1:20" ht="12" customHeight="1" x14ac:dyDescent="0.2">
      <c r="A387" s="172">
        <v>46214</v>
      </c>
      <c r="B387" s="173" t="s">
        <v>353</v>
      </c>
      <c r="C387" s="15">
        <v>30346524</v>
      </c>
      <c r="D387" s="52" t="s">
        <v>1328</v>
      </c>
      <c r="E387" s="52" t="s">
        <v>65</v>
      </c>
      <c r="F387" s="52" t="s">
        <v>294</v>
      </c>
      <c r="G387" s="52" t="s">
        <v>352</v>
      </c>
      <c r="H387" s="3" t="s">
        <v>1329</v>
      </c>
      <c r="I387" s="61">
        <v>175030</v>
      </c>
      <c r="J387" s="15" t="s">
        <v>351</v>
      </c>
      <c r="K387" s="12" t="s">
        <v>350</v>
      </c>
      <c r="L387" s="61" t="s">
        <v>1297</v>
      </c>
      <c r="M387" s="145" t="s">
        <v>5</v>
      </c>
      <c r="N387">
        <v>120000</v>
      </c>
      <c r="O387" t="s">
        <v>1345</v>
      </c>
      <c r="P387" s="106" t="s">
        <v>3</v>
      </c>
      <c r="Q387" s="3" t="s">
        <v>153</v>
      </c>
      <c r="R387" s="1" t="s">
        <v>0</v>
      </c>
      <c r="S387" s="52" t="s">
        <v>78</v>
      </c>
    </row>
    <row r="388" spans="1:20" ht="12" customHeight="1" x14ac:dyDescent="0.2">
      <c r="A388" s="172">
        <v>46227</v>
      </c>
      <c r="B388" s="173" t="s">
        <v>353</v>
      </c>
      <c r="C388" s="15">
        <v>30346524</v>
      </c>
      <c r="D388" s="52" t="s">
        <v>1328</v>
      </c>
      <c r="E388" s="52" t="s">
        <v>65</v>
      </c>
      <c r="F388" s="52" t="s">
        <v>294</v>
      </c>
      <c r="G388" s="52" t="s">
        <v>352</v>
      </c>
      <c r="H388" s="3" t="s">
        <v>1329</v>
      </c>
      <c r="I388" s="61">
        <v>175030</v>
      </c>
      <c r="J388" s="15" t="s">
        <v>351</v>
      </c>
      <c r="K388" s="12" t="s">
        <v>350</v>
      </c>
      <c r="L388" s="61" t="s">
        <v>1297</v>
      </c>
      <c r="M388" s="145" t="s">
        <v>1336</v>
      </c>
      <c r="N388">
        <v>60000</v>
      </c>
      <c r="O388" t="s">
        <v>1346</v>
      </c>
      <c r="P388" s="106" t="s">
        <v>3</v>
      </c>
      <c r="Q388" s="3" t="s">
        <v>153</v>
      </c>
      <c r="R388" s="1" t="s">
        <v>0</v>
      </c>
      <c r="S388" s="52" t="s">
        <v>78</v>
      </c>
    </row>
    <row r="389" spans="1:20" ht="12" customHeight="1" x14ac:dyDescent="0.2">
      <c r="A389" s="172">
        <v>46235</v>
      </c>
      <c r="B389" s="173" t="s">
        <v>353</v>
      </c>
      <c r="C389" s="15">
        <v>30346524</v>
      </c>
      <c r="D389" s="52" t="s">
        <v>1328</v>
      </c>
      <c r="E389" s="52" t="s">
        <v>65</v>
      </c>
      <c r="F389" s="52" t="s">
        <v>294</v>
      </c>
      <c r="G389" s="52" t="s">
        <v>352</v>
      </c>
      <c r="H389" s="3" t="s">
        <v>1329</v>
      </c>
      <c r="I389" s="61">
        <v>175030</v>
      </c>
      <c r="J389" s="15" t="s">
        <v>351</v>
      </c>
      <c r="K389" s="12" t="s">
        <v>350</v>
      </c>
      <c r="L389" s="61" t="s">
        <v>1297</v>
      </c>
      <c r="M389" s="145" t="s">
        <v>5</v>
      </c>
      <c r="N389">
        <v>120000</v>
      </c>
      <c r="O389" t="s">
        <v>1348</v>
      </c>
      <c r="P389" s="106" t="s">
        <v>3</v>
      </c>
      <c r="Q389" s="3" t="s">
        <v>153</v>
      </c>
      <c r="R389" s="1" t="s">
        <v>0</v>
      </c>
      <c r="S389" s="52" t="s">
        <v>78</v>
      </c>
    </row>
    <row r="390" spans="1:20" ht="12" customHeight="1" x14ac:dyDescent="0.2">
      <c r="A390" s="60">
        <v>46246</v>
      </c>
      <c r="B390" s="57" t="s">
        <v>353</v>
      </c>
      <c r="C390" s="15">
        <v>30346524</v>
      </c>
      <c r="D390" s="52" t="s">
        <v>1328</v>
      </c>
      <c r="E390" s="52" t="s">
        <v>65</v>
      </c>
      <c r="F390" s="52" t="s">
        <v>294</v>
      </c>
      <c r="G390" s="52" t="s">
        <v>352</v>
      </c>
      <c r="H390" s="3" t="s">
        <v>1329</v>
      </c>
      <c r="I390" s="61">
        <v>175030</v>
      </c>
      <c r="J390" s="15" t="s">
        <v>351</v>
      </c>
      <c r="K390" s="12" t="s">
        <v>350</v>
      </c>
      <c r="L390" s="61" t="s">
        <v>1297</v>
      </c>
      <c r="M390" s="58" t="s">
        <v>1356</v>
      </c>
      <c r="N390" s="13">
        <v>250000</v>
      </c>
      <c r="O390" s="14" t="s">
        <v>1354</v>
      </c>
      <c r="P390" s="15" t="s">
        <v>3</v>
      </c>
      <c r="Q390" s="3" t="s">
        <v>153</v>
      </c>
      <c r="R390" s="1" t="s">
        <v>0</v>
      </c>
      <c r="S390" s="52" t="s">
        <v>78</v>
      </c>
      <c r="T390" s="59"/>
    </row>
    <row r="391" spans="1:20" ht="12" customHeight="1" x14ac:dyDescent="0.2">
      <c r="A391" s="135">
        <v>46281</v>
      </c>
      <c r="B391" s="57" t="s">
        <v>353</v>
      </c>
      <c r="C391" s="15">
        <v>30346524</v>
      </c>
      <c r="D391" s="52" t="s">
        <v>1328</v>
      </c>
      <c r="E391" s="52" t="s">
        <v>65</v>
      </c>
      <c r="F391" s="52" t="s">
        <v>294</v>
      </c>
      <c r="G391" s="52" t="s">
        <v>352</v>
      </c>
      <c r="H391" s="3" t="s">
        <v>1329</v>
      </c>
      <c r="I391" s="61">
        <v>175030</v>
      </c>
      <c r="J391" s="15" t="s">
        <v>351</v>
      </c>
      <c r="K391" s="12" t="s">
        <v>350</v>
      </c>
      <c r="L391" s="61" t="s">
        <v>1297</v>
      </c>
      <c r="M391" s="58" t="s">
        <v>746</v>
      </c>
      <c r="N391" s="13">
        <v>300000</v>
      </c>
      <c r="O391" s="14" t="s">
        <v>1381</v>
      </c>
      <c r="P391" s="15" t="s">
        <v>3</v>
      </c>
      <c r="Q391" s="3" t="s">
        <v>153</v>
      </c>
      <c r="R391" s="1" t="s">
        <v>0</v>
      </c>
      <c r="S391" s="52" t="s">
        <v>78</v>
      </c>
    </row>
    <row r="392" spans="1:20" ht="12" customHeight="1" x14ac:dyDescent="0.2">
      <c r="A392" s="60">
        <v>46053</v>
      </c>
      <c r="B392" s="57" t="s">
        <v>344</v>
      </c>
      <c r="C392" s="15">
        <v>91267483</v>
      </c>
      <c r="D392" s="52" t="s">
        <v>343</v>
      </c>
      <c r="E392" s="52" t="s">
        <v>65</v>
      </c>
      <c r="F392" s="52" t="s">
        <v>72</v>
      </c>
      <c r="G392" s="52" t="s">
        <v>1361</v>
      </c>
      <c r="H392" s="3" t="s">
        <v>342</v>
      </c>
      <c r="I392" s="61">
        <v>110931</v>
      </c>
      <c r="J392" s="15" t="s">
        <v>341</v>
      </c>
      <c r="K392" s="12" t="s">
        <v>340</v>
      </c>
      <c r="L392" s="61" t="s">
        <v>1298</v>
      </c>
      <c r="M392" s="58" t="s">
        <v>85</v>
      </c>
      <c r="N392" s="13">
        <v>500000</v>
      </c>
      <c r="O392" s="14" t="s">
        <v>349</v>
      </c>
      <c r="P392" s="107" t="s">
        <v>348</v>
      </c>
      <c r="Q392" s="3" t="s">
        <v>153</v>
      </c>
      <c r="R392" s="1" t="s">
        <v>0</v>
      </c>
      <c r="S392" s="52" t="s">
        <v>78</v>
      </c>
      <c r="T392" s="121"/>
    </row>
    <row r="393" spans="1:20" ht="12" customHeight="1" x14ac:dyDescent="0.2">
      <c r="A393" s="60">
        <v>46053</v>
      </c>
      <c r="B393" s="57" t="s">
        <v>344</v>
      </c>
      <c r="C393" s="15">
        <v>91267483</v>
      </c>
      <c r="D393" s="52" t="s">
        <v>343</v>
      </c>
      <c r="E393" s="52" t="s">
        <v>65</v>
      </c>
      <c r="F393" s="52" t="s">
        <v>72</v>
      </c>
      <c r="G393" s="52" t="s">
        <v>1361</v>
      </c>
      <c r="H393" s="3" t="s">
        <v>342</v>
      </c>
      <c r="I393" s="61">
        <v>110931</v>
      </c>
      <c r="J393" s="15" t="s">
        <v>341</v>
      </c>
      <c r="K393" s="12" t="s">
        <v>340</v>
      </c>
      <c r="L393" s="61" t="s">
        <v>1298</v>
      </c>
      <c r="M393" s="58" t="s">
        <v>5</v>
      </c>
      <c r="N393" s="13">
        <v>150000</v>
      </c>
      <c r="O393" s="14" t="s">
        <v>349</v>
      </c>
      <c r="P393" s="107" t="s">
        <v>348</v>
      </c>
      <c r="Q393" s="3" t="s">
        <v>153</v>
      </c>
      <c r="R393" s="1" t="s">
        <v>0</v>
      </c>
      <c r="S393" s="52" t="s">
        <v>78</v>
      </c>
      <c r="T393" s="121"/>
    </row>
    <row r="394" spans="1:20" ht="12" customHeight="1" x14ac:dyDescent="0.2">
      <c r="A394" s="60">
        <v>46083</v>
      </c>
      <c r="B394" s="57" t="s">
        <v>344</v>
      </c>
      <c r="C394" s="15">
        <v>91267483</v>
      </c>
      <c r="D394" s="52" t="s">
        <v>343</v>
      </c>
      <c r="E394" s="52" t="s">
        <v>65</v>
      </c>
      <c r="F394" s="52" t="s">
        <v>72</v>
      </c>
      <c r="G394" s="52" t="s">
        <v>1361</v>
      </c>
      <c r="H394" s="3" t="s">
        <v>342</v>
      </c>
      <c r="I394" s="61">
        <v>110931</v>
      </c>
      <c r="J394" s="15" t="s">
        <v>341</v>
      </c>
      <c r="K394" s="12" t="s">
        <v>340</v>
      </c>
      <c r="L394" s="61" t="s">
        <v>1298</v>
      </c>
      <c r="M394" s="58" t="s">
        <v>85</v>
      </c>
      <c r="N394" s="13">
        <v>500000</v>
      </c>
      <c r="O394" s="14" t="s">
        <v>347</v>
      </c>
      <c r="P394" s="15" t="s">
        <v>123</v>
      </c>
      <c r="Q394" s="3" t="s">
        <v>153</v>
      </c>
      <c r="R394" s="1" t="s">
        <v>0</v>
      </c>
      <c r="S394" s="52" t="s">
        <v>78</v>
      </c>
      <c r="T394" s="121"/>
    </row>
    <row r="395" spans="1:20" ht="12" customHeight="1" x14ac:dyDescent="0.2">
      <c r="A395" s="60">
        <v>46111</v>
      </c>
      <c r="B395" s="57" t="s">
        <v>344</v>
      </c>
      <c r="C395" s="15">
        <v>91267483</v>
      </c>
      <c r="D395" s="52" t="s">
        <v>343</v>
      </c>
      <c r="E395" s="52" t="s">
        <v>65</v>
      </c>
      <c r="F395" s="52" t="s">
        <v>72</v>
      </c>
      <c r="G395" s="52" t="s">
        <v>1361</v>
      </c>
      <c r="H395" s="3" t="s">
        <v>342</v>
      </c>
      <c r="I395" s="61">
        <v>110931</v>
      </c>
      <c r="J395" s="15" t="s">
        <v>341</v>
      </c>
      <c r="K395" s="12" t="s">
        <v>340</v>
      </c>
      <c r="L395" s="61" t="s">
        <v>1298</v>
      </c>
      <c r="M395" s="58" t="s">
        <v>49</v>
      </c>
      <c r="N395" s="13">
        <v>1000000</v>
      </c>
      <c r="O395" s="12" t="s">
        <v>346</v>
      </c>
      <c r="P395" s="15" t="s">
        <v>123</v>
      </c>
      <c r="Q395" s="3" t="s">
        <v>153</v>
      </c>
      <c r="R395" s="1" t="s">
        <v>0</v>
      </c>
      <c r="S395" s="52" t="s">
        <v>78</v>
      </c>
      <c r="T395" s="121"/>
    </row>
    <row r="396" spans="1:20" ht="12" customHeight="1" x14ac:dyDescent="0.2">
      <c r="A396" s="60">
        <v>46130</v>
      </c>
      <c r="B396" s="57" t="s">
        <v>344</v>
      </c>
      <c r="C396" s="15">
        <v>91267483</v>
      </c>
      <c r="D396" s="52" t="s">
        <v>343</v>
      </c>
      <c r="E396" s="52" t="s">
        <v>65</v>
      </c>
      <c r="F396" s="52" t="s">
        <v>72</v>
      </c>
      <c r="G396" s="52" t="s">
        <v>1361</v>
      </c>
      <c r="H396" s="3" t="s">
        <v>342</v>
      </c>
      <c r="I396" s="61">
        <v>110931</v>
      </c>
      <c r="J396" s="15" t="s">
        <v>341</v>
      </c>
      <c r="K396" s="12" t="s">
        <v>340</v>
      </c>
      <c r="L396" s="61" t="s">
        <v>1298</v>
      </c>
      <c r="M396" s="125" t="s">
        <v>47</v>
      </c>
      <c r="N396" s="13">
        <v>200000</v>
      </c>
      <c r="O396" s="14" t="s">
        <v>345</v>
      </c>
      <c r="P396" s="15" t="s">
        <v>3</v>
      </c>
      <c r="Q396" s="3" t="s">
        <v>153</v>
      </c>
      <c r="R396" s="1" t="s">
        <v>0</v>
      </c>
      <c r="S396" s="52" t="s">
        <v>78</v>
      </c>
      <c r="T396" s="121"/>
    </row>
    <row r="397" spans="1:20" ht="12" customHeight="1" x14ac:dyDescent="0.2">
      <c r="A397" s="60">
        <v>46130</v>
      </c>
      <c r="B397" s="57" t="s">
        <v>344</v>
      </c>
      <c r="C397" s="15">
        <v>91267483</v>
      </c>
      <c r="D397" s="52" t="s">
        <v>343</v>
      </c>
      <c r="E397" s="52" t="s">
        <v>65</v>
      </c>
      <c r="F397" s="52" t="s">
        <v>72</v>
      </c>
      <c r="G397" s="52" t="s">
        <v>1361</v>
      </c>
      <c r="H397" s="3" t="s">
        <v>342</v>
      </c>
      <c r="I397" s="61">
        <v>110931</v>
      </c>
      <c r="J397" s="15" t="s">
        <v>341</v>
      </c>
      <c r="K397" s="12" t="s">
        <v>340</v>
      </c>
      <c r="L397" s="61" t="s">
        <v>1298</v>
      </c>
      <c r="M397" s="125" t="s">
        <v>74</v>
      </c>
      <c r="N397" s="13">
        <v>0</v>
      </c>
      <c r="O397" s="14" t="s">
        <v>81</v>
      </c>
      <c r="P397" s="15" t="s">
        <v>68</v>
      </c>
      <c r="Q397" s="3" t="s">
        <v>153</v>
      </c>
      <c r="R397" s="1" t="s">
        <v>0</v>
      </c>
      <c r="S397" s="52" t="s">
        <v>78</v>
      </c>
      <c r="T397" s="121"/>
    </row>
    <row r="398" spans="1:20" ht="12" customHeight="1" x14ac:dyDescent="0.2">
      <c r="A398" s="60">
        <v>45957.445763888885</v>
      </c>
      <c r="B398" s="57" t="s">
        <v>339</v>
      </c>
      <c r="C398" s="15">
        <v>1089906516</v>
      </c>
      <c r="D398" s="52" t="s">
        <v>68</v>
      </c>
      <c r="E398" s="52" t="s">
        <v>65</v>
      </c>
      <c r="F398" s="52" t="s">
        <v>338</v>
      </c>
      <c r="G398" s="52" t="s">
        <v>206</v>
      </c>
      <c r="H398" s="3" t="s">
        <v>337</v>
      </c>
      <c r="I398" s="61">
        <v>190003</v>
      </c>
      <c r="J398" s="15" t="s">
        <v>336</v>
      </c>
      <c r="K398" s="12" t="s">
        <v>335</v>
      </c>
      <c r="L398" s="61" t="s">
        <v>1299</v>
      </c>
      <c r="M398" s="58" t="s">
        <v>2</v>
      </c>
      <c r="N398" s="13">
        <v>100000</v>
      </c>
      <c r="O398" s="14" t="s">
        <v>334</v>
      </c>
      <c r="P398" s="15" t="s">
        <v>3</v>
      </c>
      <c r="Q398" s="3" t="s">
        <v>153</v>
      </c>
      <c r="R398" s="1" t="s">
        <v>0</v>
      </c>
      <c r="S398" s="52" t="s">
        <v>68</v>
      </c>
      <c r="T398" s="121"/>
    </row>
    <row r="399" spans="1:20" ht="12" customHeight="1" x14ac:dyDescent="0.2">
      <c r="A399" s="60">
        <v>45708.812080046293</v>
      </c>
      <c r="B399" s="57" t="s">
        <v>325</v>
      </c>
      <c r="C399" s="15">
        <v>34567500</v>
      </c>
      <c r="D399" s="52" t="s">
        <v>324</v>
      </c>
      <c r="E399" s="52" t="s">
        <v>65</v>
      </c>
      <c r="F399" s="52" t="s">
        <v>164</v>
      </c>
      <c r="G399" s="52" t="s">
        <v>206</v>
      </c>
      <c r="H399" s="3" t="s">
        <v>1157</v>
      </c>
      <c r="I399" s="61" t="s">
        <v>1188</v>
      </c>
      <c r="J399" s="15" t="s">
        <v>333</v>
      </c>
      <c r="K399" s="12" t="s">
        <v>323</v>
      </c>
      <c r="L399" s="61" t="s">
        <v>1320</v>
      </c>
      <c r="M399" s="126" t="s">
        <v>8</v>
      </c>
      <c r="N399" s="123">
        <v>100000</v>
      </c>
      <c r="O399" s="122" t="s">
        <v>332</v>
      </c>
      <c r="P399" s="15" t="s">
        <v>1</v>
      </c>
      <c r="Q399" s="3" t="s">
        <v>153</v>
      </c>
      <c r="R399" s="1" t="s">
        <v>0</v>
      </c>
      <c r="S399" s="52" t="s">
        <v>78</v>
      </c>
      <c r="T399" s="121"/>
    </row>
    <row r="400" spans="1:20" ht="12" customHeight="1" x14ac:dyDescent="0.2">
      <c r="A400" s="60">
        <v>45709</v>
      </c>
      <c r="B400" s="57" t="s">
        <v>325</v>
      </c>
      <c r="C400" s="15">
        <v>34567500</v>
      </c>
      <c r="D400" s="52" t="s">
        <v>324</v>
      </c>
      <c r="E400" s="52" t="s">
        <v>65</v>
      </c>
      <c r="F400" s="52" t="s">
        <v>164</v>
      </c>
      <c r="G400" s="52" t="s">
        <v>206</v>
      </c>
      <c r="H400" s="3" t="s">
        <v>1157</v>
      </c>
      <c r="I400" s="61" t="s">
        <v>1188</v>
      </c>
      <c r="J400" s="15" t="s">
        <v>333</v>
      </c>
      <c r="K400" s="12" t="s">
        <v>323</v>
      </c>
      <c r="L400" s="61" t="s">
        <v>1320</v>
      </c>
      <c r="M400" s="126" t="s">
        <v>8</v>
      </c>
      <c r="N400" s="123">
        <v>100000</v>
      </c>
      <c r="O400" s="122" t="s">
        <v>331</v>
      </c>
      <c r="P400" s="15" t="s">
        <v>1</v>
      </c>
      <c r="Q400" s="3" t="s">
        <v>153</v>
      </c>
      <c r="R400" s="1" t="s">
        <v>0</v>
      </c>
      <c r="S400" s="52" t="s">
        <v>78</v>
      </c>
      <c r="T400" s="121"/>
    </row>
    <row r="401" spans="1:20" ht="12" customHeight="1" x14ac:dyDescent="0.2">
      <c r="A401" s="60">
        <v>45756.512407407405</v>
      </c>
      <c r="B401" s="57" t="s">
        <v>325</v>
      </c>
      <c r="C401" s="15">
        <v>34567500</v>
      </c>
      <c r="D401" s="52" t="s">
        <v>324</v>
      </c>
      <c r="E401" s="52" t="s">
        <v>65</v>
      </c>
      <c r="F401" s="52" t="s">
        <v>164</v>
      </c>
      <c r="G401" s="52" t="s">
        <v>206</v>
      </c>
      <c r="H401" s="3" t="s">
        <v>1157</v>
      </c>
      <c r="I401" s="61" t="s">
        <v>1188</v>
      </c>
      <c r="J401" s="15" t="s">
        <v>333</v>
      </c>
      <c r="K401" s="12" t="s">
        <v>323</v>
      </c>
      <c r="L401" s="61" t="s">
        <v>1320</v>
      </c>
      <c r="M401" s="58" t="s">
        <v>8</v>
      </c>
      <c r="N401" s="13">
        <v>120000</v>
      </c>
      <c r="O401" s="14" t="s">
        <v>1199</v>
      </c>
      <c r="P401" s="15" t="s">
        <v>3</v>
      </c>
      <c r="Q401" s="3" t="s">
        <v>153</v>
      </c>
      <c r="R401" s="1" t="s">
        <v>0</v>
      </c>
      <c r="S401" s="52" t="s">
        <v>78</v>
      </c>
      <c r="T401" s="121"/>
    </row>
    <row r="402" spans="1:20" ht="12" customHeight="1" x14ac:dyDescent="0.2">
      <c r="A402" s="60">
        <v>45774.512407407405</v>
      </c>
      <c r="B402" s="57" t="s">
        <v>325</v>
      </c>
      <c r="C402" s="15">
        <v>34567500</v>
      </c>
      <c r="D402" s="52" t="s">
        <v>324</v>
      </c>
      <c r="E402" s="52" t="s">
        <v>65</v>
      </c>
      <c r="F402" s="52" t="s">
        <v>164</v>
      </c>
      <c r="G402" s="52" t="s">
        <v>206</v>
      </c>
      <c r="H402" s="3" t="s">
        <v>1157</v>
      </c>
      <c r="I402" s="61" t="s">
        <v>1188</v>
      </c>
      <c r="J402" s="15" t="s">
        <v>333</v>
      </c>
      <c r="K402" s="12" t="s">
        <v>323</v>
      </c>
      <c r="L402" s="61" t="s">
        <v>1320</v>
      </c>
      <c r="M402" s="58" t="s">
        <v>8</v>
      </c>
      <c r="N402" s="13">
        <v>120000</v>
      </c>
      <c r="O402" s="14" t="s">
        <v>330</v>
      </c>
      <c r="P402" s="15" t="s">
        <v>1</v>
      </c>
      <c r="Q402" s="3" t="s">
        <v>153</v>
      </c>
      <c r="R402" s="1" t="s">
        <v>0</v>
      </c>
      <c r="S402" s="52" t="s">
        <v>78</v>
      </c>
      <c r="T402" s="121"/>
    </row>
    <row r="403" spans="1:20" ht="12" customHeight="1" x14ac:dyDescent="0.2">
      <c r="A403" s="60">
        <v>45925</v>
      </c>
      <c r="B403" s="57" t="s">
        <v>325</v>
      </c>
      <c r="C403" s="15">
        <v>34567500</v>
      </c>
      <c r="D403" s="52" t="s">
        <v>324</v>
      </c>
      <c r="E403" s="52" t="s">
        <v>65</v>
      </c>
      <c r="F403" s="52" t="s">
        <v>164</v>
      </c>
      <c r="G403" s="52" t="s">
        <v>206</v>
      </c>
      <c r="H403" s="3" t="s">
        <v>1157</v>
      </c>
      <c r="I403" s="61" t="s">
        <v>1188</v>
      </c>
      <c r="J403" s="15" t="s">
        <v>333</v>
      </c>
      <c r="K403" s="12" t="s">
        <v>323</v>
      </c>
      <c r="L403" s="61" t="s">
        <v>1320</v>
      </c>
      <c r="M403" s="126" t="s">
        <v>180</v>
      </c>
      <c r="N403" s="123">
        <v>40000</v>
      </c>
      <c r="O403" s="122" t="s">
        <v>329</v>
      </c>
      <c r="P403" s="15" t="s">
        <v>1</v>
      </c>
      <c r="Q403" s="3" t="s">
        <v>153</v>
      </c>
      <c r="R403" s="1" t="s">
        <v>0</v>
      </c>
      <c r="S403" s="52" t="s">
        <v>78</v>
      </c>
      <c r="T403" s="121"/>
    </row>
    <row r="404" spans="1:20" ht="12" customHeight="1" x14ac:dyDescent="0.2">
      <c r="A404" s="60">
        <v>46078</v>
      </c>
      <c r="B404" s="57" t="s">
        <v>325</v>
      </c>
      <c r="C404" s="15">
        <v>34567500</v>
      </c>
      <c r="D404" s="52" t="s">
        <v>324</v>
      </c>
      <c r="E404" s="52" t="s">
        <v>65</v>
      </c>
      <c r="F404" s="52" t="s">
        <v>164</v>
      </c>
      <c r="G404" s="52" t="s">
        <v>206</v>
      </c>
      <c r="H404" s="3" t="s">
        <v>1157</v>
      </c>
      <c r="I404" s="61" t="s">
        <v>1188</v>
      </c>
      <c r="J404" s="15" t="s">
        <v>333</v>
      </c>
      <c r="K404" s="12" t="s">
        <v>323</v>
      </c>
      <c r="L404" s="61" t="s">
        <v>1320</v>
      </c>
      <c r="M404" s="58" t="s">
        <v>85</v>
      </c>
      <c r="N404" s="13">
        <v>500000</v>
      </c>
      <c r="O404" s="14" t="s">
        <v>328</v>
      </c>
      <c r="P404" s="15" t="s">
        <v>52</v>
      </c>
      <c r="Q404" s="3" t="s">
        <v>153</v>
      </c>
      <c r="R404" s="1" t="s">
        <v>0</v>
      </c>
      <c r="S404" s="52" t="s">
        <v>78</v>
      </c>
      <c r="T404" s="121"/>
    </row>
    <row r="405" spans="1:20" ht="12" customHeight="1" x14ac:dyDescent="0.2">
      <c r="A405" s="60">
        <v>46109</v>
      </c>
      <c r="B405" s="57" t="s">
        <v>325</v>
      </c>
      <c r="C405" s="15">
        <v>34567500</v>
      </c>
      <c r="D405" s="52" t="s">
        <v>324</v>
      </c>
      <c r="E405" s="52" t="s">
        <v>65</v>
      </c>
      <c r="F405" s="52" t="s">
        <v>164</v>
      </c>
      <c r="G405" s="52" t="s">
        <v>206</v>
      </c>
      <c r="H405" s="3" t="s">
        <v>1157</v>
      </c>
      <c r="I405" s="61" t="s">
        <v>1188</v>
      </c>
      <c r="J405" s="15" t="s">
        <v>333</v>
      </c>
      <c r="K405" s="12" t="s">
        <v>323</v>
      </c>
      <c r="L405" s="61" t="s">
        <v>1320</v>
      </c>
      <c r="M405" s="58" t="s">
        <v>2</v>
      </c>
      <c r="N405" s="13">
        <v>100000</v>
      </c>
      <c r="O405" s="12" t="s">
        <v>327</v>
      </c>
      <c r="P405" s="15" t="s">
        <v>1</v>
      </c>
      <c r="Q405" s="3" t="s">
        <v>153</v>
      </c>
      <c r="R405" s="1" t="s">
        <v>0</v>
      </c>
      <c r="S405" s="52" t="s">
        <v>78</v>
      </c>
      <c r="T405" s="121"/>
    </row>
    <row r="406" spans="1:20" ht="12" customHeight="1" x14ac:dyDescent="0.2">
      <c r="A406" s="60">
        <v>46140</v>
      </c>
      <c r="B406" s="57" t="s">
        <v>325</v>
      </c>
      <c r="C406" s="15">
        <v>34567500</v>
      </c>
      <c r="D406" s="52" t="s">
        <v>324</v>
      </c>
      <c r="E406" s="52" t="s">
        <v>65</v>
      </c>
      <c r="F406" s="52" t="s">
        <v>164</v>
      </c>
      <c r="G406" s="52" t="s">
        <v>206</v>
      </c>
      <c r="H406" s="3" t="s">
        <v>1157</v>
      </c>
      <c r="I406" s="61" t="s">
        <v>1188</v>
      </c>
      <c r="J406" s="15" t="s">
        <v>333</v>
      </c>
      <c r="K406" s="12" t="s">
        <v>323</v>
      </c>
      <c r="L406" s="61" t="s">
        <v>1320</v>
      </c>
      <c r="M406" s="58" t="s">
        <v>105</v>
      </c>
      <c r="N406" s="13">
        <v>100000</v>
      </c>
      <c r="O406" s="12" t="s">
        <v>326</v>
      </c>
      <c r="P406" s="15" t="s">
        <v>1</v>
      </c>
      <c r="Q406" s="3" t="s">
        <v>153</v>
      </c>
      <c r="R406" s="1" t="s">
        <v>0</v>
      </c>
      <c r="S406" s="52" t="s">
        <v>78</v>
      </c>
      <c r="T406" s="52"/>
    </row>
    <row r="407" spans="1:20" ht="12" customHeight="1" x14ac:dyDescent="0.2">
      <c r="A407" s="60">
        <v>46140</v>
      </c>
      <c r="B407" s="57" t="s">
        <v>325</v>
      </c>
      <c r="C407" s="15">
        <v>34567500</v>
      </c>
      <c r="D407" s="52" t="s">
        <v>324</v>
      </c>
      <c r="E407" s="52" t="s">
        <v>65</v>
      </c>
      <c r="F407" s="52" t="s">
        <v>164</v>
      </c>
      <c r="G407" s="52" t="s">
        <v>206</v>
      </c>
      <c r="H407" s="3" t="s">
        <v>1157</v>
      </c>
      <c r="I407" s="61" t="s">
        <v>1188</v>
      </c>
      <c r="J407" s="15" t="s">
        <v>333</v>
      </c>
      <c r="K407" s="12" t="s">
        <v>323</v>
      </c>
      <c r="L407" s="61" t="s">
        <v>1320</v>
      </c>
      <c r="M407" s="58" t="s">
        <v>2</v>
      </c>
      <c r="N407" s="13">
        <v>0</v>
      </c>
      <c r="O407" s="14" t="s">
        <v>81</v>
      </c>
      <c r="P407" s="15" t="s">
        <v>68</v>
      </c>
      <c r="Q407" s="3" t="s">
        <v>153</v>
      </c>
      <c r="R407" s="1" t="s">
        <v>0</v>
      </c>
      <c r="S407" s="52" t="s">
        <v>78</v>
      </c>
      <c r="T407" s="121"/>
    </row>
    <row r="408" spans="1:20" ht="12" customHeight="1" x14ac:dyDescent="0.2">
      <c r="A408" s="60">
        <v>46150</v>
      </c>
      <c r="B408" s="57" t="s">
        <v>325</v>
      </c>
      <c r="C408" s="15">
        <v>34567500</v>
      </c>
      <c r="D408" s="52" t="s">
        <v>324</v>
      </c>
      <c r="E408" s="52" t="s">
        <v>65</v>
      </c>
      <c r="F408" s="52" t="s">
        <v>164</v>
      </c>
      <c r="G408" s="52" t="s">
        <v>206</v>
      </c>
      <c r="H408" s="3" t="s">
        <v>1157</v>
      </c>
      <c r="I408" s="61" t="s">
        <v>1188</v>
      </c>
      <c r="J408" s="15" t="s">
        <v>333</v>
      </c>
      <c r="K408" s="12" t="s">
        <v>323</v>
      </c>
      <c r="L408" s="61" t="s">
        <v>1320</v>
      </c>
      <c r="M408" s="125" t="s">
        <v>79</v>
      </c>
      <c r="N408" s="13">
        <v>0</v>
      </c>
      <c r="O408" s="14" t="s">
        <v>80</v>
      </c>
      <c r="P408" s="15" t="s">
        <v>68</v>
      </c>
      <c r="Q408" s="3" t="s">
        <v>153</v>
      </c>
      <c r="R408" s="1" t="s">
        <v>0</v>
      </c>
      <c r="S408" s="52" t="s">
        <v>78</v>
      </c>
      <c r="T408" s="121"/>
    </row>
    <row r="409" spans="1:20" ht="12" customHeight="1" x14ac:dyDescent="0.2">
      <c r="A409" s="172">
        <v>46205</v>
      </c>
      <c r="B409" s="173" t="s">
        <v>325</v>
      </c>
      <c r="C409" s="15">
        <v>34567500</v>
      </c>
      <c r="D409" s="52" t="s">
        <v>324</v>
      </c>
      <c r="E409" s="52" t="s">
        <v>65</v>
      </c>
      <c r="F409" s="52" t="s">
        <v>164</v>
      </c>
      <c r="G409" s="52" t="s">
        <v>206</v>
      </c>
      <c r="H409" s="3" t="s">
        <v>1331</v>
      </c>
      <c r="I409" s="61">
        <v>190003</v>
      </c>
      <c r="J409" s="15" t="s">
        <v>1332</v>
      </c>
      <c r="K409" s="12" t="s">
        <v>323</v>
      </c>
      <c r="L409" s="61" t="s">
        <v>1320</v>
      </c>
      <c r="M409" s="145" t="s">
        <v>1336</v>
      </c>
      <c r="N409">
        <v>60000</v>
      </c>
      <c r="O409" t="s">
        <v>1344</v>
      </c>
      <c r="P409" s="106" t="s">
        <v>3</v>
      </c>
      <c r="Q409" s="3" t="s">
        <v>153</v>
      </c>
      <c r="R409" s="1" t="s">
        <v>0</v>
      </c>
      <c r="S409" s="52" t="s">
        <v>78</v>
      </c>
    </row>
    <row r="410" spans="1:20" ht="12" customHeight="1" x14ac:dyDescent="0.2">
      <c r="A410" s="60">
        <v>45814.849920023145</v>
      </c>
      <c r="B410" s="57" t="s">
        <v>322</v>
      </c>
      <c r="C410" s="15">
        <v>40782037</v>
      </c>
      <c r="D410" s="52" t="s">
        <v>321</v>
      </c>
      <c r="E410" s="52" t="s">
        <v>65</v>
      </c>
      <c r="F410" s="52" t="s">
        <v>71</v>
      </c>
      <c r="G410" s="52" t="s">
        <v>223</v>
      </c>
      <c r="H410" s="3" t="s">
        <v>320</v>
      </c>
      <c r="I410" s="61">
        <v>250240</v>
      </c>
      <c r="J410" s="15" t="s">
        <v>319</v>
      </c>
      <c r="K410" s="12" t="s">
        <v>318</v>
      </c>
      <c r="L410" s="61" t="s">
        <v>1300</v>
      </c>
      <c r="M410" s="58" t="s">
        <v>132</v>
      </c>
      <c r="N410" s="13">
        <v>400000</v>
      </c>
      <c r="O410" s="14" t="s">
        <v>317</v>
      </c>
      <c r="P410" s="15" t="s">
        <v>3</v>
      </c>
      <c r="Q410" s="3" t="s">
        <v>153</v>
      </c>
      <c r="R410" s="1" t="s">
        <v>0</v>
      </c>
      <c r="S410" s="52" t="s">
        <v>78</v>
      </c>
      <c r="T410" s="121"/>
    </row>
    <row r="411" spans="1:20" ht="12" customHeight="1" x14ac:dyDescent="0.2">
      <c r="A411" s="60">
        <v>45832.757655381945</v>
      </c>
      <c r="B411" s="57" t="s">
        <v>313</v>
      </c>
      <c r="C411" s="15">
        <v>79104095</v>
      </c>
      <c r="D411" s="52" t="s">
        <v>1102</v>
      </c>
      <c r="E411" s="52" t="s">
        <v>65</v>
      </c>
      <c r="F411" s="52" t="s">
        <v>72</v>
      </c>
      <c r="G411" s="52" t="s">
        <v>1361</v>
      </c>
      <c r="H411" s="3" t="s">
        <v>312</v>
      </c>
      <c r="I411" s="61">
        <v>110121</v>
      </c>
      <c r="J411" s="15" t="s">
        <v>311</v>
      </c>
      <c r="K411" s="12" t="s">
        <v>310</v>
      </c>
      <c r="L411" s="61" t="s">
        <v>1301</v>
      </c>
      <c r="M411" s="58" t="s">
        <v>4</v>
      </c>
      <c r="N411" s="13">
        <v>200000</v>
      </c>
      <c r="O411" s="14" t="s">
        <v>316</v>
      </c>
      <c r="P411" s="15" t="s">
        <v>3</v>
      </c>
      <c r="Q411" s="3" t="s">
        <v>153</v>
      </c>
      <c r="R411" s="1" t="s">
        <v>0</v>
      </c>
      <c r="S411" s="52" t="s">
        <v>78</v>
      </c>
      <c r="T411" s="121"/>
    </row>
    <row r="412" spans="1:20" ht="12" customHeight="1" x14ac:dyDescent="0.2">
      <c r="A412" s="60">
        <v>46013</v>
      </c>
      <c r="B412" s="57" t="s">
        <v>313</v>
      </c>
      <c r="C412" s="15">
        <v>79104095</v>
      </c>
      <c r="D412" s="52" t="s">
        <v>1102</v>
      </c>
      <c r="E412" s="52" t="s">
        <v>65</v>
      </c>
      <c r="F412" s="52" t="s">
        <v>72</v>
      </c>
      <c r="G412" s="52" t="s">
        <v>1361</v>
      </c>
      <c r="H412" s="3" t="s">
        <v>312</v>
      </c>
      <c r="I412" s="61">
        <v>110121</v>
      </c>
      <c r="J412" s="15" t="s">
        <v>311</v>
      </c>
      <c r="K412" s="12" t="s">
        <v>310</v>
      </c>
      <c r="L412" s="61" t="s">
        <v>1301</v>
      </c>
      <c r="M412" s="58" t="s">
        <v>113</v>
      </c>
      <c r="N412" s="13">
        <v>400000</v>
      </c>
      <c r="O412" s="14" t="s">
        <v>315</v>
      </c>
      <c r="P412" s="15" t="s">
        <v>7</v>
      </c>
      <c r="Q412" s="3" t="s">
        <v>153</v>
      </c>
      <c r="R412" s="1" t="s">
        <v>0</v>
      </c>
      <c r="S412" s="52" t="s">
        <v>78</v>
      </c>
      <c r="T412" s="121"/>
    </row>
    <row r="413" spans="1:20" ht="12" customHeight="1" x14ac:dyDescent="0.2">
      <c r="A413" s="60">
        <v>46036</v>
      </c>
      <c r="B413" s="57" t="s">
        <v>313</v>
      </c>
      <c r="C413" s="15">
        <v>79104095</v>
      </c>
      <c r="D413" s="52" t="s">
        <v>1102</v>
      </c>
      <c r="E413" s="52" t="s">
        <v>65</v>
      </c>
      <c r="F413" s="52" t="s">
        <v>72</v>
      </c>
      <c r="G413" s="52" t="s">
        <v>1361</v>
      </c>
      <c r="H413" s="3" t="s">
        <v>312</v>
      </c>
      <c r="I413" s="61">
        <v>110121</v>
      </c>
      <c r="J413" s="15" t="s">
        <v>311</v>
      </c>
      <c r="K413" s="12" t="s">
        <v>310</v>
      </c>
      <c r="L413" s="61" t="s">
        <v>1301</v>
      </c>
      <c r="M413" s="58" t="s">
        <v>5</v>
      </c>
      <c r="N413" s="13">
        <v>150200</v>
      </c>
      <c r="O413" s="14" t="s">
        <v>314</v>
      </c>
      <c r="P413" s="15" t="s">
        <v>53</v>
      </c>
      <c r="Q413" s="3" t="s">
        <v>153</v>
      </c>
      <c r="R413" s="1" t="s">
        <v>0</v>
      </c>
      <c r="S413" s="52" t="s">
        <v>78</v>
      </c>
      <c r="T413" s="121"/>
    </row>
    <row r="414" spans="1:20" ht="12" customHeight="1" x14ac:dyDescent="0.2">
      <c r="A414" s="60">
        <v>46109</v>
      </c>
      <c r="B414" s="57" t="s">
        <v>313</v>
      </c>
      <c r="C414" s="15">
        <v>79104095</v>
      </c>
      <c r="D414" s="52" t="s">
        <v>1102</v>
      </c>
      <c r="E414" s="52" t="s">
        <v>65</v>
      </c>
      <c r="F414" s="52" t="s">
        <v>72</v>
      </c>
      <c r="G414" s="52" t="s">
        <v>1361</v>
      </c>
      <c r="H414" s="3" t="s">
        <v>312</v>
      </c>
      <c r="I414" s="61">
        <v>110121</v>
      </c>
      <c r="J414" s="15" t="s">
        <v>311</v>
      </c>
      <c r="K414" s="12" t="s">
        <v>310</v>
      </c>
      <c r="L414" s="61" t="s">
        <v>1301</v>
      </c>
      <c r="M414" s="58" t="s">
        <v>47</v>
      </c>
      <c r="N414" s="13">
        <v>200095</v>
      </c>
      <c r="O414" s="12" t="s">
        <v>309</v>
      </c>
      <c r="P414" s="15" t="s">
        <v>7</v>
      </c>
      <c r="Q414" s="3" t="s">
        <v>153</v>
      </c>
      <c r="R414" s="1" t="s">
        <v>0</v>
      </c>
      <c r="S414" s="52" t="s">
        <v>78</v>
      </c>
      <c r="T414" s="121"/>
    </row>
    <row r="415" spans="1:20" ht="12" customHeight="1" x14ac:dyDescent="0.2">
      <c r="A415" s="60">
        <v>46254</v>
      </c>
      <c r="B415" s="57" t="s">
        <v>313</v>
      </c>
      <c r="C415" s="15">
        <v>79104095</v>
      </c>
      <c r="D415" s="52" t="s">
        <v>1358</v>
      </c>
      <c r="E415" s="52" t="s">
        <v>65</v>
      </c>
      <c r="F415" s="52" t="s">
        <v>72</v>
      </c>
      <c r="G415" s="52" t="s">
        <v>1361</v>
      </c>
      <c r="H415" s="3" t="s">
        <v>312</v>
      </c>
      <c r="I415" s="61">
        <v>110121</v>
      </c>
      <c r="J415" s="15" t="s">
        <v>311</v>
      </c>
      <c r="K415" s="12" t="s">
        <v>310</v>
      </c>
      <c r="L415" s="61" t="s">
        <v>1301</v>
      </c>
      <c r="M415" s="58" t="s">
        <v>104</v>
      </c>
      <c r="N415" s="13">
        <v>100000</v>
      </c>
      <c r="O415" s="14" t="s">
        <v>1360</v>
      </c>
      <c r="P415" s="15" t="s">
        <v>3</v>
      </c>
      <c r="Q415" s="3" t="s">
        <v>153</v>
      </c>
      <c r="R415" s="1" t="s">
        <v>0</v>
      </c>
      <c r="S415" s="52" t="s">
        <v>68</v>
      </c>
      <c r="T415" s="59"/>
    </row>
    <row r="416" spans="1:20" ht="12" customHeight="1" x14ac:dyDescent="0.2">
      <c r="A416" s="60">
        <v>46132</v>
      </c>
      <c r="B416" s="57" t="s">
        <v>308</v>
      </c>
      <c r="C416" s="15" t="s">
        <v>1200</v>
      </c>
      <c r="D416" s="52" t="s">
        <v>307</v>
      </c>
      <c r="E416" s="52" t="s">
        <v>118</v>
      </c>
      <c r="F416" s="52" t="s">
        <v>248</v>
      </c>
      <c r="G416" s="52" t="s">
        <v>248</v>
      </c>
      <c r="H416" s="3" t="s">
        <v>1201</v>
      </c>
      <c r="I416" s="61" t="s">
        <v>254</v>
      </c>
      <c r="J416" s="15" t="s">
        <v>306</v>
      </c>
      <c r="K416" s="12" t="s">
        <v>305</v>
      </c>
      <c r="L416" s="61" t="s">
        <v>1302</v>
      </c>
      <c r="M416" s="125" t="s">
        <v>47</v>
      </c>
      <c r="N416" s="13" t="s">
        <v>1202</v>
      </c>
      <c r="O416" s="12">
        <v>364260145197</v>
      </c>
      <c r="P416" s="15" t="s">
        <v>50</v>
      </c>
      <c r="Q416" s="3" t="s">
        <v>153</v>
      </c>
      <c r="R416" s="1" t="s">
        <v>0</v>
      </c>
      <c r="S416" s="52" t="s">
        <v>78</v>
      </c>
      <c r="T416" s="121"/>
    </row>
    <row r="417" spans="1:20" ht="12" customHeight="1" x14ac:dyDescent="0.2">
      <c r="A417" s="60">
        <v>46133</v>
      </c>
      <c r="B417" s="57" t="s">
        <v>308</v>
      </c>
      <c r="C417" s="15" t="s">
        <v>1200</v>
      </c>
      <c r="D417" s="52" t="s">
        <v>307</v>
      </c>
      <c r="E417" s="52" t="s">
        <v>118</v>
      </c>
      <c r="F417" s="52" t="s">
        <v>248</v>
      </c>
      <c r="G417" s="52" t="s">
        <v>248</v>
      </c>
      <c r="H417" s="3" t="s">
        <v>1201</v>
      </c>
      <c r="I417" s="61" t="s">
        <v>254</v>
      </c>
      <c r="J417" s="15" t="s">
        <v>306</v>
      </c>
      <c r="K417" s="12" t="s">
        <v>305</v>
      </c>
      <c r="L417" s="61" t="s">
        <v>1302</v>
      </c>
      <c r="M417" s="125" t="s">
        <v>79</v>
      </c>
      <c r="N417" s="13">
        <v>0</v>
      </c>
      <c r="O417" s="14" t="s">
        <v>81</v>
      </c>
      <c r="P417" s="15" t="s">
        <v>68</v>
      </c>
      <c r="Q417" s="3" t="s">
        <v>153</v>
      </c>
      <c r="R417" s="1" t="s">
        <v>0</v>
      </c>
      <c r="S417" s="52" t="s">
        <v>78</v>
      </c>
      <c r="T417" s="121"/>
    </row>
    <row r="418" spans="1:20" ht="12" customHeight="1" x14ac:dyDescent="0.2">
      <c r="A418" s="60">
        <v>45847.851875</v>
      </c>
      <c r="B418" s="57" t="s">
        <v>304</v>
      </c>
      <c r="C418" s="15">
        <v>66659174</v>
      </c>
      <c r="D418" s="52" t="s">
        <v>68</v>
      </c>
      <c r="E418" s="52" t="s">
        <v>65</v>
      </c>
      <c r="F418" s="52" t="s">
        <v>98</v>
      </c>
      <c r="G418" s="52" t="s">
        <v>103</v>
      </c>
      <c r="H418" s="3" t="s">
        <v>303</v>
      </c>
      <c r="I418" s="61">
        <v>661001</v>
      </c>
      <c r="J418" s="15" t="s">
        <v>302</v>
      </c>
      <c r="K418" s="12" t="s">
        <v>301</v>
      </c>
      <c r="L418" s="61" t="s">
        <v>1303</v>
      </c>
      <c r="M418" s="58" t="s">
        <v>108</v>
      </c>
      <c r="N418" s="13">
        <v>200000</v>
      </c>
      <c r="O418" s="14" t="s">
        <v>300</v>
      </c>
      <c r="P418" s="15" t="s">
        <v>109</v>
      </c>
      <c r="Q418" s="3" t="s">
        <v>153</v>
      </c>
      <c r="R418" s="1" t="s">
        <v>0</v>
      </c>
      <c r="S418" s="52" t="s">
        <v>68</v>
      </c>
      <c r="T418" s="121"/>
    </row>
    <row r="419" spans="1:20" ht="12" customHeight="1" x14ac:dyDescent="0.2">
      <c r="A419" s="60">
        <v>45952.525694444441</v>
      </c>
      <c r="B419" s="57" t="s">
        <v>299</v>
      </c>
      <c r="C419" s="15">
        <v>30321348</v>
      </c>
      <c r="D419" s="52" t="s">
        <v>1203</v>
      </c>
      <c r="E419" s="52" t="s">
        <v>65</v>
      </c>
      <c r="F419" s="52" t="s">
        <v>294</v>
      </c>
      <c r="G419" s="52" t="s">
        <v>293</v>
      </c>
      <c r="H419" s="3" t="s">
        <v>1204</v>
      </c>
      <c r="I419" s="61">
        <v>170001</v>
      </c>
      <c r="J419" s="15" t="s">
        <v>298</v>
      </c>
      <c r="K419" s="12" t="s">
        <v>297</v>
      </c>
      <c r="L419" s="61" t="s">
        <v>1215</v>
      </c>
      <c r="M419" s="58" t="s">
        <v>125</v>
      </c>
      <c r="N419" s="13">
        <v>200000</v>
      </c>
      <c r="O419" s="14" t="s">
        <v>296</v>
      </c>
      <c r="P419" s="15" t="s">
        <v>3</v>
      </c>
      <c r="Q419" s="3" t="s">
        <v>153</v>
      </c>
      <c r="R419" s="1" t="s">
        <v>0</v>
      </c>
      <c r="S419" s="52" t="s">
        <v>78</v>
      </c>
      <c r="T419" s="121"/>
    </row>
    <row r="420" spans="1:20" ht="12" customHeight="1" x14ac:dyDescent="0.2">
      <c r="A420" s="60">
        <v>46055</v>
      </c>
      <c r="B420" s="57" t="s">
        <v>295</v>
      </c>
      <c r="C420" s="15">
        <v>1002731648</v>
      </c>
      <c r="D420" s="52" t="s">
        <v>68</v>
      </c>
      <c r="E420" s="52" t="s">
        <v>65</v>
      </c>
      <c r="F420" s="52" t="s">
        <v>294</v>
      </c>
      <c r="G420" s="52" t="s">
        <v>293</v>
      </c>
      <c r="H420" s="3" t="s">
        <v>1205</v>
      </c>
      <c r="I420" s="61" t="s">
        <v>1196</v>
      </c>
      <c r="J420" s="15" t="s">
        <v>292</v>
      </c>
      <c r="K420" s="12" t="s">
        <v>291</v>
      </c>
      <c r="L420" s="61" t="s">
        <v>1304</v>
      </c>
      <c r="M420" s="58" t="s">
        <v>5</v>
      </c>
      <c r="N420" s="13">
        <v>150000</v>
      </c>
      <c r="O420" s="14" t="s">
        <v>290</v>
      </c>
      <c r="P420" s="107" t="s">
        <v>289</v>
      </c>
      <c r="Q420" s="3" t="s">
        <v>153</v>
      </c>
      <c r="R420" s="1" t="s">
        <v>0</v>
      </c>
      <c r="S420" s="52" t="s">
        <v>68</v>
      </c>
      <c r="T420" s="121"/>
    </row>
    <row r="421" spans="1:20" ht="12" customHeight="1" x14ac:dyDescent="0.2">
      <c r="A421" s="60">
        <v>45908.436747685184</v>
      </c>
      <c r="B421" s="57" t="s">
        <v>288</v>
      </c>
      <c r="C421" s="15">
        <v>1004778054</v>
      </c>
      <c r="D421" s="52" t="s">
        <v>287</v>
      </c>
      <c r="E421" s="52" t="s">
        <v>65</v>
      </c>
      <c r="F421" s="52" t="s">
        <v>98</v>
      </c>
      <c r="G421" s="52" t="s">
        <v>103</v>
      </c>
      <c r="H421" s="3" t="s">
        <v>1206</v>
      </c>
      <c r="I421" s="61">
        <v>661001</v>
      </c>
      <c r="J421" s="15" t="s">
        <v>286</v>
      </c>
      <c r="K421" s="12" t="s">
        <v>285</v>
      </c>
      <c r="L421" s="61" t="s">
        <v>1305</v>
      </c>
      <c r="M421" s="58" t="s">
        <v>125</v>
      </c>
      <c r="N421" s="13">
        <v>200000</v>
      </c>
      <c r="O421" s="14" t="s">
        <v>284</v>
      </c>
      <c r="P421" s="15" t="s">
        <v>3</v>
      </c>
      <c r="Q421" s="3" t="s">
        <v>153</v>
      </c>
      <c r="R421" s="1" t="s">
        <v>0</v>
      </c>
      <c r="S421" s="52" t="s">
        <v>78</v>
      </c>
      <c r="T421" s="121"/>
    </row>
    <row r="422" spans="1:20" ht="12" customHeight="1" x14ac:dyDescent="0.2">
      <c r="A422" s="60">
        <v>45801.918868090273</v>
      </c>
      <c r="B422" s="57" t="s">
        <v>279</v>
      </c>
      <c r="C422" s="15">
        <v>80232692</v>
      </c>
      <c r="D422" s="52" t="s">
        <v>283</v>
      </c>
      <c r="E422" s="52" t="s">
        <v>65</v>
      </c>
      <c r="F422" s="52" t="s">
        <v>72</v>
      </c>
      <c r="G422" s="52" t="s">
        <v>1361</v>
      </c>
      <c r="H422" s="3" t="s">
        <v>277</v>
      </c>
      <c r="I422" s="61">
        <v>111411</v>
      </c>
      <c r="J422" s="15" t="s">
        <v>276</v>
      </c>
      <c r="K422" s="12" t="s">
        <v>275</v>
      </c>
      <c r="L422" s="61" t="s">
        <v>1105</v>
      </c>
      <c r="M422" s="58" t="s">
        <v>4</v>
      </c>
      <c r="N422" s="13">
        <v>200000</v>
      </c>
      <c r="O422" s="14" t="s">
        <v>282</v>
      </c>
      <c r="P422" s="15" t="s">
        <v>3</v>
      </c>
      <c r="Q422" s="3" t="s">
        <v>153</v>
      </c>
      <c r="R422" s="1" t="s">
        <v>0</v>
      </c>
      <c r="S422" s="52" t="s">
        <v>78</v>
      </c>
      <c r="T422" s="121"/>
    </row>
    <row r="423" spans="1:20" ht="12" customHeight="1" x14ac:dyDescent="0.2">
      <c r="A423" s="60">
        <v>45830.855270972221</v>
      </c>
      <c r="B423" s="57" t="s">
        <v>279</v>
      </c>
      <c r="C423" s="15">
        <v>80232692</v>
      </c>
      <c r="D423" s="52" t="s">
        <v>278</v>
      </c>
      <c r="E423" s="52" t="s">
        <v>65</v>
      </c>
      <c r="F423" s="52" t="s">
        <v>72</v>
      </c>
      <c r="G423" s="52" t="s">
        <v>1361</v>
      </c>
      <c r="H423" s="3" t="s">
        <v>277</v>
      </c>
      <c r="I423" s="61">
        <v>111411</v>
      </c>
      <c r="J423" s="15" t="s">
        <v>276</v>
      </c>
      <c r="K423" s="12" t="s">
        <v>275</v>
      </c>
      <c r="L423" s="61" t="s">
        <v>1105</v>
      </c>
      <c r="M423" s="58" t="s">
        <v>4</v>
      </c>
      <c r="N423" s="13">
        <v>200000</v>
      </c>
      <c r="O423" s="14" t="s">
        <v>281</v>
      </c>
      <c r="P423" s="15" t="s">
        <v>3</v>
      </c>
      <c r="Q423" s="3" t="s">
        <v>153</v>
      </c>
      <c r="R423" s="1" t="s">
        <v>0</v>
      </c>
      <c r="S423" s="52" t="s">
        <v>78</v>
      </c>
      <c r="T423" s="121"/>
    </row>
    <row r="424" spans="1:20" ht="12" customHeight="1" x14ac:dyDescent="0.2">
      <c r="A424" s="60">
        <v>45856</v>
      </c>
      <c r="B424" s="57" t="s">
        <v>279</v>
      </c>
      <c r="C424" s="15">
        <v>80232692</v>
      </c>
      <c r="D424" s="52" t="s">
        <v>278</v>
      </c>
      <c r="E424" s="52" t="s">
        <v>65</v>
      </c>
      <c r="F424" s="52" t="s">
        <v>72</v>
      </c>
      <c r="G424" s="52" t="s">
        <v>1361</v>
      </c>
      <c r="H424" s="3" t="s">
        <v>277</v>
      </c>
      <c r="I424" s="61">
        <v>111411</v>
      </c>
      <c r="J424" s="15" t="s">
        <v>276</v>
      </c>
      <c r="K424" s="12" t="s">
        <v>275</v>
      </c>
      <c r="L424" s="61" t="s">
        <v>1105</v>
      </c>
      <c r="M424" s="58" t="s">
        <v>115</v>
      </c>
      <c r="N424" s="13">
        <v>300000</v>
      </c>
      <c r="O424" s="14" t="s">
        <v>280</v>
      </c>
      <c r="P424" s="15" t="s">
        <v>3</v>
      </c>
      <c r="Q424" s="3" t="s">
        <v>153</v>
      </c>
      <c r="R424" s="1" t="s">
        <v>0</v>
      </c>
      <c r="S424" s="52" t="s">
        <v>78</v>
      </c>
      <c r="T424" s="121"/>
    </row>
    <row r="425" spans="1:20" ht="12" customHeight="1" x14ac:dyDescent="0.2">
      <c r="A425" s="60">
        <v>45888</v>
      </c>
      <c r="B425" s="57" t="s">
        <v>279</v>
      </c>
      <c r="C425" s="15">
        <v>80232692</v>
      </c>
      <c r="D425" s="52" t="s">
        <v>278</v>
      </c>
      <c r="E425" s="52" t="s">
        <v>65</v>
      </c>
      <c r="F425" s="52" t="s">
        <v>72</v>
      </c>
      <c r="G425" s="52" t="s">
        <v>1361</v>
      </c>
      <c r="H425" s="3" t="s">
        <v>277</v>
      </c>
      <c r="I425" s="61">
        <v>111411</v>
      </c>
      <c r="J425" s="15" t="s">
        <v>276</v>
      </c>
      <c r="K425" s="12" t="s">
        <v>275</v>
      </c>
      <c r="L425" s="61" t="s">
        <v>1105</v>
      </c>
      <c r="M425" s="58" t="s">
        <v>102</v>
      </c>
      <c r="N425" s="13">
        <v>500000</v>
      </c>
      <c r="O425" s="14" t="s">
        <v>274</v>
      </c>
      <c r="P425" s="15" t="s">
        <v>3</v>
      </c>
      <c r="Q425" s="3" t="s">
        <v>153</v>
      </c>
      <c r="R425" s="1" t="s">
        <v>0</v>
      </c>
      <c r="S425" s="52" t="s">
        <v>78</v>
      </c>
      <c r="T425" s="121"/>
    </row>
    <row r="426" spans="1:20" ht="12" customHeight="1" x14ac:dyDescent="0.2">
      <c r="A426" s="60">
        <v>45813</v>
      </c>
      <c r="B426" s="57" t="s">
        <v>265</v>
      </c>
      <c r="C426" s="15" t="s">
        <v>1207</v>
      </c>
      <c r="D426" s="52">
        <v>223063426</v>
      </c>
      <c r="E426" s="52" t="s">
        <v>131</v>
      </c>
      <c r="F426" s="52" t="s">
        <v>263</v>
      </c>
      <c r="G426" s="52" t="s">
        <v>263</v>
      </c>
      <c r="H426" s="3" t="s">
        <v>262</v>
      </c>
      <c r="I426" s="61">
        <v>20000</v>
      </c>
      <c r="J426" s="15" t="s">
        <v>261</v>
      </c>
      <c r="K426" s="12" t="s">
        <v>260</v>
      </c>
      <c r="L426" s="61" t="s">
        <v>1306</v>
      </c>
      <c r="M426" s="58" t="s">
        <v>4</v>
      </c>
      <c r="N426" s="13">
        <v>200000</v>
      </c>
      <c r="O426" s="14" t="s">
        <v>273</v>
      </c>
      <c r="P426" s="15" t="s">
        <v>1</v>
      </c>
      <c r="Q426" s="3" t="s">
        <v>153</v>
      </c>
      <c r="R426" s="1" t="s">
        <v>0</v>
      </c>
      <c r="S426" s="52" t="s">
        <v>78</v>
      </c>
      <c r="T426" s="121"/>
    </row>
    <row r="427" spans="1:20" ht="12" customHeight="1" x14ac:dyDescent="0.2">
      <c r="A427" s="60">
        <v>45819</v>
      </c>
      <c r="B427" s="57" t="s">
        <v>265</v>
      </c>
      <c r="C427" s="15" t="s">
        <v>1207</v>
      </c>
      <c r="D427" s="52">
        <v>223063426</v>
      </c>
      <c r="E427" s="52" t="s">
        <v>131</v>
      </c>
      <c r="F427" s="52" t="s">
        <v>263</v>
      </c>
      <c r="G427" s="52" t="s">
        <v>263</v>
      </c>
      <c r="H427" s="3" t="s">
        <v>262</v>
      </c>
      <c r="I427" s="61">
        <v>20000</v>
      </c>
      <c r="J427" s="15" t="s">
        <v>261</v>
      </c>
      <c r="K427" s="12" t="s">
        <v>260</v>
      </c>
      <c r="L427" s="61" t="s">
        <v>1306</v>
      </c>
      <c r="M427" s="58" t="s">
        <v>4</v>
      </c>
      <c r="N427" s="13">
        <v>200000</v>
      </c>
      <c r="O427" s="14" t="s">
        <v>272</v>
      </c>
      <c r="P427" s="15" t="s">
        <v>3</v>
      </c>
      <c r="Q427" s="3" t="s">
        <v>153</v>
      </c>
      <c r="R427" s="1" t="s">
        <v>0</v>
      </c>
      <c r="S427" s="52" t="s">
        <v>78</v>
      </c>
      <c r="T427" s="121"/>
    </row>
    <row r="428" spans="1:20" ht="12" customHeight="1" x14ac:dyDescent="0.2">
      <c r="A428" s="60">
        <v>45889</v>
      </c>
      <c r="B428" s="57" t="s">
        <v>265</v>
      </c>
      <c r="C428" s="15" t="s">
        <v>1207</v>
      </c>
      <c r="D428" s="52">
        <v>223063426</v>
      </c>
      <c r="E428" s="52" t="s">
        <v>131</v>
      </c>
      <c r="F428" s="52" t="s">
        <v>263</v>
      </c>
      <c r="G428" s="52" t="s">
        <v>263</v>
      </c>
      <c r="H428" s="3" t="s">
        <v>262</v>
      </c>
      <c r="I428" s="61">
        <v>20000</v>
      </c>
      <c r="J428" s="15" t="s">
        <v>261</v>
      </c>
      <c r="K428" s="12" t="s">
        <v>260</v>
      </c>
      <c r="L428" s="61" t="s">
        <v>1306</v>
      </c>
      <c r="M428" s="58" t="s">
        <v>84</v>
      </c>
      <c r="N428" s="13">
        <v>120000</v>
      </c>
      <c r="O428" s="14" t="s">
        <v>271</v>
      </c>
      <c r="P428" s="15" t="s">
        <v>1</v>
      </c>
      <c r="Q428" s="3" t="s">
        <v>153</v>
      </c>
      <c r="R428" s="1" t="s">
        <v>0</v>
      </c>
      <c r="S428" s="52" t="s">
        <v>78</v>
      </c>
      <c r="T428" s="121"/>
    </row>
    <row r="429" spans="1:20" ht="12" customHeight="1" x14ac:dyDescent="0.2">
      <c r="A429" s="60">
        <v>45916</v>
      </c>
      <c r="B429" s="57" t="s">
        <v>265</v>
      </c>
      <c r="C429" s="15" t="s">
        <v>1207</v>
      </c>
      <c r="D429" s="52">
        <v>223063426</v>
      </c>
      <c r="E429" s="52" t="s">
        <v>131</v>
      </c>
      <c r="F429" s="52" t="s">
        <v>263</v>
      </c>
      <c r="G429" s="52" t="s">
        <v>263</v>
      </c>
      <c r="H429" s="3" t="s">
        <v>262</v>
      </c>
      <c r="I429" s="61">
        <v>20000</v>
      </c>
      <c r="J429" s="15" t="s">
        <v>261</v>
      </c>
      <c r="K429" s="12" t="s">
        <v>260</v>
      </c>
      <c r="L429" s="61" t="s">
        <v>1306</v>
      </c>
      <c r="M429" s="58" t="s">
        <v>6</v>
      </c>
      <c r="N429" s="13">
        <v>200000</v>
      </c>
      <c r="O429" s="14" t="s">
        <v>270</v>
      </c>
      <c r="P429" s="15" t="s">
        <v>1</v>
      </c>
      <c r="Q429" s="3" t="s">
        <v>153</v>
      </c>
      <c r="R429" s="1" t="s">
        <v>0</v>
      </c>
      <c r="S429" s="52" t="s">
        <v>78</v>
      </c>
      <c r="T429" s="121"/>
    </row>
    <row r="430" spans="1:20" ht="12" customHeight="1" x14ac:dyDescent="0.2">
      <c r="A430" s="60">
        <v>45930</v>
      </c>
      <c r="B430" s="57" t="s">
        <v>265</v>
      </c>
      <c r="C430" s="15" t="s">
        <v>1207</v>
      </c>
      <c r="D430" s="52">
        <v>223063426</v>
      </c>
      <c r="E430" s="52" t="s">
        <v>131</v>
      </c>
      <c r="F430" s="52" t="s">
        <v>263</v>
      </c>
      <c r="G430" s="52" t="s">
        <v>263</v>
      </c>
      <c r="H430" s="3" t="s">
        <v>262</v>
      </c>
      <c r="I430" s="61">
        <v>20000</v>
      </c>
      <c r="J430" s="15" t="s">
        <v>261</v>
      </c>
      <c r="K430" s="12" t="s">
        <v>260</v>
      </c>
      <c r="L430" s="61" t="s">
        <v>1306</v>
      </c>
      <c r="M430" s="58" t="s">
        <v>6</v>
      </c>
      <c r="N430" s="13">
        <v>200000</v>
      </c>
      <c r="O430" s="14" t="s">
        <v>269</v>
      </c>
      <c r="P430" s="15" t="s">
        <v>1</v>
      </c>
      <c r="Q430" s="3" t="s">
        <v>153</v>
      </c>
      <c r="R430" s="1" t="s">
        <v>0</v>
      </c>
      <c r="S430" s="52" t="s">
        <v>78</v>
      </c>
      <c r="T430" s="121"/>
    </row>
    <row r="431" spans="1:20" ht="12" customHeight="1" x14ac:dyDescent="0.2">
      <c r="A431" s="60">
        <v>45943</v>
      </c>
      <c r="B431" s="57" t="s">
        <v>265</v>
      </c>
      <c r="C431" s="15" t="s">
        <v>1207</v>
      </c>
      <c r="D431" s="52">
        <v>223063426</v>
      </c>
      <c r="E431" s="52" t="s">
        <v>131</v>
      </c>
      <c r="F431" s="52" t="s">
        <v>263</v>
      </c>
      <c r="G431" s="52" t="s">
        <v>263</v>
      </c>
      <c r="H431" s="3" t="s">
        <v>262</v>
      </c>
      <c r="I431" s="61">
        <v>20000</v>
      </c>
      <c r="J431" s="15" t="s">
        <v>261</v>
      </c>
      <c r="K431" s="12" t="s">
        <v>260</v>
      </c>
      <c r="L431" s="61" t="s">
        <v>1306</v>
      </c>
      <c r="M431" s="58" t="s">
        <v>115</v>
      </c>
      <c r="N431" s="13">
        <v>300000</v>
      </c>
      <c r="O431" s="14" t="s">
        <v>268</v>
      </c>
      <c r="P431" s="15" t="s">
        <v>3</v>
      </c>
      <c r="Q431" s="3" t="s">
        <v>153</v>
      </c>
      <c r="R431" s="1" t="s">
        <v>0</v>
      </c>
      <c r="S431" s="52" t="s">
        <v>78</v>
      </c>
      <c r="T431" s="121"/>
    </row>
    <row r="432" spans="1:20" ht="12" customHeight="1" x14ac:dyDescent="0.2">
      <c r="A432" s="60">
        <v>46056</v>
      </c>
      <c r="B432" s="57" t="s">
        <v>265</v>
      </c>
      <c r="C432" s="15" t="s">
        <v>1207</v>
      </c>
      <c r="D432" s="52">
        <v>223063426</v>
      </c>
      <c r="E432" s="52" t="s">
        <v>131</v>
      </c>
      <c r="F432" s="52" t="s">
        <v>263</v>
      </c>
      <c r="G432" s="52" t="s">
        <v>263</v>
      </c>
      <c r="H432" s="3" t="s">
        <v>262</v>
      </c>
      <c r="I432" s="61">
        <v>20000</v>
      </c>
      <c r="J432" s="15" t="s">
        <v>261</v>
      </c>
      <c r="K432" s="12" t="s">
        <v>260</v>
      </c>
      <c r="L432" s="61" t="s">
        <v>1306</v>
      </c>
      <c r="M432" s="58" t="s">
        <v>5</v>
      </c>
      <c r="N432" s="13">
        <v>150000</v>
      </c>
      <c r="O432" s="14" t="s">
        <v>267</v>
      </c>
      <c r="P432" s="15" t="s">
        <v>3</v>
      </c>
      <c r="Q432" s="3" t="s">
        <v>153</v>
      </c>
      <c r="R432" s="1" t="s">
        <v>0</v>
      </c>
      <c r="S432" s="52" t="s">
        <v>78</v>
      </c>
      <c r="T432" s="121"/>
    </row>
    <row r="433" spans="1:20" ht="12" customHeight="1" x14ac:dyDescent="0.2">
      <c r="A433" s="60">
        <v>46150</v>
      </c>
      <c r="B433" s="57" t="s">
        <v>265</v>
      </c>
      <c r="C433" s="15" t="s">
        <v>1207</v>
      </c>
      <c r="D433" s="52">
        <v>223063426</v>
      </c>
      <c r="E433" s="52" t="s">
        <v>131</v>
      </c>
      <c r="F433" s="52" t="s">
        <v>263</v>
      </c>
      <c r="G433" s="52" t="s">
        <v>263</v>
      </c>
      <c r="H433" s="3" t="s">
        <v>262</v>
      </c>
      <c r="I433" s="61">
        <v>20000</v>
      </c>
      <c r="J433" s="15" t="s">
        <v>261</v>
      </c>
      <c r="K433" s="12" t="s">
        <v>260</v>
      </c>
      <c r="L433" s="61" t="s">
        <v>1306</v>
      </c>
      <c r="M433" s="58" t="s">
        <v>105</v>
      </c>
      <c r="N433" s="13">
        <v>100000</v>
      </c>
      <c r="O433" s="61" t="s">
        <v>266</v>
      </c>
      <c r="P433" s="15" t="s">
        <v>3</v>
      </c>
      <c r="Q433" s="3" t="s">
        <v>153</v>
      </c>
      <c r="R433" s="1" t="s">
        <v>0</v>
      </c>
      <c r="S433" s="52" t="s">
        <v>78</v>
      </c>
      <c r="T433" s="52"/>
    </row>
    <row r="434" spans="1:20" ht="12" customHeight="1" x14ac:dyDescent="0.2">
      <c r="A434" s="60">
        <v>46150.726388888892</v>
      </c>
      <c r="B434" s="57" t="s">
        <v>265</v>
      </c>
      <c r="C434" s="15" t="s">
        <v>1207</v>
      </c>
      <c r="D434" s="52">
        <v>223063426</v>
      </c>
      <c r="E434" s="52" t="s">
        <v>131</v>
      </c>
      <c r="F434" s="52" t="s">
        <v>263</v>
      </c>
      <c r="G434" s="52" t="s">
        <v>263</v>
      </c>
      <c r="H434" s="3" t="s">
        <v>262</v>
      </c>
      <c r="I434" s="61">
        <v>20000</v>
      </c>
      <c r="J434" s="15" t="s">
        <v>261</v>
      </c>
      <c r="K434" s="12" t="s">
        <v>260</v>
      </c>
      <c r="L434" s="61" t="s">
        <v>1306</v>
      </c>
      <c r="M434" s="58" t="s">
        <v>84</v>
      </c>
      <c r="N434" s="13">
        <v>0</v>
      </c>
      <c r="O434" s="14" t="s">
        <v>81</v>
      </c>
      <c r="P434" s="15" t="s">
        <v>68</v>
      </c>
      <c r="Q434" s="3" t="s">
        <v>153</v>
      </c>
      <c r="R434" s="1" t="s">
        <v>0</v>
      </c>
      <c r="S434" s="52" t="s">
        <v>78</v>
      </c>
      <c r="T434" s="121"/>
    </row>
    <row r="435" spans="1:20" ht="12" customHeight="1" x14ac:dyDescent="0.2">
      <c r="A435" s="60">
        <v>45831.47662671296</v>
      </c>
      <c r="B435" s="57" t="s">
        <v>259</v>
      </c>
      <c r="C435" s="15" t="s">
        <v>258</v>
      </c>
      <c r="D435" s="52" t="s">
        <v>257</v>
      </c>
      <c r="E435" s="52" t="s">
        <v>139</v>
      </c>
      <c r="F435" s="52" t="s">
        <v>256</v>
      </c>
      <c r="G435" s="52" t="s">
        <v>248</v>
      </c>
      <c r="H435" s="3" t="s">
        <v>255</v>
      </c>
      <c r="I435" s="61" t="s">
        <v>254</v>
      </c>
      <c r="J435" s="15" t="s">
        <v>253</v>
      </c>
      <c r="K435" s="12" t="s">
        <v>252</v>
      </c>
      <c r="L435" s="61" t="s">
        <v>1307</v>
      </c>
      <c r="M435" s="58" t="s">
        <v>104</v>
      </c>
      <c r="N435" s="13">
        <v>120000</v>
      </c>
      <c r="O435" s="14" t="s">
        <v>251</v>
      </c>
      <c r="P435" s="15" t="s">
        <v>50</v>
      </c>
      <c r="Q435" s="3" t="s">
        <v>153</v>
      </c>
      <c r="R435" s="1" t="s">
        <v>0</v>
      </c>
      <c r="S435" s="52" t="s">
        <v>78</v>
      </c>
      <c r="T435" s="121"/>
    </row>
    <row r="436" spans="1:20" ht="12" customHeight="1" x14ac:dyDescent="0.2">
      <c r="A436" s="60">
        <v>45856.815775462965</v>
      </c>
      <c r="B436" s="57" t="s">
        <v>250</v>
      </c>
      <c r="C436" s="15" t="s">
        <v>1099</v>
      </c>
      <c r="D436" s="52" t="s">
        <v>249</v>
      </c>
      <c r="E436" s="52" t="s">
        <v>118</v>
      </c>
      <c r="F436" s="52" t="s">
        <v>247</v>
      </c>
      <c r="G436" s="52" t="s">
        <v>248</v>
      </c>
      <c r="H436" s="3" t="s">
        <v>247</v>
      </c>
      <c r="I436" s="61" t="s">
        <v>1208</v>
      </c>
      <c r="J436" s="15" t="s">
        <v>246</v>
      </c>
      <c r="K436" s="12" t="s">
        <v>245</v>
      </c>
      <c r="L436" s="61" t="s">
        <v>1308</v>
      </c>
      <c r="M436" s="58" t="s">
        <v>108</v>
      </c>
      <c r="N436" s="13">
        <v>200000</v>
      </c>
      <c r="O436" s="14" t="s">
        <v>244</v>
      </c>
      <c r="P436" s="15" t="s">
        <v>50</v>
      </c>
      <c r="Q436" s="3" t="s">
        <v>153</v>
      </c>
      <c r="R436" s="1" t="s">
        <v>0</v>
      </c>
      <c r="S436" s="52" t="s">
        <v>78</v>
      </c>
      <c r="T436" s="121"/>
    </row>
    <row r="437" spans="1:20" ht="12" customHeight="1" x14ac:dyDescent="0.2">
      <c r="A437" s="60">
        <v>45889</v>
      </c>
      <c r="B437" s="57" t="s">
        <v>238</v>
      </c>
      <c r="C437" s="15">
        <v>31154698</v>
      </c>
      <c r="D437" s="52" t="s">
        <v>237</v>
      </c>
      <c r="E437" s="52" t="s">
        <v>65</v>
      </c>
      <c r="F437" s="52" t="s">
        <v>66</v>
      </c>
      <c r="G437" s="52" t="s">
        <v>236</v>
      </c>
      <c r="H437" s="3" t="s">
        <v>235</v>
      </c>
      <c r="I437" s="61">
        <v>763531</v>
      </c>
      <c r="J437" s="15" t="s">
        <v>234</v>
      </c>
      <c r="K437" s="12" t="s">
        <v>233</v>
      </c>
      <c r="L437" s="61" t="s">
        <v>1309</v>
      </c>
      <c r="M437" s="58" t="s">
        <v>115</v>
      </c>
      <c r="N437" s="13">
        <v>300000</v>
      </c>
      <c r="O437" s="12" t="s">
        <v>241</v>
      </c>
      <c r="P437" s="15" t="s">
        <v>240</v>
      </c>
      <c r="Q437" s="3" t="s">
        <v>153</v>
      </c>
      <c r="R437" s="1" t="s">
        <v>0</v>
      </c>
      <c r="S437" s="52" t="s">
        <v>78</v>
      </c>
      <c r="T437" s="121"/>
    </row>
    <row r="438" spans="1:20" ht="12" customHeight="1" x14ac:dyDescent="0.2">
      <c r="A438" s="60">
        <v>46044</v>
      </c>
      <c r="B438" s="57" t="s">
        <v>238</v>
      </c>
      <c r="C438" s="15">
        <v>31154698</v>
      </c>
      <c r="D438" s="52" t="s">
        <v>237</v>
      </c>
      <c r="E438" s="52" t="s">
        <v>65</v>
      </c>
      <c r="F438" s="52" t="s">
        <v>66</v>
      </c>
      <c r="G438" s="52" t="s">
        <v>236</v>
      </c>
      <c r="H438" s="3" t="s">
        <v>235</v>
      </c>
      <c r="I438" s="61">
        <v>763531</v>
      </c>
      <c r="J438" s="15" t="s">
        <v>234</v>
      </c>
      <c r="K438" s="12" t="s">
        <v>233</v>
      </c>
      <c r="L438" s="61" t="s">
        <v>1309</v>
      </c>
      <c r="M438" s="58" t="s">
        <v>5</v>
      </c>
      <c r="N438" s="13">
        <v>150000</v>
      </c>
      <c r="O438" s="12" t="s">
        <v>239</v>
      </c>
      <c r="P438" s="15" t="s">
        <v>7</v>
      </c>
      <c r="Q438" s="3" t="s">
        <v>153</v>
      </c>
      <c r="R438" s="1" t="s">
        <v>0</v>
      </c>
      <c r="S438" s="52" t="s">
        <v>78</v>
      </c>
      <c r="T438" s="121"/>
    </row>
    <row r="439" spans="1:20" ht="12" customHeight="1" x14ac:dyDescent="0.2">
      <c r="A439" s="60">
        <v>46110</v>
      </c>
      <c r="B439" s="57" t="s">
        <v>238</v>
      </c>
      <c r="C439" s="15">
        <v>31154698</v>
      </c>
      <c r="D439" s="52" t="s">
        <v>237</v>
      </c>
      <c r="E439" s="52" t="s">
        <v>65</v>
      </c>
      <c r="F439" s="52" t="s">
        <v>66</v>
      </c>
      <c r="G439" s="52" t="s">
        <v>236</v>
      </c>
      <c r="H439" s="3" t="s">
        <v>235</v>
      </c>
      <c r="I439" s="61">
        <v>763531</v>
      </c>
      <c r="J439" s="15" t="s">
        <v>234</v>
      </c>
      <c r="K439" s="12" t="s">
        <v>233</v>
      </c>
      <c r="L439" s="61" t="s">
        <v>1309</v>
      </c>
      <c r="M439" s="58" t="s">
        <v>47</v>
      </c>
      <c r="N439" s="13">
        <v>200000</v>
      </c>
      <c r="O439" s="12">
        <v>177481190283518</v>
      </c>
      <c r="P439" s="15" t="s">
        <v>232</v>
      </c>
      <c r="Q439" s="3" t="s">
        <v>153</v>
      </c>
      <c r="R439" s="1" t="s">
        <v>0</v>
      </c>
      <c r="S439" s="52" t="s">
        <v>78</v>
      </c>
      <c r="T439" s="121"/>
    </row>
    <row r="440" spans="1:20" ht="12" customHeight="1" x14ac:dyDescent="0.2">
      <c r="A440" s="172">
        <v>46236</v>
      </c>
      <c r="B440" s="173" t="s">
        <v>238</v>
      </c>
      <c r="C440" s="15">
        <v>31154698</v>
      </c>
      <c r="D440" s="52" t="s">
        <v>237</v>
      </c>
      <c r="E440" s="52" t="s">
        <v>65</v>
      </c>
      <c r="F440" s="52" t="s">
        <v>66</v>
      </c>
      <c r="G440" s="52" t="s">
        <v>236</v>
      </c>
      <c r="H440" s="3" t="s">
        <v>235</v>
      </c>
      <c r="I440" s="61">
        <v>763531</v>
      </c>
      <c r="J440" s="15" t="s">
        <v>234</v>
      </c>
      <c r="K440" s="12" t="s">
        <v>233</v>
      </c>
      <c r="L440" s="61" t="s">
        <v>1309</v>
      </c>
      <c r="M440" s="145" t="s">
        <v>1336</v>
      </c>
      <c r="N440">
        <v>60000</v>
      </c>
      <c r="O440" t="s">
        <v>1348</v>
      </c>
      <c r="P440" s="106" t="s">
        <v>3</v>
      </c>
      <c r="Q440" s="3" t="s">
        <v>153</v>
      </c>
      <c r="R440" s="1" t="s">
        <v>0</v>
      </c>
      <c r="S440" s="52" t="s">
        <v>78</v>
      </c>
    </row>
    <row r="441" spans="1:20" ht="12" customHeight="1" x14ac:dyDescent="0.2">
      <c r="A441" s="60">
        <v>46254</v>
      </c>
      <c r="B441" s="57" t="s">
        <v>238</v>
      </c>
      <c r="C441" s="15">
        <v>31154698</v>
      </c>
      <c r="D441" s="52" t="s">
        <v>237</v>
      </c>
      <c r="E441" s="52" t="s">
        <v>65</v>
      </c>
      <c r="F441" s="52" t="s">
        <v>66</v>
      </c>
      <c r="G441" s="52" t="s">
        <v>236</v>
      </c>
      <c r="H441" s="3" t="s">
        <v>235</v>
      </c>
      <c r="I441" s="61">
        <v>763531</v>
      </c>
      <c r="J441" s="15" t="s">
        <v>234</v>
      </c>
      <c r="K441" s="12" t="s">
        <v>233</v>
      </c>
      <c r="L441" s="61" t="s">
        <v>1309</v>
      </c>
      <c r="M441" s="58" t="s">
        <v>1336</v>
      </c>
      <c r="N441" s="13">
        <v>60000</v>
      </c>
      <c r="O441" s="14" t="s">
        <v>1360</v>
      </c>
      <c r="P441" s="15" t="s">
        <v>3</v>
      </c>
      <c r="Q441" s="3" t="s">
        <v>153</v>
      </c>
      <c r="R441" s="1" t="s">
        <v>0</v>
      </c>
      <c r="S441" s="52" t="s">
        <v>78</v>
      </c>
      <c r="T441" s="59"/>
    </row>
    <row r="442" spans="1:20" ht="12" customHeight="1" x14ac:dyDescent="0.2">
      <c r="A442" s="60">
        <v>45833.713781805556</v>
      </c>
      <c r="B442" s="57" t="s">
        <v>225</v>
      </c>
      <c r="C442" s="15">
        <v>35461139</v>
      </c>
      <c r="D442" s="52" t="s">
        <v>224</v>
      </c>
      <c r="E442" s="52" t="s">
        <v>65</v>
      </c>
      <c r="F442" s="52" t="s">
        <v>71</v>
      </c>
      <c r="G442" s="52" t="s">
        <v>223</v>
      </c>
      <c r="H442" s="3" t="s">
        <v>222</v>
      </c>
      <c r="I442" s="61">
        <v>250240</v>
      </c>
      <c r="J442" s="15" t="s">
        <v>221</v>
      </c>
      <c r="K442" s="12" t="s">
        <v>220</v>
      </c>
      <c r="L442" s="61" t="s">
        <v>1310</v>
      </c>
      <c r="M442" s="58" t="s">
        <v>104</v>
      </c>
      <c r="N442" s="13">
        <v>120000</v>
      </c>
      <c r="O442" s="12" t="s">
        <v>231</v>
      </c>
      <c r="P442" s="15" t="s">
        <v>3</v>
      </c>
      <c r="Q442" s="3" t="s">
        <v>153</v>
      </c>
      <c r="R442" s="1" t="s">
        <v>0</v>
      </c>
      <c r="S442" s="52" t="s">
        <v>78</v>
      </c>
      <c r="T442" s="121"/>
    </row>
    <row r="443" spans="1:20" ht="12" customHeight="1" x14ac:dyDescent="0.2">
      <c r="A443" s="60">
        <v>46051</v>
      </c>
      <c r="B443" s="57" t="s">
        <v>225</v>
      </c>
      <c r="C443" s="15">
        <v>35461139</v>
      </c>
      <c r="D443" s="52" t="s">
        <v>224</v>
      </c>
      <c r="E443" s="52" t="s">
        <v>65</v>
      </c>
      <c r="F443" s="52" t="s">
        <v>71</v>
      </c>
      <c r="G443" s="52" t="s">
        <v>223</v>
      </c>
      <c r="H443" s="3" t="s">
        <v>222</v>
      </c>
      <c r="I443" s="61">
        <v>250240</v>
      </c>
      <c r="J443" s="15" t="s">
        <v>221</v>
      </c>
      <c r="K443" s="12" t="s">
        <v>220</v>
      </c>
      <c r="L443" s="61" t="s">
        <v>1310</v>
      </c>
      <c r="M443" s="58" t="s">
        <v>5</v>
      </c>
      <c r="N443" s="13">
        <v>150000</v>
      </c>
      <c r="O443" s="12" t="s">
        <v>230</v>
      </c>
      <c r="P443" s="15" t="s">
        <v>3</v>
      </c>
      <c r="Q443" s="3" t="s">
        <v>153</v>
      </c>
      <c r="R443" s="1" t="s">
        <v>0</v>
      </c>
      <c r="S443" s="52" t="s">
        <v>78</v>
      </c>
      <c r="T443" s="121"/>
    </row>
    <row r="444" spans="1:20" ht="12" customHeight="1" x14ac:dyDescent="0.2">
      <c r="A444" s="60">
        <v>46053</v>
      </c>
      <c r="B444" s="57" t="s">
        <v>225</v>
      </c>
      <c r="C444" s="15">
        <v>35461139</v>
      </c>
      <c r="D444" s="52" t="s">
        <v>224</v>
      </c>
      <c r="E444" s="52" t="s">
        <v>65</v>
      </c>
      <c r="F444" s="52" t="s">
        <v>71</v>
      </c>
      <c r="G444" s="52" t="s">
        <v>223</v>
      </c>
      <c r="H444" s="3" t="s">
        <v>222</v>
      </c>
      <c r="I444" s="61">
        <v>250240</v>
      </c>
      <c r="J444" s="15" t="s">
        <v>221</v>
      </c>
      <c r="K444" s="12" t="s">
        <v>220</v>
      </c>
      <c r="L444" s="61" t="s">
        <v>1310</v>
      </c>
      <c r="M444" s="58" t="s">
        <v>5</v>
      </c>
      <c r="N444" s="13">
        <v>150000</v>
      </c>
      <c r="O444" s="12" t="s">
        <v>229</v>
      </c>
      <c r="P444" s="15" t="s">
        <v>3</v>
      </c>
      <c r="Q444" s="3" t="s">
        <v>153</v>
      </c>
      <c r="R444" s="1" t="s">
        <v>0</v>
      </c>
      <c r="S444" s="52" t="s">
        <v>78</v>
      </c>
      <c r="T444" s="121"/>
    </row>
    <row r="445" spans="1:20" ht="12" customHeight="1" x14ac:dyDescent="0.2">
      <c r="A445" s="60">
        <v>46056</v>
      </c>
      <c r="B445" s="57" t="s">
        <v>225</v>
      </c>
      <c r="C445" s="15">
        <v>35461139</v>
      </c>
      <c r="D445" s="52" t="s">
        <v>224</v>
      </c>
      <c r="E445" s="52" t="s">
        <v>65</v>
      </c>
      <c r="F445" s="52" t="s">
        <v>71</v>
      </c>
      <c r="G445" s="52" t="s">
        <v>223</v>
      </c>
      <c r="H445" s="3" t="s">
        <v>222</v>
      </c>
      <c r="I445" s="61">
        <v>250240</v>
      </c>
      <c r="J445" s="15" t="s">
        <v>221</v>
      </c>
      <c r="K445" s="12" t="s">
        <v>220</v>
      </c>
      <c r="L445" s="61" t="s">
        <v>1310</v>
      </c>
      <c r="M445" s="58" t="s">
        <v>5</v>
      </c>
      <c r="N445" s="13">
        <v>150000</v>
      </c>
      <c r="O445" s="12" t="s">
        <v>228</v>
      </c>
      <c r="P445" s="15" t="s">
        <v>3</v>
      </c>
      <c r="Q445" s="3" t="s">
        <v>153</v>
      </c>
      <c r="R445" s="1" t="s">
        <v>0</v>
      </c>
      <c r="S445" s="52" t="s">
        <v>78</v>
      </c>
      <c r="T445" s="121"/>
    </row>
    <row r="446" spans="1:20" ht="12" customHeight="1" x14ac:dyDescent="0.2">
      <c r="A446" s="60">
        <v>46056</v>
      </c>
      <c r="B446" s="57" t="s">
        <v>225</v>
      </c>
      <c r="C446" s="15">
        <v>35461139</v>
      </c>
      <c r="D446" s="52" t="s">
        <v>224</v>
      </c>
      <c r="E446" s="52" t="s">
        <v>65</v>
      </c>
      <c r="F446" s="52" t="s">
        <v>71</v>
      </c>
      <c r="G446" s="52" t="s">
        <v>223</v>
      </c>
      <c r="H446" s="3" t="s">
        <v>222</v>
      </c>
      <c r="I446" s="61">
        <v>250240</v>
      </c>
      <c r="J446" s="15" t="s">
        <v>221</v>
      </c>
      <c r="K446" s="12" t="s">
        <v>220</v>
      </c>
      <c r="L446" s="61" t="s">
        <v>1310</v>
      </c>
      <c r="M446" s="58" t="s">
        <v>5</v>
      </c>
      <c r="N446" s="13">
        <v>150000</v>
      </c>
      <c r="O446" s="12" t="s">
        <v>227</v>
      </c>
      <c r="P446" s="15" t="s">
        <v>3</v>
      </c>
      <c r="Q446" s="3" t="s">
        <v>153</v>
      </c>
      <c r="R446" s="1" t="s">
        <v>0</v>
      </c>
      <c r="S446" s="52" t="s">
        <v>78</v>
      </c>
      <c r="T446" s="121"/>
    </row>
    <row r="447" spans="1:20" ht="12" customHeight="1" x14ac:dyDescent="0.2">
      <c r="A447" s="60">
        <v>46114</v>
      </c>
      <c r="B447" s="57" t="s">
        <v>225</v>
      </c>
      <c r="C447" s="15">
        <v>35461139</v>
      </c>
      <c r="D447" s="52" t="s">
        <v>224</v>
      </c>
      <c r="E447" s="52" t="s">
        <v>65</v>
      </c>
      <c r="F447" s="52" t="s">
        <v>71</v>
      </c>
      <c r="G447" s="52" t="s">
        <v>223</v>
      </c>
      <c r="H447" s="3" t="s">
        <v>222</v>
      </c>
      <c r="I447" s="61">
        <v>250240</v>
      </c>
      <c r="J447" s="15" t="s">
        <v>221</v>
      </c>
      <c r="K447" s="12" t="s">
        <v>220</v>
      </c>
      <c r="L447" s="61" t="s">
        <v>1310</v>
      </c>
      <c r="M447" s="58" t="s">
        <v>47</v>
      </c>
      <c r="N447" s="13">
        <v>200000</v>
      </c>
      <c r="O447" s="12" t="s">
        <v>226</v>
      </c>
      <c r="P447" s="15" t="s">
        <v>3</v>
      </c>
      <c r="Q447" s="3" t="s">
        <v>153</v>
      </c>
      <c r="R447" s="1" t="s">
        <v>0</v>
      </c>
      <c r="S447" s="52" t="s">
        <v>78</v>
      </c>
      <c r="T447" s="121"/>
    </row>
    <row r="448" spans="1:20" ht="12" customHeight="1" x14ac:dyDescent="0.2">
      <c r="A448" s="55">
        <v>46172</v>
      </c>
      <c r="B448" s="57" t="s">
        <v>225</v>
      </c>
      <c r="C448" s="15">
        <v>35461139</v>
      </c>
      <c r="D448" s="52" t="s">
        <v>224</v>
      </c>
      <c r="E448" s="52" t="s">
        <v>65</v>
      </c>
      <c r="F448" s="52" t="s">
        <v>71</v>
      </c>
      <c r="G448" s="52" t="s">
        <v>223</v>
      </c>
      <c r="H448" s="3" t="s">
        <v>222</v>
      </c>
      <c r="I448" s="61">
        <v>250240</v>
      </c>
      <c r="J448" s="15" t="s">
        <v>221</v>
      </c>
      <c r="K448" s="12" t="s">
        <v>220</v>
      </c>
      <c r="L448" s="61" t="s">
        <v>1310</v>
      </c>
      <c r="M448" s="58" t="s">
        <v>82</v>
      </c>
      <c r="N448" s="13">
        <v>200000</v>
      </c>
      <c r="O448" s="12" t="s">
        <v>219</v>
      </c>
      <c r="P448" s="15" t="s">
        <v>3</v>
      </c>
      <c r="Q448" s="3" t="s">
        <v>153</v>
      </c>
      <c r="R448" s="1" t="s">
        <v>0</v>
      </c>
      <c r="S448" s="52" t="s">
        <v>78</v>
      </c>
      <c r="T448" s="121"/>
    </row>
    <row r="449" spans="1:20" ht="12" customHeight="1" x14ac:dyDescent="0.2">
      <c r="A449" s="60">
        <v>46014</v>
      </c>
      <c r="B449" s="57" t="s">
        <v>218</v>
      </c>
      <c r="C449" s="15">
        <v>1077226532</v>
      </c>
      <c r="D449" s="52" t="s">
        <v>1209</v>
      </c>
      <c r="E449" s="52" t="s">
        <v>65</v>
      </c>
      <c r="F449" s="52" t="s">
        <v>100</v>
      </c>
      <c r="G449" s="52" t="s">
        <v>101</v>
      </c>
      <c r="H449" s="3" t="s">
        <v>1210</v>
      </c>
      <c r="I449" s="61" t="s">
        <v>1211</v>
      </c>
      <c r="J449" s="15" t="s">
        <v>217</v>
      </c>
      <c r="K449" s="12" t="s">
        <v>216</v>
      </c>
      <c r="L449" s="61" t="s">
        <v>1311</v>
      </c>
      <c r="M449" s="58" t="s">
        <v>215</v>
      </c>
      <c r="N449" s="13">
        <v>400000</v>
      </c>
      <c r="O449" s="12" t="s">
        <v>214</v>
      </c>
      <c r="P449" s="15" t="s">
        <v>3</v>
      </c>
      <c r="Q449" s="3" t="s">
        <v>153</v>
      </c>
      <c r="R449" s="1" t="s">
        <v>0</v>
      </c>
      <c r="S449" s="52" t="s">
        <v>78</v>
      </c>
      <c r="T449" s="121"/>
    </row>
    <row r="450" spans="1:20" ht="12" customHeight="1" x14ac:dyDescent="0.2">
      <c r="A450" s="60">
        <v>46051</v>
      </c>
      <c r="B450" s="57" t="s">
        <v>213</v>
      </c>
      <c r="C450" s="15">
        <v>29820984</v>
      </c>
      <c r="D450" s="52" t="s">
        <v>68</v>
      </c>
      <c r="E450" s="52" t="s">
        <v>65</v>
      </c>
      <c r="F450" s="52" t="s">
        <v>66</v>
      </c>
      <c r="G450" s="52" t="s">
        <v>69</v>
      </c>
      <c r="H450" s="3" t="s">
        <v>212</v>
      </c>
      <c r="I450" s="61">
        <v>760046</v>
      </c>
      <c r="J450" s="15" t="s">
        <v>211</v>
      </c>
      <c r="K450" s="12" t="s">
        <v>210</v>
      </c>
      <c r="L450" s="61" t="s">
        <v>1312</v>
      </c>
      <c r="M450" s="58" t="s">
        <v>5</v>
      </c>
      <c r="N450" s="13">
        <v>150000</v>
      </c>
      <c r="O450" s="12" t="s">
        <v>209</v>
      </c>
      <c r="P450" s="15" t="s">
        <v>109</v>
      </c>
      <c r="Q450" s="3" t="s">
        <v>153</v>
      </c>
      <c r="R450" s="1" t="s">
        <v>0</v>
      </c>
      <c r="S450" s="52" t="s">
        <v>68</v>
      </c>
      <c r="T450" s="121"/>
    </row>
    <row r="451" spans="1:20" ht="12" customHeight="1" x14ac:dyDescent="0.2">
      <c r="A451" s="60">
        <v>45709</v>
      </c>
      <c r="B451" s="57" t="s">
        <v>207</v>
      </c>
      <c r="C451" s="15">
        <v>1061707220</v>
      </c>
      <c r="D451" s="52" t="s">
        <v>1212</v>
      </c>
      <c r="E451" s="52" t="s">
        <v>65</v>
      </c>
      <c r="F451" s="52" t="s">
        <v>164</v>
      </c>
      <c r="G451" s="52" t="s">
        <v>206</v>
      </c>
      <c r="H451" s="3" t="s">
        <v>205</v>
      </c>
      <c r="I451" s="61">
        <v>190002</v>
      </c>
      <c r="J451" s="15" t="s">
        <v>204</v>
      </c>
      <c r="K451" s="12" t="s">
        <v>203</v>
      </c>
      <c r="L451" s="61" t="s">
        <v>1321</v>
      </c>
      <c r="M451" s="58" t="s">
        <v>8</v>
      </c>
      <c r="N451" s="123">
        <v>100000</v>
      </c>
      <c r="O451" s="122" t="s">
        <v>208</v>
      </c>
      <c r="P451" s="15" t="s">
        <v>1</v>
      </c>
      <c r="Q451" s="3" t="s">
        <v>153</v>
      </c>
      <c r="R451" s="1" t="s">
        <v>0</v>
      </c>
      <c r="S451" s="52" t="s">
        <v>78</v>
      </c>
      <c r="T451" s="121"/>
    </row>
    <row r="452" spans="1:20" ht="12" customHeight="1" x14ac:dyDescent="0.2">
      <c r="A452" s="60">
        <v>45926</v>
      </c>
      <c r="B452" s="57" t="s">
        <v>207</v>
      </c>
      <c r="C452" s="15">
        <v>1061707220</v>
      </c>
      <c r="D452" s="52" t="s">
        <v>1212</v>
      </c>
      <c r="E452" s="52" t="s">
        <v>65</v>
      </c>
      <c r="F452" s="52" t="s">
        <v>164</v>
      </c>
      <c r="G452" s="52" t="s">
        <v>206</v>
      </c>
      <c r="H452" s="3" t="s">
        <v>205</v>
      </c>
      <c r="I452" s="61">
        <v>190002</v>
      </c>
      <c r="J452" s="15" t="s">
        <v>204</v>
      </c>
      <c r="K452" s="12" t="s">
        <v>203</v>
      </c>
      <c r="L452" s="61" t="s">
        <v>1321</v>
      </c>
      <c r="M452" s="58" t="s">
        <v>180</v>
      </c>
      <c r="N452" s="123">
        <v>20000</v>
      </c>
      <c r="O452" s="122" t="s">
        <v>202</v>
      </c>
      <c r="P452" s="15" t="s">
        <v>3</v>
      </c>
      <c r="Q452" s="3" t="s">
        <v>153</v>
      </c>
      <c r="R452" s="1" t="s">
        <v>0</v>
      </c>
      <c r="S452" s="52" t="s">
        <v>78</v>
      </c>
      <c r="T452" s="121"/>
    </row>
    <row r="453" spans="1:20" ht="12" customHeight="1" x14ac:dyDescent="0.2">
      <c r="A453" s="60">
        <v>45820.453472222223</v>
      </c>
      <c r="B453" s="57" t="s">
        <v>190</v>
      </c>
      <c r="C453" s="15">
        <v>10070626</v>
      </c>
      <c r="D453" s="52" t="s">
        <v>189</v>
      </c>
      <c r="E453" s="52" t="s">
        <v>65</v>
      </c>
      <c r="F453" s="52" t="s">
        <v>98</v>
      </c>
      <c r="G453" s="52" t="s">
        <v>97</v>
      </c>
      <c r="H453" s="3" t="s">
        <v>188</v>
      </c>
      <c r="I453" s="61">
        <v>660001</v>
      </c>
      <c r="J453" s="15" t="s">
        <v>187</v>
      </c>
      <c r="K453" s="12" t="s">
        <v>186</v>
      </c>
      <c r="L453" s="61" t="s">
        <v>1313</v>
      </c>
      <c r="M453" s="58" t="s">
        <v>4</v>
      </c>
      <c r="N453" s="13">
        <v>200000</v>
      </c>
      <c r="O453" s="12" t="s">
        <v>201</v>
      </c>
      <c r="P453" s="15" t="s">
        <v>3</v>
      </c>
      <c r="Q453" s="3" t="s">
        <v>153</v>
      </c>
      <c r="R453" s="1" t="s">
        <v>0</v>
      </c>
      <c r="S453" s="52" t="s">
        <v>78</v>
      </c>
      <c r="T453" s="121"/>
    </row>
    <row r="454" spans="1:20" ht="12" customHeight="1" x14ac:dyDescent="0.2">
      <c r="A454" s="60">
        <v>45829</v>
      </c>
      <c r="B454" s="57" t="s">
        <v>190</v>
      </c>
      <c r="C454" s="15">
        <v>10070626</v>
      </c>
      <c r="D454" s="52" t="s">
        <v>189</v>
      </c>
      <c r="E454" s="52" t="s">
        <v>65</v>
      </c>
      <c r="F454" s="52" t="s">
        <v>98</v>
      </c>
      <c r="G454" s="52" t="s">
        <v>97</v>
      </c>
      <c r="H454" s="3" t="s">
        <v>188</v>
      </c>
      <c r="I454" s="61">
        <v>660001</v>
      </c>
      <c r="J454" s="15" t="s">
        <v>187</v>
      </c>
      <c r="K454" s="12" t="s">
        <v>186</v>
      </c>
      <c r="L454" s="61" t="s">
        <v>1313</v>
      </c>
      <c r="M454" s="58" t="s">
        <v>4</v>
      </c>
      <c r="N454" s="13">
        <v>200000</v>
      </c>
      <c r="O454" s="12" t="s">
        <v>200</v>
      </c>
      <c r="P454" s="15" t="s">
        <v>3</v>
      </c>
      <c r="Q454" s="3" t="s">
        <v>153</v>
      </c>
      <c r="R454" s="1" t="s">
        <v>0</v>
      </c>
      <c r="S454" s="52" t="s">
        <v>78</v>
      </c>
      <c r="T454" s="121"/>
    </row>
    <row r="455" spans="1:20" ht="12" customHeight="1" x14ac:dyDescent="0.2">
      <c r="A455" s="60">
        <v>45888</v>
      </c>
      <c r="B455" s="57" t="s">
        <v>190</v>
      </c>
      <c r="C455" s="15">
        <v>10070626</v>
      </c>
      <c r="D455" s="52" t="s">
        <v>189</v>
      </c>
      <c r="E455" s="52" t="s">
        <v>65</v>
      </c>
      <c r="F455" s="52" t="s">
        <v>98</v>
      </c>
      <c r="G455" s="52" t="s">
        <v>97</v>
      </c>
      <c r="H455" s="3" t="s">
        <v>188</v>
      </c>
      <c r="I455" s="61">
        <v>660001</v>
      </c>
      <c r="J455" s="15" t="s">
        <v>187</v>
      </c>
      <c r="K455" s="12" t="s">
        <v>186</v>
      </c>
      <c r="L455" s="61" t="s">
        <v>1313</v>
      </c>
      <c r="M455" s="58" t="s">
        <v>83</v>
      </c>
      <c r="N455" s="13">
        <v>500000</v>
      </c>
      <c r="O455" s="12" t="s">
        <v>199</v>
      </c>
      <c r="P455" s="15" t="s">
        <v>3</v>
      </c>
      <c r="Q455" s="3" t="s">
        <v>153</v>
      </c>
      <c r="R455" s="1" t="s">
        <v>0</v>
      </c>
      <c r="S455" s="52" t="s">
        <v>78</v>
      </c>
      <c r="T455" s="121"/>
    </row>
    <row r="456" spans="1:20" ht="12" customHeight="1" x14ac:dyDescent="0.2">
      <c r="A456" s="60">
        <v>46022</v>
      </c>
      <c r="B456" s="57" t="s">
        <v>190</v>
      </c>
      <c r="C456" s="15">
        <v>10070626</v>
      </c>
      <c r="D456" s="52" t="s">
        <v>189</v>
      </c>
      <c r="E456" s="52" t="s">
        <v>65</v>
      </c>
      <c r="F456" s="52" t="s">
        <v>98</v>
      </c>
      <c r="G456" s="52" t="s">
        <v>97</v>
      </c>
      <c r="H456" s="3" t="s">
        <v>188</v>
      </c>
      <c r="I456" s="61">
        <v>660001</v>
      </c>
      <c r="J456" s="15" t="s">
        <v>187</v>
      </c>
      <c r="K456" s="12" t="s">
        <v>186</v>
      </c>
      <c r="L456" s="61" t="s">
        <v>1313</v>
      </c>
      <c r="M456" s="58" t="s">
        <v>126</v>
      </c>
      <c r="N456" s="13">
        <v>100000</v>
      </c>
      <c r="O456" s="12" t="s">
        <v>198</v>
      </c>
      <c r="P456" s="15" t="s">
        <v>3</v>
      </c>
      <c r="Q456" s="3" t="s">
        <v>153</v>
      </c>
      <c r="R456" s="1" t="s">
        <v>0</v>
      </c>
      <c r="S456" s="52" t="s">
        <v>78</v>
      </c>
      <c r="T456" s="121"/>
    </row>
    <row r="457" spans="1:20" ht="12" customHeight="1" x14ac:dyDescent="0.2">
      <c r="A457" s="60">
        <v>46022</v>
      </c>
      <c r="B457" s="57" t="s">
        <v>190</v>
      </c>
      <c r="C457" s="15">
        <v>10070626</v>
      </c>
      <c r="D457" s="52" t="s">
        <v>189</v>
      </c>
      <c r="E457" s="52" t="s">
        <v>65</v>
      </c>
      <c r="F457" s="52" t="s">
        <v>98</v>
      </c>
      <c r="G457" s="52" t="s">
        <v>97</v>
      </c>
      <c r="H457" s="3" t="s">
        <v>188</v>
      </c>
      <c r="I457" s="61">
        <v>660001</v>
      </c>
      <c r="J457" s="15" t="s">
        <v>187</v>
      </c>
      <c r="K457" s="12" t="s">
        <v>186</v>
      </c>
      <c r="L457" s="61" t="s">
        <v>1313</v>
      </c>
      <c r="M457" s="58" t="s">
        <v>197</v>
      </c>
      <c r="N457" s="13">
        <v>200000</v>
      </c>
      <c r="O457" s="12" t="s">
        <v>196</v>
      </c>
      <c r="P457" s="15" t="s">
        <v>193</v>
      </c>
      <c r="Q457" s="3" t="s">
        <v>153</v>
      </c>
      <c r="R457" s="1" t="s">
        <v>0</v>
      </c>
      <c r="S457" s="52" t="s">
        <v>78</v>
      </c>
      <c r="T457" s="121"/>
    </row>
    <row r="458" spans="1:20" ht="12" customHeight="1" x14ac:dyDescent="0.2">
      <c r="A458" s="60">
        <v>46055</v>
      </c>
      <c r="B458" s="57" t="s">
        <v>190</v>
      </c>
      <c r="C458" s="15">
        <v>10070626</v>
      </c>
      <c r="D458" s="52" t="s">
        <v>189</v>
      </c>
      <c r="E458" s="52" t="s">
        <v>65</v>
      </c>
      <c r="F458" s="52" t="s">
        <v>98</v>
      </c>
      <c r="G458" s="52" t="s">
        <v>97</v>
      </c>
      <c r="H458" s="3" t="s">
        <v>188</v>
      </c>
      <c r="I458" s="61">
        <v>660001</v>
      </c>
      <c r="J458" s="15" t="s">
        <v>187</v>
      </c>
      <c r="K458" s="12" t="s">
        <v>186</v>
      </c>
      <c r="L458" s="61" t="s">
        <v>1313</v>
      </c>
      <c r="M458" s="58" t="s">
        <v>5</v>
      </c>
      <c r="N458" s="13">
        <v>150000</v>
      </c>
      <c r="O458" s="12" t="s">
        <v>195</v>
      </c>
      <c r="P458" s="15" t="s">
        <v>193</v>
      </c>
      <c r="Q458" s="3" t="s">
        <v>153</v>
      </c>
      <c r="R458" s="1" t="s">
        <v>0</v>
      </c>
      <c r="S458" s="52" t="s">
        <v>78</v>
      </c>
      <c r="T458" s="121"/>
    </row>
    <row r="459" spans="1:20" ht="12" customHeight="1" x14ac:dyDescent="0.2">
      <c r="A459" s="60">
        <v>46055</v>
      </c>
      <c r="B459" s="57" t="s">
        <v>190</v>
      </c>
      <c r="C459" s="15">
        <v>10070626</v>
      </c>
      <c r="D459" s="52" t="s">
        <v>189</v>
      </c>
      <c r="E459" s="52" t="s">
        <v>65</v>
      </c>
      <c r="F459" s="52" t="s">
        <v>98</v>
      </c>
      <c r="G459" s="52" t="s">
        <v>97</v>
      </c>
      <c r="H459" s="3" t="s">
        <v>188</v>
      </c>
      <c r="I459" s="61">
        <v>660001</v>
      </c>
      <c r="J459" s="15" t="s">
        <v>187</v>
      </c>
      <c r="K459" s="12" t="s">
        <v>186</v>
      </c>
      <c r="L459" s="61" t="s">
        <v>1313</v>
      </c>
      <c r="M459" s="58" t="s">
        <v>5</v>
      </c>
      <c r="N459" s="13">
        <v>150000</v>
      </c>
      <c r="O459" s="12" t="s">
        <v>194</v>
      </c>
      <c r="P459" s="15" t="s">
        <v>193</v>
      </c>
      <c r="Q459" s="3" t="s">
        <v>153</v>
      </c>
      <c r="R459" s="1" t="s">
        <v>0</v>
      </c>
      <c r="S459" s="52" t="s">
        <v>78</v>
      </c>
      <c r="T459" s="121"/>
    </row>
    <row r="460" spans="1:20" ht="12" customHeight="1" x14ac:dyDescent="0.2">
      <c r="A460" s="60">
        <v>46114</v>
      </c>
      <c r="B460" s="57" t="s">
        <v>190</v>
      </c>
      <c r="C460" s="15">
        <v>10070626</v>
      </c>
      <c r="D460" s="52" t="s">
        <v>189</v>
      </c>
      <c r="E460" s="52" t="s">
        <v>65</v>
      </c>
      <c r="F460" s="52" t="s">
        <v>98</v>
      </c>
      <c r="G460" s="52" t="s">
        <v>97</v>
      </c>
      <c r="H460" s="3" t="s">
        <v>188</v>
      </c>
      <c r="I460" s="61">
        <v>660001</v>
      </c>
      <c r="J460" s="15" t="s">
        <v>187</v>
      </c>
      <c r="K460" s="12" t="s">
        <v>186</v>
      </c>
      <c r="L460" s="61" t="s">
        <v>1313</v>
      </c>
      <c r="M460" s="58" t="s">
        <v>47</v>
      </c>
      <c r="N460" s="13">
        <v>200000</v>
      </c>
      <c r="O460" s="12" t="s">
        <v>192</v>
      </c>
      <c r="P460" s="15" t="s">
        <v>3</v>
      </c>
      <c r="Q460" s="3" t="s">
        <v>153</v>
      </c>
      <c r="R460" s="1" t="s">
        <v>0</v>
      </c>
      <c r="S460" s="52" t="s">
        <v>78</v>
      </c>
      <c r="T460" s="121"/>
    </row>
    <row r="461" spans="1:20" ht="12" customHeight="1" x14ac:dyDescent="0.2">
      <c r="A461" s="60">
        <v>46129</v>
      </c>
      <c r="B461" s="57" t="s">
        <v>190</v>
      </c>
      <c r="C461" s="15">
        <v>10070626</v>
      </c>
      <c r="D461" s="52" t="s">
        <v>189</v>
      </c>
      <c r="E461" s="52" t="s">
        <v>65</v>
      </c>
      <c r="F461" s="52" t="s">
        <v>98</v>
      </c>
      <c r="G461" s="52" t="s">
        <v>97</v>
      </c>
      <c r="H461" s="3" t="s">
        <v>188</v>
      </c>
      <c r="I461" s="61">
        <v>660001</v>
      </c>
      <c r="J461" s="15" t="s">
        <v>187</v>
      </c>
      <c r="K461" s="12" t="s">
        <v>186</v>
      </c>
      <c r="L461" s="61" t="s">
        <v>1313</v>
      </c>
      <c r="M461" s="58" t="s">
        <v>47</v>
      </c>
      <c r="N461" s="13">
        <v>200000</v>
      </c>
      <c r="O461" s="12" t="s">
        <v>191</v>
      </c>
      <c r="P461" s="15" t="s">
        <v>3</v>
      </c>
      <c r="Q461" s="3" t="s">
        <v>153</v>
      </c>
      <c r="R461" s="1" t="s">
        <v>0</v>
      </c>
      <c r="S461" s="52" t="s">
        <v>78</v>
      </c>
      <c r="T461" s="121"/>
    </row>
    <row r="462" spans="1:20" ht="12" customHeight="1" x14ac:dyDescent="0.2">
      <c r="A462" s="60">
        <v>46129</v>
      </c>
      <c r="B462" s="57" t="s">
        <v>190</v>
      </c>
      <c r="C462" s="15">
        <v>10070626</v>
      </c>
      <c r="D462" s="52" t="s">
        <v>189</v>
      </c>
      <c r="E462" s="52" t="s">
        <v>65</v>
      </c>
      <c r="F462" s="52" t="s">
        <v>98</v>
      </c>
      <c r="G462" s="52" t="s">
        <v>97</v>
      </c>
      <c r="H462" s="3" t="s">
        <v>188</v>
      </c>
      <c r="I462" s="61">
        <v>660001</v>
      </c>
      <c r="J462" s="15" t="s">
        <v>187</v>
      </c>
      <c r="K462" s="12" t="s">
        <v>186</v>
      </c>
      <c r="L462" s="61" t="s">
        <v>1313</v>
      </c>
      <c r="M462" s="58" t="s">
        <v>84</v>
      </c>
      <c r="N462" s="13">
        <v>0</v>
      </c>
      <c r="O462" s="14" t="s">
        <v>81</v>
      </c>
      <c r="P462" s="15" t="s">
        <v>68</v>
      </c>
      <c r="Q462" s="3" t="s">
        <v>153</v>
      </c>
      <c r="R462" s="1" t="s">
        <v>0</v>
      </c>
      <c r="S462" s="52" t="s">
        <v>78</v>
      </c>
      <c r="T462" s="121"/>
    </row>
    <row r="463" spans="1:20" ht="12" customHeight="1" x14ac:dyDescent="0.2">
      <c r="A463" s="60">
        <v>46129</v>
      </c>
      <c r="B463" s="57" t="s">
        <v>190</v>
      </c>
      <c r="C463" s="15">
        <v>10070626</v>
      </c>
      <c r="D463" s="52" t="s">
        <v>189</v>
      </c>
      <c r="E463" s="52" t="s">
        <v>65</v>
      </c>
      <c r="F463" s="52" t="s">
        <v>98</v>
      </c>
      <c r="G463" s="52" t="s">
        <v>97</v>
      </c>
      <c r="H463" s="3" t="s">
        <v>188</v>
      </c>
      <c r="I463" s="61">
        <v>660001</v>
      </c>
      <c r="J463" s="15" t="s">
        <v>187</v>
      </c>
      <c r="K463" s="12" t="s">
        <v>186</v>
      </c>
      <c r="L463" s="61" t="s">
        <v>1313</v>
      </c>
      <c r="M463" s="58" t="s">
        <v>74</v>
      </c>
      <c r="N463" s="13">
        <v>0</v>
      </c>
      <c r="O463" s="14" t="s">
        <v>81</v>
      </c>
      <c r="P463" s="15" t="s">
        <v>68</v>
      </c>
      <c r="Q463" s="3" t="s">
        <v>153</v>
      </c>
      <c r="R463" s="1" t="s">
        <v>0</v>
      </c>
      <c r="S463" s="52" t="s">
        <v>78</v>
      </c>
      <c r="T463" s="59"/>
    </row>
    <row r="464" spans="1:20" ht="12" customHeight="1" x14ac:dyDescent="0.2">
      <c r="A464" s="60">
        <v>46255</v>
      </c>
      <c r="B464" s="57" t="s">
        <v>190</v>
      </c>
      <c r="C464" s="15">
        <v>10070626</v>
      </c>
      <c r="D464" s="52" t="s">
        <v>189</v>
      </c>
      <c r="E464" s="52" t="s">
        <v>65</v>
      </c>
      <c r="F464" s="52" t="s">
        <v>98</v>
      </c>
      <c r="G464" s="52" t="s">
        <v>97</v>
      </c>
      <c r="H464" s="3" t="s">
        <v>188</v>
      </c>
      <c r="I464" s="61">
        <v>660001</v>
      </c>
      <c r="J464" s="15" t="s">
        <v>187</v>
      </c>
      <c r="K464" s="12" t="s">
        <v>186</v>
      </c>
      <c r="L464" s="61" t="s">
        <v>1313</v>
      </c>
      <c r="M464" s="58" t="s">
        <v>1336</v>
      </c>
      <c r="N464" s="13">
        <v>60000</v>
      </c>
      <c r="O464" s="14" t="s">
        <v>1360</v>
      </c>
      <c r="P464" s="15" t="s">
        <v>3</v>
      </c>
      <c r="Q464" s="3" t="s">
        <v>153</v>
      </c>
      <c r="R464" s="1" t="s">
        <v>0</v>
      </c>
      <c r="S464" s="52" t="s">
        <v>78</v>
      </c>
      <c r="T464" s="59"/>
    </row>
    <row r="465" spans="1:20" ht="12" customHeight="1" x14ac:dyDescent="0.2">
      <c r="A465" s="60">
        <v>45711</v>
      </c>
      <c r="B465" s="57" t="s">
        <v>184</v>
      </c>
      <c r="C465" s="15">
        <v>1061738616</v>
      </c>
      <c r="D465" s="52" t="s">
        <v>1213</v>
      </c>
      <c r="E465" s="52" t="s">
        <v>65</v>
      </c>
      <c r="F465" s="52" t="s">
        <v>98</v>
      </c>
      <c r="G465" s="52" t="s">
        <v>97</v>
      </c>
      <c r="H465" s="3" t="s">
        <v>183</v>
      </c>
      <c r="I465" s="61">
        <v>660002</v>
      </c>
      <c r="J465" s="15" t="s">
        <v>182</v>
      </c>
      <c r="K465" s="12" t="s">
        <v>181</v>
      </c>
      <c r="L465" s="61" t="s">
        <v>1322</v>
      </c>
      <c r="M465" s="58" t="s">
        <v>8</v>
      </c>
      <c r="N465" s="13">
        <v>100000</v>
      </c>
      <c r="O465" s="14" t="s">
        <v>185</v>
      </c>
      <c r="P465" s="15" t="s">
        <v>1</v>
      </c>
      <c r="Q465" s="3" t="s">
        <v>153</v>
      </c>
      <c r="R465" s="1" t="s">
        <v>0</v>
      </c>
      <c r="S465" s="52" t="s">
        <v>78</v>
      </c>
      <c r="T465" s="59"/>
    </row>
    <row r="466" spans="1:20" ht="12" customHeight="1" x14ac:dyDescent="0.2">
      <c r="A466" s="60">
        <v>45930</v>
      </c>
      <c r="B466" s="57" t="s">
        <v>184</v>
      </c>
      <c r="C466" s="15">
        <v>1061738616</v>
      </c>
      <c r="D466" s="52" t="s">
        <v>1213</v>
      </c>
      <c r="E466" s="52" t="s">
        <v>65</v>
      </c>
      <c r="F466" s="52" t="s">
        <v>98</v>
      </c>
      <c r="G466" s="52" t="s">
        <v>97</v>
      </c>
      <c r="H466" s="3" t="s">
        <v>183</v>
      </c>
      <c r="I466" s="61">
        <v>660002</v>
      </c>
      <c r="J466" s="15" t="s">
        <v>182</v>
      </c>
      <c r="K466" s="12" t="s">
        <v>181</v>
      </c>
      <c r="L466" s="61" t="s">
        <v>1322</v>
      </c>
      <c r="M466" s="58" t="s">
        <v>180</v>
      </c>
      <c r="N466" s="13">
        <v>20000</v>
      </c>
      <c r="O466" s="14" t="s">
        <v>179</v>
      </c>
      <c r="P466" s="15" t="s">
        <v>1</v>
      </c>
      <c r="Q466" s="3" t="s">
        <v>153</v>
      </c>
      <c r="R466" s="1" t="s">
        <v>0</v>
      </c>
      <c r="S466" s="52" t="s">
        <v>78</v>
      </c>
      <c r="T466" s="59"/>
    </row>
    <row r="467" spans="1:20" ht="12" customHeight="1" x14ac:dyDescent="0.2">
      <c r="A467" s="60">
        <v>46142</v>
      </c>
      <c r="B467" s="57" t="s">
        <v>177</v>
      </c>
      <c r="C467" s="174">
        <v>1112933362</v>
      </c>
      <c r="D467" s="148" t="s">
        <v>68</v>
      </c>
      <c r="E467" s="148" t="s">
        <v>65</v>
      </c>
      <c r="F467" s="148" t="s">
        <v>66</v>
      </c>
      <c r="G467" s="148" t="s">
        <v>1362</v>
      </c>
      <c r="H467" s="175" t="s">
        <v>176</v>
      </c>
      <c r="I467" s="61">
        <v>761560</v>
      </c>
      <c r="J467" s="15" t="s">
        <v>175</v>
      </c>
      <c r="K467" s="12" t="s">
        <v>174</v>
      </c>
      <c r="L467" s="61" t="s">
        <v>1215</v>
      </c>
      <c r="M467" s="58" t="s">
        <v>105</v>
      </c>
      <c r="N467" s="13">
        <v>100000</v>
      </c>
      <c r="O467" s="14" t="s">
        <v>178</v>
      </c>
      <c r="P467" s="15"/>
      <c r="Q467" s="3" t="s">
        <v>153</v>
      </c>
      <c r="R467" s="1" t="s">
        <v>0</v>
      </c>
      <c r="S467" s="52" t="s">
        <v>68</v>
      </c>
      <c r="T467" s="3"/>
    </row>
    <row r="468" spans="1:20" ht="12" customHeight="1" x14ac:dyDescent="0.2">
      <c r="A468" s="60">
        <v>46143.422013888892</v>
      </c>
      <c r="B468" s="57" t="s">
        <v>177</v>
      </c>
      <c r="C468" s="15">
        <v>1112933362</v>
      </c>
      <c r="D468" s="52" t="s">
        <v>68</v>
      </c>
      <c r="E468" s="52" t="s">
        <v>65</v>
      </c>
      <c r="F468" s="52" t="s">
        <v>66</v>
      </c>
      <c r="G468" s="52" t="s">
        <v>1362</v>
      </c>
      <c r="H468" s="3" t="s">
        <v>176</v>
      </c>
      <c r="I468" s="61">
        <v>761560</v>
      </c>
      <c r="J468" s="15" t="s">
        <v>175</v>
      </c>
      <c r="K468" s="12" t="s">
        <v>174</v>
      </c>
      <c r="L468" s="61" t="s">
        <v>1215</v>
      </c>
      <c r="M468" s="58" t="s">
        <v>79</v>
      </c>
      <c r="N468" s="13">
        <v>0</v>
      </c>
      <c r="O468" s="14" t="s">
        <v>81</v>
      </c>
      <c r="P468" s="15" t="s">
        <v>68</v>
      </c>
      <c r="Q468" s="3" t="s">
        <v>153</v>
      </c>
      <c r="R468" s="1" t="s">
        <v>0</v>
      </c>
      <c r="S468" s="52" t="s">
        <v>68</v>
      </c>
      <c r="T468" s="3"/>
    </row>
    <row r="469" spans="1:20" x14ac:dyDescent="0.2">
      <c r="A469" s="60">
        <v>45789</v>
      </c>
      <c r="B469" s="57" t="s">
        <v>171</v>
      </c>
      <c r="C469" s="15">
        <v>41932147</v>
      </c>
      <c r="D469" s="52" t="s">
        <v>170</v>
      </c>
      <c r="E469" s="52" t="s">
        <v>65</v>
      </c>
      <c r="F469" s="52" t="s">
        <v>75</v>
      </c>
      <c r="G469" s="52" t="s">
        <v>76</v>
      </c>
      <c r="H469" s="3" t="s">
        <v>169</v>
      </c>
      <c r="I469" s="61">
        <v>630004</v>
      </c>
      <c r="J469" s="15" t="s">
        <v>168</v>
      </c>
      <c r="K469" s="12" t="s">
        <v>167</v>
      </c>
      <c r="L469" s="61" t="s">
        <v>1104</v>
      </c>
      <c r="M469" s="58" t="s">
        <v>104</v>
      </c>
      <c r="N469" s="13">
        <v>120000</v>
      </c>
      <c r="O469" s="14" t="s">
        <v>173</v>
      </c>
      <c r="P469" s="15" t="s">
        <v>109</v>
      </c>
      <c r="Q469" s="3" t="s">
        <v>153</v>
      </c>
      <c r="R469" s="1" t="s">
        <v>0</v>
      </c>
      <c r="S469" s="52" t="s">
        <v>78</v>
      </c>
      <c r="T469" s="59"/>
    </row>
    <row r="470" spans="1:20" x14ac:dyDescent="0.2">
      <c r="A470" s="60">
        <v>45806</v>
      </c>
      <c r="B470" s="57" t="s">
        <v>171</v>
      </c>
      <c r="C470" s="15">
        <v>41932147</v>
      </c>
      <c r="D470" s="52" t="s">
        <v>170</v>
      </c>
      <c r="E470" s="52" t="s">
        <v>65</v>
      </c>
      <c r="F470" s="52" t="s">
        <v>75</v>
      </c>
      <c r="G470" s="52" t="s">
        <v>76</v>
      </c>
      <c r="H470" s="3" t="s">
        <v>169</v>
      </c>
      <c r="I470" s="61">
        <v>630004</v>
      </c>
      <c r="J470" s="15" t="s">
        <v>168</v>
      </c>
      <c r="K470" s="12" t="s">
        <v>167</v>
      </c>
      <c r="L470" s="61" t="s">
        <v>1104</v>
      </c>
      <c r="M470" s="58" t="s">
        <v>4</v>
      </c>
      <c r="N470" s="13">
        <v>200000</v>
      </c>
      <c r="O470" s="14" t="s">
        <v>1214</v>
      </c>
      <c r="P470" s="15" t="s">
        <v>3</v>
      </c>
      <c r="Q470" s="3" t="s">
        <v>153</v>
      </c>
      <c r="R470" s="1" t="s">
        <v>0</v>
      </c>
      <c r="S470" s="52" t="s">
        <v>78</v>
      </c>
      <c r="T470" s="59"/>
    </row>
    <row r="471" spans="1:20" x14ac:dyDescent="0.2">
      <c r="A471" s="60">
        <v>45857</v>
      </c>
      <c r="B471" s="57" t="s">
        <v>171</v>
      </c>
      <c r="C471" s="15">
        <v>41932147</v>
      </c>
      <c r="D471" s="52" t="s">
        <v>170</v>
      </c>
      <c r="E471" s="52" t="s">
        <v>65</v>
      </c>
      <c r="F471" s="52" t="s">
        <v>75</v>
      </c>
      <c r="G471" s="52" t="s">
        <v>76</v>
      </c>
      <c r="H471" s="3" t="s">
        <v>169</v>
      </c>
      <c r="I471" s="61">
        <v>630004</v>
      </c>
      <c r="J471" s="15" t="s">
        <v>168</v>
      </c>
      <c r="K471" s="12" t="s">
        <v>167</v>
      </c>
      <c r="L471" s="61" t="s">
        <v>1104</v>
      </c>
      <c r="M471" s="58" t="s">
        <v>108</v>
      </c>
      <c r="N471" s="13">
        <v>200000</v>
      </c>
      <c r="O471" s="14" t="s">
        <v>172</v>
      </c>
      <c r="P471" s="15" t="s">
        <v>3</v>
      </c>
      <c r="Q471" s="3" t="s">
        <v>153</v>
      </c>
      <c r="R471" s="1" t="s">
        <v>0</v>
      </c>
      <c r="S471" s="52" t="s">
        <v>78</v>
      </c>
      <c r="T471" s="59"/>
    </row>
    <row r="472" spans="1:20" x14ac:dyDescent="0.2">
      <c r="A472" s="60">
        <v>46056</v>
      </c>
      <c r="B472" s="57" t="s">
        <v>171</v>
      </c>
      <c r="C472" s="15">
        <v>41932147</v>
      </c>
      <c r="D472" s="52" t="s">
        <v>170</v>
      </c>
      <c r="E472" s="52" t="s">
        <v>65</v>
      </c>
      <c r="F472" s="52" t="s">
        <v>75</v>
      </c>
      <c r="G472" s="52" t="s">
        <v>76</v>
      </c>
      <c r="H472" s="3" t="s">
        <v>169</v>
      </c>
      <c r="I472" s="61">
        <v>630004</v>
      </c>
      <c r="J472" s="15" t="s">
        <v>168</v>
      </c>
      <c r="K472" s="12" t="s">
        <v>167</v>
      </c>
      <c r="L472" s="61" t="s">
        <v>1104</v>
      </c>
      <c r="M472" s="58" t="s">
        <v>5</v>
      </c>
      <c r="N472" s="13">
        <v>150000</v>
      </c>
      <c r="O472" s="14" t="s">
        <v>166</v>
      </c>
      <c r="P472" s="15" t="s">
        <v>3</v>
      </c>
      <c r="Q472" s="3" t="s">
        <v>153</v>
      </c>
      <c r="R472" s="1" t="s">
        <v>0</v>
      </c>
      <c r="S472" s="52" t="s">
        <v>78</v>
      </c>
      <c r="T472" s="59"/>
    </row>
    <row r="473" spans="1:20" x14ac:dyDescent="0.2">
      <c r="A473" s="60">
        <v>45930.761446759258</v>
      </c>
      <c r="B473" s="57" t="s">
        <v>165</v>
      </c>
      <c r="C473" s="15">
        <v>1061718898</v>
      </c>
      <c r="D473" s="52" t="s">
        <v>68</v>
      </c>
      <c r="E473" s="52" t="s">
        <v>65</v>
      </c>
      <c r="F473" s="52" t="s">
        <v>164</v>
      </c>
      <c r="G473" s="52" t="s">
        <v>163</v>
      </c>
      <c r="H473" s="3" t="s">
        <v>162</v>
      </c>
      <c r="I473" s="61">
        <v>190501</v>
      </c>
      <c r="J473" s="15" t="s">
        <v>161</v>
      </c>
      <c r="K473" s="12" t="s">
        <v>160</v>
      </c>
      <c r="L473" s="61" t="s">
        <v>1314</v>
      </c>
      <c r="M473" s="58" t="s">
        <v>2</v>
      </c>
      <c r="N473" s="13">
        <v>100000</v>
      </c>
      <c r="O473" s="14" t="s">
        <v>159</v>
      </c>
      <c r="P473" s="15" t="s">
        <v>1</v>
      </c>
      <c r="Q473" s="3" t="s">
        <v>153</v>
      </c>
      <c r="R473" s="1" t="s">
        <v>0</v>
      </c>
      <c r="S473" s="52" t="s">
        <v>68</v>
      </c>
      <c r="T473" s="59"/>
    </row>
    <row r="474" spans="1:20" x14ac:dyDescent="0.2">
      <c r="A474" s="135">
        <v>46253</v>
      </c>
      <c r="B474" s="57" t="s">
        <v>1371</v>
      </c>
      <c r="C474" s="15">
        <v>98146902</v>
      </c>
      <c r="D474" s="52" t="s">
        <v>68</v>
      </c>
      <c r="E474" s="52" t="s">
        <v>65</v>
      </c>
      <c r="F474" s="52" t="s">
        <v>536</v>
      </c>
      <c r="G474" s="52" t="s">
        <v>1370</v>
      </c>
      <c r="H474" s="3" t="s">
        <v>1370</v>
      </c>
      <c r="I474" s="61">
        <v>526040</v>
      </c>
      <c r="J474" s="15" t="s">
        <v>1369</v>
      </c>
      <c r="K474" s="12" t="s">
        <v>1368</v>
      </c>
      <c r="L474" s="61" t="s">
        <v>1215</v>
      </c>
      <c r="M474" s="58" t="s">
        <v>1336</v>
      </c>
      <c r="N474" t="s">
        <v>1378</v>
      </c>
      <c r="O474" s="237" t="s">
        <v>1350</v>
      </c>
      <c r="P474" s="15" t="s">
        <v>3</v>
      </c>
      <c r="Q474" s="3" t="s">
        <v>153</v>
      </c>
      <c r="R474" s="1" t="s">
        <v>0</v>
      </c>
      <c r="S474" s="52" t="s">
        <v>68</v>
      </c>
    </row>
  </sheetData>
  <autoFilter ref="A1:T473" xr:uid="{1B876443-DF29-42F4-B561-86179A643965}">
    <sortState xmlns:xlrd2="http://schemas.microsoft.com/office/spreadsheetml/2017/richdata2" ref="A220:T221">
      <sortCondition ref="F1:F458"/>
    </sortState>
  </autoFilter>
  <sortState xmlns:xlrd2="http://schemas.microsoft.com/office/spreadsheetml/2017/richdata2" ref="A2:T473">
    <sortCondition ref="B1:B473"/>
  </sortState>
  <conditionalFormatting sqref="A1">
    <cfRule type="duplicateValues" dxfId="14054" priority="7602"/>
    <cfRule type="duplicateValues" dxfId="14053" priority="7599"/>
    <cfRule type="duplicateValues" dxfId="14052" priority="7609"/>
    <cfRule type="duplicateValues" dxfId="14051" priority="7608"/>
    <cfRule type="duplicateValues" dxfId="14050" priority="7607"/>
    <cfRule type="duplicateValues" dxfId="14049" priority="7606"/>
    <cfRule type="duplicateValues" dxfId="14048" priority="7605"/>
    <cfRule type="duplicateValues" dxfId="14047" priority="7604"/>
    <cfRule type="duplicateValues" dxfId="14046" priority="7603"/>
    <cfRule type="duplicateValues" dxfId="14045" priority="7598"/>
    <cfRule type="duplicateValues" dxfId="14044" priority="7601"/>
    <cfRule type="duplicateValues" dxfId="14043" priority="7600"/>
    <cfRule type="duplicateValues" dxfId="14042" priority="7597"/>
    <cfRule type="duplicateValues" dxfId="14041" priority="7596"/>
  </conditionalFormatting>
  <conditionalFormatting sqref="B1:B424">
    <cfRule type="duplicateValues" dxfId="14040" priority="15776"/>
  </conditionalFormatting>
  <conditionalFormatting sqref="B2:B19">
    <cfRule type="duplicateValues" dxfId="14039" priority="7478"/>
    <cfRule type="duplicateValues" dxfId="14038" priority="7477"/>
    <cfRule type="duplicateValues" dxfId="14037" priority="7495"/>
    <cfRule type="duplicateValues" dxfId="14036" priority="7494"/>
    <cfRule type="duplicateValues" dxfId="14035" priority="7493"/>
    <cfRule type="duplicateValues" dxfId="14034" priority="7492"/>
    <cfRule type="duplicateValues" dxfId="14033" priority="7491"/>
    <cfRule type="duplicateValues" dxfId="14032" priority="7490"/>
    <cfRule type="duplicateValues" dxfId="14031" priority="7489"/>
    <cfRule type="duplicateValues" dxfId="14030" priority="7488"/>
    <cfRule type="duplicateValues" dxfId="14029" priority="7487"/>
    <cfRule type="duplicateValues" dxfId="14028" priority="7480"/>
    <cfRule type="duplicateValues" dxfId="14027" priority="7496"/>
    <cfRule type="duplicateValues" dxfId="14026" priority="7479"/>
    <cfRule type="duplicateValues" dxfId="14025" priority="7513"/>
    <cfRule type="duplicateValues" dxfId="14024" priority="7512"/>
    <cfRule type="duplicateValues" dxfId="14023" priority="7511"/>
    <cfRule type="duplicateValues" dxfId="14022" priority="7510"/>
    <cfRule type="duplicateValues" dxfId="14021" priority="7509"/>
    <cfRule type="duplicateValues" dxfId="14020" priority="7508"/>
    <cfRule type="duplicateValues" dxfId="14019" priority="7507"/>
    <cfRule type="duplicateValues" dxfId="14018" priority="7506"/>
    <cfRule type="duplicateValues" dxfId="14017" priority="7505"/>
    <cfRule type="duplicateValues" dxfId="14016" priority="7504"/>
    <cfRule type="duplicateValues" dxfId="14015" priority="7503"/>
    <cfRule type="duplicateValues" dxfId="14014" priority="7502"/>
    <cfRule type="duplicateValues" dxfId="14013" priority="7501"/>
    <cfRule type="duplicateValues" dxfId="14012" priority="7500"/>
    <cfRule type="duplicateValues" dxfId="14011" priority="7499"/>
    <cfRule type="duplicateValues" dxfId="14010" priority="7498"/>
    <cfRule type="duplicateValues" dxfId="14009" priority="7497"/>
    <cfRule type="duplicateValues" dxfId="14008" priority="7486"/>
    <cfRule type="duplicateValues" dxfId="14007" priority="7485"/>
    <cfRule type="duplicateValues" dxfId="14006" priority="7484"/>
    <cfRule type="duplicateValues" dxfId="14005" priority="7483"/>
    <cfRule type="duplicateValues" dxfId="14004" priority="7482"/>
    <cfRule type="duplicateValues" dxfId="14003" priority="7481"/>
  </conditionalFormatting>
  <conditionalFormatting sqref="B40:B41">
    <cfRule type="duplicateValues" dxfId="14002" priority="7354"/>
    <cfRule type="duplicateValues" dxfId="14001" priority="7353"/>
    <cfRule type="duplicateValues" dxfId="14000" priority="7352"/>
    <cfRule type="duplicateValues" dxfId="13999" priority="7351"/>
    <cfRule type="duplicateValues" dxfId="13998" priority="7350"/>
    <cfRule type="duplicateValues" dxfId="13997" priority="7349"/>
    <cfRule type="duplicateValues" dxfId="13996" priority="7348"/>
    <cfRule type="duplicateValues" dxfId="13995" priority="7347"/>
    <cfRule type="duplicateValues" dxfId="13994" priority="7346"/>
    <cfRule type="duplicateValues" dxfId="13993" priority="7345"/>
    <cfRule type="duplicateValues" dxfId="13992" priority="7344"/>
    <cfRule type="duplicateValues" dxfId="13991" priority="7343"/>
    <cfRule type="duplicateValues" dxfId="13990" priority="7342"/>
    <cfRule type="duplicateValues" dxfId="13989" priority="7341"/>
    <cfRule type="duplicateValues" dxfId="13988" priority="7340"/>
    <cfRule type="duplicateValues" dxfId="13987" priority="7339"/>
    <cfRule type="duplicateValues" dxfId="13986" priority="7338"/>
    <cfRule type="duplicateValues" dxfId="13985" priority="7337"/>
    <cfRule type="duplicateValues" dxfId="13984" priority="7336"/>
    <cfRule type="duplicateValues" dxfId="13983" priority="7335"/>
    <cfRule type="duplicateValues" dxfId="13982" priority="7334"/>
    <cfRule type="duplicateValues" dxfId="13981" priority="7333"/>
    <cfRule type="duplicateValues" dxfId="13980" priority="7332"/>
    <cfRule type="duplicateValues" dxfId="13979" priority="7331"/>
    <cfRule type="duplicateValues" dxfId="13978" priority="7330"/>
    <cfRule type="duplicateValues" dxfId="13977" priority="7329"/>
    <cfRule type="duplicateValues" dxfId="13976" priority="7328"/>
    <cfRule type="duplicateValues" dxfId="13975" priority="7327"/>
    <cfRule type="duplicateValues" dxfId="13974" priority="7326"/>
    <cfRule type="duplicateValues" dxfId="13973" priority="7325"/>
    <cfRule type="duplicateValues" dxfId="13972" priority="7324"/>
    <cfRule type="duplicateValues" dxfId="13971" priority="7323"/>
    <cfRule type="duplicateValues" dxfId="13970" priority="7322"/>
    <cfRule type="duplicateValues" dxfId="13969" priority="7321"/>
    <cfRule type="duplicateValues" dxfId="13968" priority="7320"/>
    <cfRule type="duplicateValues" dxfId="13967" priority="7318"/>
    <cfRule type="duplicateValues" dxfId="13966" priority="7317"/>
    <cfRule type="duplicateValues" dxfId="13965" priority="7316"/>
    <cfRule type="duplicateValues" dxfId="13964" priority="7315"/>
    <cfRule type="duplicateValues" dxfId="13963" priority="7314"/>
    <cfRule type="duplicateValues" dxfId="13962" priority="7313"/>
    <cfRule type="duplicateValues" dxfId="13961" priority="7312"/>
    <cfRule type="duplicateValues" dxfId="13960" priority="7311"/>
    <cfRule type="duplicateValues" dxfId="13959" priority="7319"/>
    <cfRule type="duplicateValues" dxfId="13958" priority="7310"/>
    <cfRule type="duplicateValues" dxfId="13957" priority="7382"/>
    <cfRule type="duplicateValues" dxfId="13956" priority="7383"/>
    <cfRule type="duplicateValues" dxfId="13955" priority="7384"/>
    <cfRule type="duplicateValues" dxfId="13954" priority="7385"/>
    <cfRule type="duplicateValues" dxfId="13953" priority="7386"/>
    <cfRule type="duplicateValues" dxfId="13952" priority="7387"/>
    <cfRule type="duplicateValues" dxfId="13951" priority="7388"/>
    <cfRule type="duplicateValues" dxfId="13950" priority="7389"/>
    <cfRule type="duplicateValues" dxfId="13949" priority="7377"/>
    <cfRule type="duplicateValues" dxfId="13948" priority="7381"/>
    <cfRule type="duplicateValues" dxfId="13947" priority="7380"/>
    <cfRule type="duplicateValues" dxfId="13946" priority="7379"/>
    <cfRule type="duplicateValues" dxfId="13945" priority="7378"/>
    <cfRule type="duplicateValues" dxfId="13944" priority="7376"/>
    <cfRule type="duplicateValues" dxfId="13943" priority="7375"/>
    <cfRule type="duplicateValues" dxfId="13942" priority="7374"/>
    <cfRule type="duplicateValues" dxfId="13941" priority="7373"/>
    <cfRule type="duplicateValues" dxfId="13940" priority="7372"/>
    <cfRule type="duplicateValues" dxfId="13939" priority="7371"/>
    <cfRule type="duplicateValues" dxfId="13938" priority="7370"/>
    <cfRule type="duplicateValues" dxfId="13937" priority="7369"/>
    <cfRule type="duplicateValues" dxfId="13936" priority="7368"/>
    <cfRule type="duplicateValues" dxfId="13935" priority="7367"/>
    <cfRule type="duplicateValues" dxfId="13934" priority="7366"/>
    <cfRule type="duplicateValues" dxfId="13933" priority="7365"/>
    <cfRule type="duplicateValues" dxfId="13932" priority="7364"/>
    <cfRule type="duplicateValues" dxfId="13931" priority="7363"/>
    <cfRule type="duplicateValues" dxfId="13930" priority="7362"/>
    <cfRule type="duplicateValues" dxfId="13929" priority="7361"/>
    <cfRule type="duplicateValues" dxfId="13928" priority="7360"/>
    <cfRule type="duplicateValues" dxfId="13927" priority="7359"/>
    <cfRule type="duplicateValues" dxfId="13926" priority="7358"/>
    <cfRule type="duplicateValues" dxfId="13925" priority="7357"/>
    <cfRule type="duplicateValues" dxfId="13924" priority="7356"/>
    <cfRule type="duplicateValues" dxfId="13923" priority="7355"/>
  </conditionalFormatting>
  <conditionalFormatting sqref="B42:B59">
    <cfRule type="duplicateValues" dxfId="13922" priority="7273"/>
    <cfRule type="duplicateValues" dxfId="13921" priority="7272"/>
    <cfRule type="duplicateValues" dxfId="13920" priority="7271"/>
    <cfRule type="duplicateValues" dxfId="13919" priority="7270"/>
    <cfRule type="duplicateValues" dxfId="13918" priority="7269"/>
    <cfRule type="duplicateValues" dxfId="13917" priority="7268"/>
    <cfRule type="duplicateValues" dxfId="13916" priority="7267"/>
    <cfRule type="duplicateValues" dxfId="13915" priority="7266"/>
    <cfRule type="duplicateValues" dxfId="13914" priority="7265"/>
    <cfRule type="duplicateValues" dxfId="13913" priority="7264"/>
    <cfRule type="duplicateValues" dxfId="13912" priority="7263"/>
    <cfRule type="duplicateValues" dxfId="13911" priority="7262"/>
    <cfRule type="duplicateValues" dxfId="13910" priority="7261"/>
    <cfRule type="duplicateValues" dxfId="13909" priority="7260"/>
    <cfRule type="duplicateValues" dxfId="13908" priority="7259"/>
    <cfRule type="duplicateValues" dxfId="13907" priority="7258"/>
    <cfRule type="duplicateValues" dxfId="13906" priority="7257"/>
    <cfRule type="duplicateValues" dxfId="13905" priority="7256"/>
    <cfRule type="duplicateValues" dxfId="13904" priority="7255"/>
    <cfRule type="duplicateValues" dxfId="13903" priority="7254"/>
    <cfRule type="duplicateValues" dxfId="13902" priority="7253"/>
    <cfRule type="duplicateValues" dxfId="13901" priority="7252"/>
    <cfRule type="duplicateValues" dxfId="13900" priority="7251"/>
    <cfRule type="duplicateValues" dxfId="13899" priority="7250"/>
    <cfRule type="duplicateValues" dxfId="13898" priority="7249"/>
    <cfRule type="duplicateValues" dxfId="13897" priority="7247"/>
    <cfRule type="duplicateValues" dxfId="13896" priority="7246"/>
    <cfRule type="duplicateValues" dxfId="13895" priority="7245"/>
    <cfRule type="duplicateValues" dxfId="13894" priority="7244"/>
    <cfRule type="duplicateValues" dxfId="13893" priority="7243"/>
    <cfRule type="duplicateValues" dxfId="13892" priority="7242"/>
    <cfRule type="duplicateValues" dxfId="13891" priority="7241"/>
    <cfRule type="duplicateValues" dxfId="13890" priority="7240"/>
    <cfRule type="duplicateValues" dxfId="13889" priority="7239"/>
    <cfRule type="duplicateValues" dxfId="13888" priority="7238"/>
    <cfRule type="duplicateValues" dxfId="13887" priority="7237"/>
    <cfRule type="duplicateValues" dxfId="13886" priority="7236"/>
    <cfRule type="duplicateValues" dxfId="13885" priority="7235"/>
    <cfRule type="duplicateValues" dxfId="13884" priority="7234"/>
    <cfRule type="duplicateValues" dxfId="13883" priority="7233"/>
    <cfRule type="duplicateValues" dxfId="13882" priority="7232"/>
    <cfRule type="duplicateValues" dxfId="13881" priority="7231"/>
    <cfRule type="duplicateValues" dxfId="13880" priority="7230"/>
    <cfRule type="duplicateValues" dxfId="13879" priority="7248"/>
    <cfRule type="duplicateValues" dxfId="13878" priority="7309"/>
    <cfRule type="duplicateValues" dxfId="13877" priority="7308"/>
    <cfRule type="duplicateValues" dxfId="13876" priority="7307"/>
    <cfRule type="duplicateValues" dxfId="13875" priority="7306"/>
    <cfRule type="duplicateValues" dxfId="13874" priority="7305"/>
    <cfRule type="duplicateValues" dxfId="13873" priority="7304"/>
    <cfRule type="duplicateValues" dxfId="13872" priority="7303"/>
    <cfRule type="duplicateValues" dxfId="13871" priority="7302"/>
    <cfRule type="duplicateValues" dxfId="13870" priority="7301"/>
    <cfRule type="duplicateValues" dxfId="13869" priority="7300"/>
    <cfRule type="duplicateValues" dxfId="13868" priority="7299"/>
    <cfRule type="duplicateValues" dxfId="13867" priority="7298"/>
    <cfRule type="duplicateValues" dxfId="13866" priority="7297"/>
    <cfRule type="duplicateValues" dxfId="13865" priority="7296"/>
    <cfRule type="duplicateValues" dxfId="13864" priority="7295"/>
    <cfRule type="duplicateValues" dxfId="13863" priority="7294"/>
    <cfRule type="duplicateValues" dxfId="13862" priority="7293"/>
    <cfRule type="duplicateValues" dxfId="13861" priority="7292"/>
    <cfRule type="duplicateValues" dxfId="13860" priority="7291"/>
    <cfRule type="duplicateValues" dxfId="13859" priority="7290"/>
    <cfRule type="duplicateValues" dxfId="13858" priority="7289"/>
    <cfRule type="duplicateValues" dxfId="13857" priority="7288"/>
    <cfRule type="duplicateValues" dxfId="13856" priority="7287"/>
    <cfRule type="duplicateValues" dxfId="13855" priority="7286"/>
    <cfRule type="duplicateValues" dxfId="13854" priority="7285"/>
    <cfRule type="duplicateValues" dxfId="13853" priority="7284"/>
    <cfRule type="duplicateValues" dxfId="13852" priority="7283"/>
    <cfRule type="duplicateValues" dxfId="13851" priority="7282"/>
    <cfRule type="duplicateValues" dxfId="13850" priority="7281"/>
    <cfRule type="duplicateValues" dxfId="13849" priority="7280"/>
    <cfRule type="duplicateValues" dxfId="13848" priority="7279"/>
    <cfRule type="duplicateValues" dxfId="13847" priority="7278"/>
    <cfRule type="duplicateValues" dxfId="13846" priority="7277"/>
    <cfRule type="duplicateValues" dxfId="13845" priority="7276"/>
    <cfRule type="duplicateValues" dxfId="13844" priority="7275"/>
    <cfRule type="duplicateValues" dxfId="13843" priority="7274"/>
  </conditionalFormatting>
  <conditionalFormatting sqref="B61">
    <cfRule type="duplicateValues" dxfId="13842" priority="7192"/>
    <cfRule type="duplicateValues" dxfId="13841" priority="7191"/>
    <cfRule type="duplicateValues" dxfId="13840" priority="7190"/>
    <cfRule type="duplicateValues" dxfId="13839" priority="7189"/>
    <cfRule type="duplicateValues" dxfId="13838" priority="7188"/>
    <cfRule type="duplicateValues" dxfId="13837" priority="7187"/>
    <cfRule type="duplicateValues" dxfId="13836" priority="7186"/>
    <cfRule type="duplicateValues" dxfId="13835" priority="7185"/>
    <cfRule type="duplicateValues" dxfId="13834" priority="7184"/>
    <cfRule type="duplicateValues" dxfId="13833" priority="7183"/>
    <cfRule type="duplicateValues" dxfId="13832" priority="7182"/>
    <cfRule type="duplicateValues" dxfId="13831" priority="7181"/>
    <cfRule type="duplicateValues" dxfId="13830" priority="7180"/>
    <cfRule type="duplicateValues" dxfId="13829" priority="7179"/>
    <cfRule type="duplicateValues" dxfId="13828" priority="7178"/>
    <cfRule type="duplicateValues" dxfId="13827" priority="7177"/>
    <cfRule type="duplicateValues" dxfId="13826" priority="7176"/>
    <cfRule type="duplicateValues" dxfId="13825" priority="7205"/>
    <cfRule type="duplicateValues" dxfId="13824" priority="7175"/>
    <cfRule type="duplicateValues" dxfId="13823" priority="7174"/>
    <cfRule type="duplicateValues" dxfId="13822" priority="7173"/>
    <cfRule type="duplicateValues" dxfId="13821" priority="7172"/>
    <cfRule type="duplicateValues" dxfId="13820" priority="7171"/>
    <cfRule type="duplicateValues" dxfId="13819" priority="7170"/>
    <cfRule type="duplicateValues" dxfId="13818" priority="7169"/>
    <cfRule type="duplicateValues" dxfId="13817" priority="7168"/>
    <cfRule type="duplicateValues" dxfId="13816" priority="7167"/>
    <cfRule type="duplicateValues" dxfId="13815" priority="7166"/>
    <cfRule type="duplicateValues" dxfId="13814" priority="7165"/>
    <cfRule type="duplicateValues" dxfId="13813" priority="7164"/>
    <cfRule type="duplicateValues" dxfId="13812" priority="7163"/>
    <cfRule type="duplicateValues" dxfId="13811" priority="7162"/>
    <cfRule type="duplicateValues" dxfId="13810" priority="7161"/>
    <cfRule type="duplicateValues" dxfId="13809" priority="7160"/>
    <cfRule type="duplicateValues" dxfId="13808" priority="7159"/>
    <cfRule type="duplicateValues" dxfId="13807" priority="7158"/>
    <cfRule type="duplicateValues" dxfId="13806" priority="7157"/>
    <cfRule type="duplicateValues" dxfId="13805" priority="7156"/>
    <cfRule type="duplicateValues" dxfId="13804" priority="7155"/>
    <cfRule type="duplicateValues" dxfId="13803" priority="7154"/>
    <cfRule type="duplicateValues" dxfId="13802" priority="7153"/>
    <cfRule type="duplicateValues" dxfId="13801" priority="7152"/>
    <cfRule type="duplicateValues" dxfId="13800" priority="7151"/>
    <cfRule type="duplicateValues" dxfId="13799" priority="7150"/>
    <cfRule type="duplicateValues" dxfId="13798" priority="7149"/>
    <cfRule type="duplicateValues" dxfId="13797" priority="7148"/>
    <cfRule type="duplicateValues" dxfId="13796" priority="7147"/>
    <cfRule type="duplicateValues" dxfId="13795" priority="7146"/>
    <cfRule type="duplicateValues" dxfId="13794" priority="7145"/>
    <cfRule type="duplicateValues" dxfId="13793" priority="7144"/>
    <cfRule type="duplicateValues" dxfId="13792" priority="7143"/>
    <cfRule type="duplicateValues" dxfId="13791" priority="7221"/>
    <cfRule type="duplicateValues" dxfId="13790" priority="7220"/>
    <cfRule type="duplicateValues" dxfId="13789" priority="7219"/>
    <cfRule type="duplicateValues" dxfId="13788" priority="7218"/>
    <cfRule type="duplicateValues" dxfId="13787" priority="7217"/>
    <cfRule type="duplicateValues" dxfId="13786" priority="7142"/>
    <cfRule type="duplicateValues" dxfId="13785" priority="7216"/>
    <cfRule type="duplicateValues" dxfId="13784" priority="7215"/>
    <cfRule type="duplicateValues" dxfId="13783" priority="7214"/>
    <cfRule type="duplicateValues" dxfId="13782" priority="7213"/>
    <cfRule type="duplicateValues" dxfId="13781" priority="7212"/>
    <cfRule type="duplicateValues" dxfId="13780" priority="7211"/>
    <cfRule type="duplicateValues" dxfId="13779" priority="7210"/>
    <cfRule type="duplicateValues" dxfId="13778" priority="7209"/>
    <cfRule type="duplicateValues" dxfId="13777" priority="7208"/>
    <cfRule type="duplicateValues" dxfId="13776" priority="7207"/>
    <cfRule type="duplicateValues" dxfId="13775" priority="7206"/>
    <cfRule type="duplicateValues" dxfId="13774" priority="7204"/>
    <cfRule type="duplicateValues" dxfId="13773" priority="7203"/>
    <cfRule type="duplicateValues" dxfId="13772" priority="7202"/>
    <cfRule type="duplicateValues" dxfId="13771" priority="7201"/>
    <cfRule type="duplicateValues" dxfId="13770" priority="7200"/>
    <cfRule type="duplicateValues" dxfId="13769" priority="7199"/>
    <cfRule type="duplicateValues" dxfId="13768" priority="7198"/>
    <cfRule type="duplicateValues" dxfId="13767" priority="7197"/>
    <cfRule type="duplicateValues" dxfId="13766" priority="7196"/>
    <cfRule type="duplicateValues" dxfId="13765" priority="7195"/>
    <cfRule type="duplicateValues" dxfId="13764" priority="7194"/>
    <cfRule type="duplicateValues" dxfId="13763" priority="7193"/>
  </conditionalFormatting>
  <conditionalFormatting sqref="B62 B60 B2:B39 B64:B133">
    <cfRule type="duplicateValues" dxfId="13762" priority="7443"/>
    <cfRule type="duplicateValues" dxfId="13761" priority="7474"/>
    <cfRule type="duplicateValues" dxfId="13760" priority="7475"/>
    <cfRule type="duplicateValues" dxfId="13759" priority="7476"/>
    <cfRule type="duplicateValues" dxfId="13758" priority="7467"/>
    <cfRule type="duplicateValues" dxfId="13757" priority="7466"/>
    <cfRule type="duplicateValues" dxfId="13756" priority="7465"/>
    <cfRule type="duplicateValues" dxfId="13755" priority="7464"/>
    <cfRule type="duplicateValues" dxfId="13754" priority="7463"/>
    <cfRule type="duplicateValues" dxfId="13753" priority="7462"/>
    <cfRule type="duplicateValues" dxfId="13752" priority="7461"/>
    <cfRule type="duplicateValues" dxfId="13751" priority="7460"/>
    <cfRule type="duplicateValues" dxfId="13750" priority="7459"/>
    <cfRule type="duplicateValues" dxfId="13749" priority="7458"/>
    <cfRule type="duplicateValues" dxfId="13748" priority="7457"/>
    <cfRule type="duplicateValues" dxfId="13747" priority="7456"/>
    <cfRule type="duplicateValues" dxfId="13746" priority="7455"/>
    <cfRule type="duplicateValues" dxfId="13745" priority="7454"/>
    <cfRule type="duplicateValues" dxfId="13744" priority="7453"/>
    <cfRule type="duplicateValues" dxfId="13743" priority="7452"/>
    <cfRule type="duplicateValues" dxfId="13742" priority="7451"/>
    <cfRule type="duplicateValues" dxfId="13741" priority="7450"/>
    <cfRule type="duplicateValues" dxfId="13740" priority="7449"/>
    <cfRule type="duplicateValues" dxfId="13739" priority="7448"/>
    <cfRule type="duplicateValues" dxfId="13738" priority="7447"/>
    <cfRule type="duplicateValues" dxfId="13737" priority="7446"/>
    <cfRule type="duplicateValues" dxfId="13736" priority="7445"/>
    <cfRule type="duplicateValues" dxfId="13735" priority="7444"/>
    <cfRule type="duplicateValues" dxfId="13734" priority="7473"/>
    <cfRule type="duplicateValues" dxfId="13733" priority="7468"/>
    <cfRule type="duplicateValues" dxfId="13732" priority="7442"/>
    <cfRule type="duplicateValues" dxfId="13731" priority="7441"/>
    <cfRule type="duplicateValues" dxfId="13730" priority="7440"/>
    <cfRule type="duplicateValues" dxfId="13729" priority="7469"/>
    <cfRule type="duplicateValues" dxfId="13728" priority="7470"/>
    <cfRule type="duplicateValues" dxfId="13727" priority="7471"/>
    <cfRule type="duplicateValues" dxfId="13726" priority="7472"/>
  </conditionalFormatting>
  <conditionalFormatting sqref="B62 B60 B28:B31 B33:B39 B64:B133">
    <cfRule type="duplicateValues" dxfId="13725" priority="7421"/>
    <cfRule type="duplicateValues" dxfId="13724" priority="7420"/>
    <cfRule type="duplicateValues" dxfId="13723" priority="7419"/>
    <cfRule type="duplicateValues" dxfId="13722" priority="7418"/>
    <cfRule type="duplicateValues" dxfId="13721" priority="7417"/>
    <cfRule type="duplicateValues" dxfId="13720" priority="7416"/>
    <cfRule type="duplicateValues" dxfId="13719" priority="7415"/>
    <cfRule type="duplicateValues" dxfId="13718" priority="7414"/>
    <cfRule type="duplicateValues" dxfId="13717" priority="7413"/>
    <cfRule type="duplicateValues" dxfId="13716" priority="7411"/>
    <cfRule type="duplicateValues" dxfId="13715" priority="7410"/>
    <cfRule type="duplicateValues" dxfId="13714" priority="7409"/>
    <cfRule type="duplicateValues" dxfId="13713" priority="7408"/>
    <cfRule type="duplicateValues" dxfId="13712" priority="7407"/>
    <cfRule type="duplicateValues" dxfId="13711" priority="7406"/>
    <cfRule type="duplicateValues" dxfId="13710" priority="7405"/>
    <cfRule type="duplicateValues" dxfId="13709" priority="7404"/>
    <cfRule type="duplicateValues" dxfId="13708" priority="7403"/>
    <cfRule type="duplicateValues" dxfId="13707" priority="7402"/>
    <cfRule type="duplicateValues" dxfId="13706" priority="7401"/>
    <cfRule type="duplicateValues" dxfId="13705" priority="7400"/>
    <cfRule type="duplicateValues" dxfId="13704" priority="7399"/>
    <cfRule type="duplicateValues" dxfId="13703" priority="7398"/>
    <cfRule type="duplicateValues" dxfId="13702" priority="7397"/>
    <cfRule type="duplicateValues" dxfId="13701" priority="7396"/>
    <cfRule type="duplicateValues" dxfId="13700" priority="7395"/>
    <cfRule type="duplicateValues" dxfId="13699" priority="7394"/>
    <cfRule type="duplicateValues" dxfId="13698" priority="7392"/>
    <cfRule type="duplicateValues" dxfId="13697" priority="7391"/>
    <cfRule type="duplicateValues" dxfId="13696" priority="7390"/>
    <cfRule type="duplicateValues" dxfId="13695" priority="7412"/>
    <cfRule type="duplicateValues" dxfId="13694" priority="7393"/>
    <cfRule type="duplicateValues" dxfId="13693" priority="7427"/>
    <cfRule type="duplicateValues" dxfId="13692" priority="7426"/>
    <cfRule type="duplicateValues" dxfId="13691" priority="7425"/>
    <cfRule type="duplicateValues" dxfId="13690" priority="7424"/>
    <cfRule type="duplicateValues" dxfId="13689" priority="7423"/>
    <cfRule type="duplicateValues" dxfId="13688" priority="7422"/>
  </conditionalFormatting>
  <conditionalFormatting sqref="B63">
    <cfRule type="duplicateValues" dxfId="13687" priority="7099"/>
    <cfRule type="duplicateValues" dxfId="13686" priority="7098"/>
    <cfRule type="duplicateValues" dxfId="13685" priority="7097"/>
    <cfRule type="duplicateValues" dxfId="13684" priority="7096"/>
    <cfRule type="duplicateValues" dxfId="13683" priority="7095"/>
    <cfRule type="duplicateValues" dxfId="13682" priority="7094"/>
    <cfRule type="duplicateValues" dxfId="13681" priority="7093"/>
    <cfRule type="duplicateValues" dxfId="13680" priority="7092"/>
    <cfRule type="duplicateValues" dxfId="13679" priority="7091"/>
    <cfRule type="duplicateValues" dxfId="13678" priority="7090"/>
    <cfRule type="duplicateValues" dxfId="13677" priority="7089"/>
    <cfRule type="duplicateValues" dxfId="13676" priority="7088"/>
    <cfRule type="duplicateValues" dxfId="13675" priority="7087"/>
    <cfRule type="duplicateValues" dxfId="13674" priority="7085"/>
    <cfRule type="duplicateValues" dxfId="13673" priority="7084"/>
    <cfRule type="duplicateValues" dxfId="13672" priority="7083"/>
    <cfRule type="duplicateValues" dxfId="13671" priority="7082"/>
    <cfRule type="duplicateValues" dxfId="13670" priority="7081"/>
    <cfRule type="duplicateValues" dxfId="13669" priority="7080"/>
    <cfRule type="duplicateValues" dxfId="13668" priority="7079"/>
    <cfRule type="duplicateValues" dxfId="13667" priority="7078"/>
    <cfRule type="duplicateValues" dxfId="13666" priority="7077"/>
    <cfRule type="duplicateValues" dxfId="13665" priority="7076"/>
    <cfRule type="duplicateValues" dxfId="13664" priority="7075"/>
    <cfRule type="duplicateValues" dxfId="13663" priority="7074"/>
    <cfRule type="duplicateValues" dxfId="13662" priority="7073"/>
    <cfRule type="duplicateValues" dxfId="13661" priority="7072"/>
    <cfRule type="duplicateValues" dxfId="13660" priority="7071"/>
    <cfRule type="duplicateValues" dxfId="13659" priority="7070"/>
    <cfRule type="duplicateValues" dxfId="13658" priority="7069"/>
    <cfRule type="duplicateValues" dxfId="13657" priority="7068"/>
    <cfRule type="duplicateValues" dxfId="13656" priority="7067"/>
    <cfRule type="duplicateValues" dxfId="13655" priority="7066"/>
    <cfRule type="duplicateValues" dxfId="13654" priority="7065"/>
    <cfRule type="duplicateValues" dxfId="13653" priority="7064"/>
    <cfRule type="duplicateValues" dxfId="13652" priority="7063"/>
    <cfRule type="duplicateValues" dxfId="13651" priority="7062"/>
    <cfRule type="duplicateValues" dxfId="13650" priority="7061"/>
    <cfRule type="duplicateValues" dxfId="13649" priority="7060"/>
    <cfRule type="duplicateValues" dxfId="13648" priority="7059"/>
    <cfRule type="duplicateValues" dxfId="13647" priority="7086"/>
    <cfRule type="duplicateValues" dxfId="13646" priority="7141"/>
    <cfRule type="duplicateValues" dxfId="13645" priority="7140"/>
    <cfRule type="duplicateValues" dxfId="13644" priority="7139"/>
    <cfRule type="duplicateValues" dxfId="13643" priority="7138"/>
    <cfRule type="duplicateValues" dxfId="13642" priority="7137"/>
    <cfRule type="duplicateValues" dxfId="13641" priority="7136"/>
    <cfRule type="duplicateValues" dxfId="13640" priority="7135"/>
    <cfRule type="duplicateValues" dxfId="13639" priority="7134"/>
    <cfRule type="duplicateValues" dxfId="13638" priority="7133"/>
    <cfRule type="duplicateValues" dxfId="13637" priority="7132"/>
    <cfRule type="duplicateValues" dxfId="13636" priority="7131"/>
    <cfRule type="duplicateValues" dxfId="13635" priority="7130"/>
    <cfRule type="duplicateValues" dxfId="13634" priority="7129"/>
    <cfRule type="duplicateValues" dxfId="13633" priority="7128"/>
    <cfRule type="duplicateValues" dxfId="13632" priority="7127"/>
    <cfRule type="duplicateValues" dxfId="13631" priority="7126"/>
    <cfRule type="duplicateValues" dxfId="13630" priority="7125"/>
    <cfRule type="duplicateValues" dxfId="13629" priority="7124"/>
    <cfRule type="duplicateValues" dxfId="13628" priority="7123"/>
    <cfRule type="duplicateValues" dxfId="13627" priority="7122"/>
    <cfRule type="duplicateValues" dxfId="13626" priority="7121"/>
    <cfRule type="duplicateValues" dxfId="13625" priority="7120"/>
    <cfRule type="duplicateValues" dxfId="13624" priority="7119"/>
    <cfRule type="duplicateValues" dxfId="13623" priority="7118"/>
    <cfRule type="duplicateValues" dxfId="13622" priority="7117"/>
    <cfRule type="duplicateValues" dxfId="13621" priority="7116"/>
    <cfRule type="duplicateValues" dxfId="13620" priority="7115"/>
    <cfRule type="duplicateValues" dxfId="13619" priority="7114"/>
    <cfRule type="duplicateValues" dxfId="13618" priority="7113"/>
    <cfRule type="duplicateValues" dxfId="13617" priority="7112"/>
    <cfRule type="duplicateValues" dxfId="13616" priority="7111"/>
    <cfRule type="duplicateValues" dxfId="13615" priority="7110"/>
    <cfRule type="duplicateValues" dxfId="13614" priority="7109"/>
    <cfRule type="duplicateValues" dxfId="13613" priority="7108"/>
    <cfRule type="duplicateValues" dxfId="13612" priority="7107"/>
    <cfRule type="duplicateValues" dxfId="13611" priority="7106"/>
    <cfRule type="duplicateValues" dxfId="13610" priority="7105"/>
    <cfRule type="duplicateValues" dxfId="13609" priority="7104"/>
    <cfRule type="duplicateValues" dxfId="13608" priority="7103"/>
    <cfRule type="duplicateValues" dxfId="13607" priority="7102"/>
    <cfRule type="duplicateValues" dxfId="13606" priority="7101"/>
    <cfRule type="duplicateValues" dxfId="13605" priority="7100"/>
  </conditionalFormatting>
  <conditionalFormatting sqref="B139">
    <cfRule type="duplicateValues" dxfId="13604" priority="6899"/>
    <cfRule type="duplicateValues" dxfId="13603" priority="6881"/>
    <cfRule type="duplicateValues" dxfId="13602" priority="6880"/>
    <cfRule type="duplicateValues" dxfId="13601" priority="6879"/>
    <cfRule type="duplicateValues" dxfId="13600" priority="6878"/>
    <cfRule type="duplicateValues" dxfId="13599" priority="6877"/>
    <cfRule type="duplicateValues" dxfId="13598" priority="6876"/>
    <cfRule type="duplicateValues" dxfId="13597" priority="6875"/>
    <cfRule type="duplicateValues" dxfId="13596" priority="6874"/>
    <cfRule type="duplicateValues" dxfId="13595" priority="6873"/>
    <cfRule type="duplicateValues" dxfId="13594" priority="6872"/>
    <cfRule type="duplicateValues" dxfId="13593" priority="6871"/>
    <cfRule type="duplicateValues" dxfId="13592" priority="6870"/>
    <cfRule type="duplicateValues" dxfId="13591" priority="6898"/>
    <cfRule type="duplicateValues" dxfId="13590" priority="6913"/>
    <cfRule type="duplicateValues" dxfId="13589" priority="6900"/>
    <cfRule type="duplicateValues" dxfId="13588" priority="6901"/>
    <cfRule type="duplicateValues" dxfId="13587" priority="6902"/>
    <cfRule type="duplicateValues" dxfId="13586" priority="6903"/>
    <cfRule type="duplicateValues" dxfId="13585" priority="6904"/>
    <cfRule type="duplicateValues" dxfId="13584" priority="6905"/>
    <cfRule type="duplicateValues" dxfId="13583" priority="6906"/>
    <cfRule type="duplicateValues" dxfId="13582" priority="6907"/>
    <cfRule type="duplicateValues" dxfId="13581" priority="6908"/>
    <cfRule type="duplicateValues" dxfId="13580" priority="6909"/>
    <cfRule type="duplicateValues" dxfId="13579" priority="6910"/>
    <cfRule type="duplicateValues" dxfId="13578" priority="6911"/>
    <cfRule type="duplicateValues" dxfId="13577" priority="6912"/>
    <cfRule type="duplicateValues" dxfId="13576" priority="6869"/>
    <cfRule type="duplicateValues" dxfId="13575" priority="6914"/>
    <cfRule type="duplicateValues" dxfId="13574" priority="6915"/>
    <cfRule type="duplicateValues" dxfId="13573" priority="6916"/>
    <cfRule type="duplicateValues" dxfId="13572" priority="6917"/>
    <cfRule type="duplicateValues" dxfId="13571" priority="6918"/>
    <cfRule type="duplicateValues" dxfId="13570" priority="6868"/>
    <cfRule type="duplicateValues" dxfId="13569" priority="6919"/>
    <cfRule type="duplicateValues" dxfId="13568" priority="6920"/>
    <cfRule type="duplicateValues" dxfId="13567" priority="6921"/>
    <cfRule type="duplicateValues" dxfId="13566" priority="6922"/>
    <cfRule type="duplicateValues" dxfId="13565" priority="6923"/>
    <cfRule type="duplicateValues" dxfId="13564" priority="6924"/>
    <cfRule type="duplicateValues" dxfId="13563" priority="6926"/>
    <cfRule type="duplicateValues" dxfId="13562" priority="6927"/>
    <cfRule type="duplicateValues" dxfId="13561" priority="6928"/>
    <cfRule type="duplicateValues" dxfId="13560" priority="6867"/>
    <cfRule type="duplicateValues" dxfId="13559" priority="6925"/>
    <cfRule type="duplicateValues" dxfId="13558" priority="6866"/>
    <cfRule type="duplicateValues" dxfId="13557" priority="6865"/>
    <cfRule type="duplicateValues" dxfId="13556" priority="6864"/>
    <cfRule type="duplicateValues" dxfId="13555" priority="6863"/>
    <cfRule type="duplicateValues" dxfId="13554" priority="6862"/>
    <cfRule type="duplicateValues" dxfId="13553" priority="6861"/>
    <cfRule type="duplicateValues" dxfId="13552" priority="6860"/>
    <cfRule type="duplicateValues" dxfId="13551" priority="6859"/>
    <cfRule type="duplicateValues" dxfId="13550" priority="6858"/>
    <cfRule type="duplicateValues" dxfId="13549" priority="6857"/>
    <cfRule type="duplicateValues" dxfId="13548" priority="6856"/>
    <cfRule type="duplicateValues" dxfId="13547" priority="6855"/>
    <cfRule type="duplicateValues" dxfId="13546" priority="6854"/>
    <cfRule type="duplicateValues" dxfId="13545" priority="6853"/>
    <cfRule type="duplicateValues" dxfId="13544" priority="6852"/>
    <cfRule type="duplicateValues" dxfId="13543" priority="6851"/>
    <cfRule type="duplicateValues" dxfId="13542" priority="6897"/>
    <cfRule type="duplicateValues" dxfId="13541" priority="6896"/>
    <cfRule type="duplicateValues" dxfId="13540" priority="6895"/>
    <cfRule type="duplicateValues" dxfId="13539" priority="6894"/>
    <cfRule type="duplicateValues" dxfId="13538" priority="6893"/>
    <cfRule type="duplicateValues" dxfId="13537" priority="6892"/>
    <cfRule type="duplicateValues" dxfId="13536" priority="6891"/>
    <cfRule type="duplicateValues" dxfId="13535" priority="6890"/>
    <cfRule type="duplicateValues" dxfId="13534" priority="6889"/>
    <cfRule type="duplicateValues" dxfId="13533" priority="6888"/>
    <cfRule type="duplicateValues" dxfId="13532" priority="6887"/>
    <cfRule type="duplicateValues" dxfId="13531" priority="6886"/>
    <cfRule type="duplicateValues" dxfId="13530" priority="6885"/>
    <cfRule type="duplicateValues" dxfId="13529" priority="6884"/>
    <cfRule type="duplicateValues" dxfId="13528" priority="6883"/>
    <cfRule type="duplicateValues" dxfId="13527" priority="6882"/>
  </conditionalFormatting>
  <conditionalFormatting sqref="B192">
    <cfRule type="duplicateValues" dxfId="13526" priority="6762"/>
    <cfRule type="duplicateValues" dxfId="13525" priority="6761"/>
    <cfRule type="duplicateValues" dxfId="13524" priority="6760"/>
    <cfRule type="duplicateValues" dxfId="13523" priority="6749"/>
    <cfRule type="duplicateValues" dxfId="13522" priority="6759"/>
    <cfRule type="duplicateValues" dxfId="13521" priority="6755"/>
    <cfRule type="duplicateValues" dxfId="13520" priority="6754"/>
    <cfRule type="duplicateValues" dxfId="13519" priority="6753"/>
    <cfRule type="duplicateValues" dxfId="13518" priority="6752"/>
    <cfRule type="duplicateValues" dxfId="13517" priority="6751"/>
    <cfRule type="duplicateValues" dxfId="13516" priority="6750"/>
    <cfRule type="duplicateValues" dxfId="13515" priority="6758"/>
    <cfRule type="duplicateValues" dxfId="13514" priority="6763"/>
    <cfRule type="duplicateValues" dxfId="13513" priority="6757"/>
    <cfRule type="duplicateValues" dxfId="13512" priority="6782"/>
    <cfRule type="duplicateValues" dxfId="13511" priority="6781"/>
    <cfRule type="duplicateValues" dxfId="13510" priority="6780"/>
    <cfRule type="duplicateValues" dxfId="13509" priority="6779"/>
    <cfRule type="duplicateValues" dxfId="13508" priority="6788"/>
    <cfRule type="duplicateValues" dxfId="13507" priority="6787"/>
    <cfRule type="duplicateValues" dxfId="13506" priority="6778"/>
    <cfRule type="duplicateValues" dxfId="13505" priority="6756"/>
    <cfRule type="duplicateValues" dxfId="13504" priority="6786"/>
    <cfRule type="duplicateValues" dxfId="13503" priority="6785"/>
    <cfRule type="duplicateValues" dxfId="13502" priority="6784"/>
    <cfRule type="duplicateValues" dxfId="13501" priority="6783"/>
    <cfRule type="duplicateValues" dxfId="13500" priority="6777"/>
    <cfRule type="duplicateValues" dxfId="13499" priority="6769"/>
    <cfRule type="duplicateValues" dxfId="13498" priority="6776"/>
    <cfRule type="duplicateValues" dxfId="13497" priority="6775"/>
    <cfRule type="duplicateValues" dxfId="13496" priority="6774"/>
    <cfRule type="duplicateValues" dxfId="13495" priority="6773"/>
    <cfRule type="duplicateValues" dxfId="13494" priority="6772"/>
    <cfRule type="duplicateValues" dxfId="13493" priority="6771"/>
    <cfRule type="duplicateValues" dxfId="13492" priority="6770"/>
    <cfRule type="duplicateValues" dxfId="13491" priority="6768"/>
    <cfRule type="duplicateValues" dxfId="13490" priority="6767"/>
    <cfRule type="duplicateValues" dxfId="13489" priority="6766"/>
    <cfRule type="duplicateValues" dxfId="13488" priority="6765"/>
    <cfRule type="duplicateValues" dxfId="13487" priority="6764"/>
  </conditionalFormatting>
  <conditionalFormatting sqref="B193 B140:B191 B134:B138">
    <cfRule type="duplicateValues" dxfId="13486" priority="6941"/>
    <cfRule type="duplicateValues" dxfId="13485" priority="6940"/>
    <cfRule type="duplicateValues" dxfId="13484" priority="6939"/>
    <cfRule type="duplicateValues" dxfId="13483" priority="6938"/>
    <cfRule type="duplicateValues" dxfId="13482" priority="6937"/>
    <cfRule type="duplicateValues" dxfId="13481" priority="6936"/>
    <cfRule type="duplicateValues" dxfId="13480" priority="6935"/>
    <cfRule type="duplicateValues" dxfId="13479" priority="6934"/>
    <cfRule type="duplicateValues" dxfId="13478" priority="6933"/>
    <cfRule type="duplicateValues" dxfId="13477" priority="6932"/>
    <cfRule type="duplicateValues" dxfId="13476" priority="6931"/>
    <cfRule type="duplicateValues" dxfId="13475" priority="6930"/>
    <cfRule type="duplicateValues" dxfId="13474" priority="6929"/>
    <cfRule type="duplicateValues" dxfId="13473" priority="6968"/>
    <cfRule type="duplicateValues" dxfId="13472" priority="6942"/>
    <cfRule type="duplicateValues" dxfId="13471" priority="6967"/>
    <cfRule type="duplicateValues" dxfId="13470" priority="6966"/>
    <cfRule type="duplicateValues" dxfId="13469" priority="6965"/>
    <cfRule type="duplicateValues" dxfId="13468" priority="6964"/>
    <cfRule type="duplicateValues" dxfId="13467" priority="6963"/>
    <cfRule type="duplicateValues" dxfId="13466" priority="6962"/>
    <cfRule type="duplicateValues" dxfId="13465" priority="6959"/>
    <cfRule type="duplicateValues" dxfId="13464" priority="6961"/>
    <cfRule type="duplicateValues" dxfId="13463" priority="6960"/>
    <cfRule type="duplicateValues" dxfId="13462" priority="6958"/>
    <cfRule type="duplicateValues" dxfId="13461" priority="6957"/>
    <cfRule type="duplicateValues" dxfId="13460" priority="6956"/>
    <cfRule type="duplicateValues" dxfId="13459" priority="6955"/>
    <cfRule type="duplicateValues" dxfId="13458" priority="6954"/>
    <cfRule type="duplicateValues" dxfId="13457" priority="6953"/>
    <cfRule type="duplicateValues" dxfId="13456" priority="6952"/>
    <cfRule type="duplicateValues" dxfId="13455" priority="6951"/>
    <cfRule type="duplicateValues" dxfId="13454" priority="6950"/>
    <cfRule type="duplicateValues" dxfId="13453" priority="6949"/>
    <cfRule type="duplicateValues" dxfId="13452" priority="6948"/>
    <cfRule type="duplicateValues" dxfId="13451" priority="6947"/>
    <cfRule type="duplicateValues" dxfId="13450" priority="6946"/>
    <cfRule type="duplicateValues" dxfId="13449" priority="6945"/>
    <cfRule type="duplicateValues" dxfId="13448" priority="6944"/>
    <cfRule type="duplicateValues" dxfId="13447" priority="6943"/>
  </conditionalFormatting>
  <conditionalFormatting sqref="B193">
    <cfRule type="duplicateValues" dxfId="13446" priority="6709"/>
    <cfRule type="duplicateValues" dxfId="13445" priority="6727"/>
    <cfRule type="duplicateValues" dxfId="13444" priority="6728"/>
    <cfRule type="duplicateValues" dxfId="13443" priority="6729"/>
    <cfRule type="duplicateValues" dxfId="13442" priority="6730"/>
    <cfRule type="duplicateValues" dxfId="13441" priority="6731"/>
    <cfRule type="duplicateValues" dxfId="13440" priority="6745"/>
    <cfRule type="duplicateValues" dxfId="13439" priority="6732"/>
    <cfRule type="duplicateValues" dxfId="13438" priority="6735"/>
    <cfRule type="duplicateValues" dxfId="13437" priority="6733"/>
    <cfRule type="duplicateValues" dxfId="13436" priority="6734"/>
    <cfRule type="duplicateValues" dxfId="13435" priority="6748"/>
    <cfRule type="duplicateValues" dxfId="13434" priority="6747"/>
    <cfRule type="duplicateValues" dxfId="13433" priority="6718"/>
    <cfRule type="duplicateValues" dxfId="13432" priority="6717"/>
    <cfRule type="duplicateValues" dxfId="13431" priority="6726"/>
    <cfRule type="duplicateValues" dxfId="13430" priority="6716"/>
    <cfRule type="duplicateValues" dxfId="13429" priority="6715"/>
    <cfRule type="duplicateValues" dxfId="13428" priority="6714"/>
    <cfRule type="duplicateValues" dxfId="13427" priority="6713"/>
    <cfRule type="duplicateValues" dxfId="13426" priority="6712"/>
    <cfRule type="duplicateValues" dxfId="13425" priority="6736"/>
    <cfRule type="duplicateValues" dxfId="13424" priority="6711"/>
    <cfRule type="duplicateValues" dxfId="13423" priority="6710"/>
    <cfRule type="duplicateValues" dxfId="13422" priority="6746"/>
    <cfRule type="duplicateValues" dxfId="13421" priority="6742"/>
    <cfRule type="duplicateValues" dxfId="13420" priority="6737"/>
    <cfRule type="duplicateValues" dxfId="13419" priority="6738"/>
    <cfRule type="duplicateValues" dxfId="13418" priority="6739"/>
    <cfRule type="duplicateValues" dxfId="13417" priority="6740"/>
    <cfRule type="duplicateValues" dxfId="13416" priority="6741"/>
    <cfRule type="duplicateValues" dxfId="13415" priority="6743"/>
    <cfRule type="duplicateValues" dxfId="13414" priority="6744"/>
    <cfRule type="duplicateValues" dxfId="13413" priority="6719"/>
    <cfRule type="duplicateValues" dxfId="13412" priority="6720"/>
    <cfRule type="duplicateValues" dxfId="13411" priority="6721"/>
    <cfRule type="duplicateValues" dxfId="13410" priority="6722"/>
    <cfRule type="duplicateValues" dxfId="13409" priority="6723"/>
    <cfRule type="duplicateValues" dxfId="13408" priority="6724"/>
    <cfRule type="duplicateValues" dxfId="13407" priority="6725"/>
  </conditionalFormatting>
  <conditionalFormatting sqref="B194:B197">
    <cfRule type="duplicateValues" dxfId="13406" priority="6658"/>
    <cfRule type="duplicateValues" dxfId="13405" priority="6657"/>
    <cfRule type="duplicateValues" dxfId="13404" priority="6656"/>
    <cfRule type="duplicateValues" dxfId="13403" priority="6655"/>
    <cfRule type="duplicateValues" dxfId="13402" priority="6654"/>
    <cfRule type="duplicateValues" dxfId="13401" priority="6653"/>
    <cfRule type="duplicateValues" dxfId="13400" priority="6652"/>
    <cfRule type="duplicateValues" dxfId="13399" priority="6651"/>
    <cfRule type="duplicateValues" dxfId="13398" priority="6650"/>
    <cfRule type="duplicateValues" dxfId="13397" priority="6649"/>
    <cfRule type="duplicateValues" dxfId="13396" priority="6648"/>
    <cfRule type="duplicateValues" dxfId="13395" priority="6647"/>
    <cfRule type="duplicateValues" dxfId="13394" priority="6668"/>
    <cfRule type="duplicateValues" dxfId="13393" priority="6646"/>
    <cfRule type="duplicateValues" dxfId="13392" priority="6667"/>
    <cfRule type="duplicateValues" dxfId="13391" priority="6666"/>
    <cfRule type="duplicateValues" dxfId="13390" priority="6665"/>
    <cfRule type="duplicateValues" dxfId="13389" priority="6664"/>
    <cfRule type="duplicateValues" dxfId="13388" priority="6663"/>
    <cfRule type="duplicateValues" dxfId="13387" priority="6662"/>
    <cfRule type="duplicateValues" dxfId="13386" priority="6659"/>
    <cfRule type="duplicateValues" dxfId="13385" priority="6660"/>
    <cfRule type="duplicateValues" dxfId="13384" priority="6638"/>
    <cfRule type="duplicateValues" dxfId="13383" priority="6629"/>
    <cfRule type="duplicateValues" dxfId="13382" priority="6630"/>
    <cfRule type="duplicateValues" dxfId="13381" priority="6631"/>
    <cfRule type="duplicateValues" dxfId="13380" priority="6632"/>
    <cfRule type="duplicateValues" dxfId="13379" priority="6633"/>
    <cfRule type="duplicateValues" dxfId="13378" priority="6634"/>
    <cfRule type="duplicateValues" dxfId="13377" priority="6635"/>
    <cfRule type="duplicateValues" dxfId="13376" priority="6636"/>
    <cfRule type="duplicateValues" dxfId="13375" priority="6637"/>
    <cfRule type="duplicateValues" dxfId="13374" priority="6661"/>
    <cfRule type="duplicateValues" dxfId="13373" priority="6639"/>
    <cfRule type="duplicateValues" dxfId="13372" priority="6640"/>
    <cfRule type="duplicateValues" dxfId="13371" priority="6641"/>
    <cfRule type="duplicateValues" dxfId="13370" priority="6642"/>
    <cfRule type="duplicateValues" dxfId="13369" priority="6643"/>
    <cfRule type="duplicateValues" dxfId="13368" priority="6644"/>
    <cfRule type="duplicateValues" dxfId="13367" priority="6645"/>
  </conditionalFormatting>
  <conditionalFormatting sqref="B198:B204">
    <cfRule type="duplicateValues" dxfId="13366" priority="6588"/>
    <cfRule type="duplicateValues" dxfId="13365" priority="6589"/>
    <cfRule type="duplicateValues" dxfId="13364" priority="6590"/>
    <cfRule type="duplicateValues" dxfId="13363" priority="6591"/>
    <cfRule type="duplicateValues" dxfId="13362" priority="6592"/>
    <cfRule type="duplicateValues" dxfId="13361" priority="6593"/>
    <cfRule type="duplicateValues" dxfId="13360" priority="6594"/>
    <cfRule type="duplicateValues" dxfId="13359" priority="6619"/>
    <cfRule type="duplicateValues" dxfId="13358" priority="6620"/>
    <cfRule type="duplicateValues" dxfId="13357" priority="6621"/>
    <cfRule type="duplicateValues" dxfId="13356" priority="6613"/>
    <cfRule type="duplicateValues" dxfId="13355" priority="6623"/>
    <cfRule type="duplicateValues" dxfId="13354" priority="6624"/>
    <cfRule type="duplicateValues" dxfId="13353" priority="6626"/>
    <cfRule type="duplicateValues" dxfId="13352" priority="6627"/>
    <cfRule type="duplicateValues" dxfId="13351" priority="6628"/>
    <cfRule type="duplicateValues" dxfId="13350" priority="6612"/>
    <cfRule type="duplicateValues" dxfId="13349" priority="6614"/>
    <cfRule type="duplicateValues" dxfId="13348" priority="6611"/>
    <cfRule type="duplicateValues" dxfId="13347" priority="6610"/>
    <cfRule type="duplicateValues" dxfId="13346" priority="6609"/>
    <cfRule type="duplicateValues" dxfId="13345" priority="6608"/>
    <cfRule type="duplicateValues" dxfId="13344" priority="6615"/>
    <cfRule type="duplicateValues" dxfId="13343" priority="6606"/>
    <cfRule type="duplicateValues" dxfId="13342" priority="6605"/>
    <cfRule type="duplicateValues" dxfId="13341" priority="6604"/>
    <cfRule type="duplicateValues" dxfId="13340" priority="6603"/>
    <cfRule type="duplicateValues" dxfId="13339" priority="6602"/>
    <cfRule type="duplicateValues" dxfId="13338" priority="6607"/>
    <cfRule type="duplicateValues" dxfId="13337" priority="6601"/>
    <cfRule type="duplicateValues" dxfId="13336" priority="6600"/>
    <cfRule type="duplicateValues" dxfId="13335" priority="6599"/>
    <cfRule type="duplicateValues" dxfId="13334" priority="6598"/>
    <cfRule type="duplicateValues" dxfId="13333" priority="6597"/>
    <cfRule type="duplicateValues" dxfId="13332" priority="6596"/>
    <cfRule type="duplicateValues" dxfId="13331" priority="6595"/>
    <cfRule type="duplicateValues" dxfId="13330" priority="6616"/>
    <cfRule type="duplicateValues" dxfId="13329" priority="6617"/>
    <cfRule type="duplicateValues" dxfId="13328" priority="6618"/>
    <cfRule type="duplicateValues" dxfId="13327" priority="6625"/>
    <cfRule type="duplicateValues" dxfId="13326" priority="6622"/>
  </conditionalFormatting>
  <conditionalFormatting sqref="B205:B206">
    <cfRule type="duplicateValues" dxfId="13325" priority="6579"/>
    <cfRule type="duplicateValues" dxfId="13324" priority="6578"/>
    <cfRule type="duplicateValues" dxfId="13323" priority="6577"/>
    <cfRule type="duplicateValues" dxfId="13322" priority="6576"/>
    <cfRule type="duplicateValues" dxfId="13321" priority="6575"/>
    <cfRule type="duplicateValues" dxfId="13320" priority="6574"/>
    <cfRule type="duplicateValues" dxfId="13319" priority="6573"/>
    <cfRule type="duplicateValues" dxfId="13318" priority="6572"/>
    <cfRule type="duplicateValues" dxfId="13317" priority="6571"/>
    <cfRule type="duplicateValues" dxfId="13316" priority="6570"/>
    <cfRule type="duplicateValues" dxfId="13315" priority="6569"/>
    <cfRule type="duplicateValues" dxfId="13314" priority="6568"/>
    <cfRule type="duplicateValues" dxfId="13313" priority="6567"/>
    <cfRule type="duplicateValues" dxfId="13312" priority="6566"/>
    <cfRule type="duplicateValues" dxfId="13311" priority="6565"/>
    <cfRule type="duplicateValues" dxfId="13310" priority="6564"/>
    <cfRule type="duplicateValues" dxfId="13309" priority="6563"/>
    <cfRule type="duplicateValues" dxfId="13308" priority="6562"/>
    <cfRule type="duplicateValues" dxfId="13307" priority="6561"/>
    <cfRule type="duplicateValues" dxfId="13306" priority="6560"/>
    <cfRule type="duplicateValues" dxfId="13305" priority="6559"/>
    <cfRule type="duplicateValues" dxfId="13304" priority="6558"/>
    <cfRule type="duplicateValues" dxfId="13303" priority="6557"/>
    <cfRule type="duplicateValues" dxfId="13302" priority="6585"/>
    <cfRule type="duplicateValues" dxfId="13301" priority="6556"/>
    <cfRule type="duplicateValues" dxfId="13300" priority="6555"/>
    <cfRule type="duplicateValues" dxfId="13299" priority="6554"/>
    <cfRule type="duplicateValues" dxfId="13298" priority="6553"/>
    <cfRule type="duplicateValues" dxfId="13297" priority="6552"/>
    <cfRule type="duplicateValues" dxfId="13296" priority="6551"/>
    <cfRule type="duplicateValues" dxfId="13295" priority="6550"/>
    <cfRule type="duplicateValues" dxfId="13294" priority="6549"/>
    <cfRule type="duplicateValues" dxfId="13293" priority="6548"/>
    <cfRule type="duplicateValues" dxfId="13292" priority="6547"/>
    <cfRule type="duplicateValues" dxfId="13291" priority="6587"/>
    <cfRule type="duplicateValues" dxfId="13290" priority="6586"/>
    <cfRule type="duplicateValues" dxfId="13289" priority="6584"/>
    <cfRule type="duplicateValues" dxfId="13288" priority="6583"/>
    <cfRule type="duplicateValues" dxfId="13287" priority="6582"/>
    <cfRule type="duplicateValues" dxfId="13286" priority="6581"/>
    <cfRule type="duplicateValues" dxfId="13285" priority="6580"/>
  </conditionalFormatting>
  <conditionalFormatting sqref="B210">
    <cfRule type="duplicateValues" dxfId="13284" priority="6538"/>
    <cfRule type="duplicateValues" dxfId="13283" priority="6532"/>
    <cfRule type="duplicateValues" dxfId="13282" priority="6531"/>
    <cfRule type="duplicateValues" dxfId="13281" priority="6530"/>
    <cfRule type="duplicateValues" dxfId="13280" priority="6529"/>
    <cfRule type="duplicateValues" dxfId="13279" priority="6528"/>
    <cfRule type="duplicateValues" dxfId="13278" priority="6511"/>
    <cfRule type="duplicateValues" dxfId="13277" priority="6512"/>
    <cfRule type="duplicateValues" dxfId="13276" priority="6513"/>
    <cfRule type="duplicateValues" dxfId="13275" priority="6514"/>
    <cfRule type="duplicateValues" dxfId="13274" priority="6515"/>
    <cfRule type="duplicateValues" dxfId="13273" priority="6516"/>
    <cfRule type="duplicateValues" dxfId="13272" priority="6517"/>
    <cfRule type="duplicateValues" dxfId="13271" priority="6518"/>
    <cfRule type="duplicateValues" dxfId="13270" priority="6519"/>
    <cfRule type="duplicateValues" dxfId="13269" priority="6520"/>
    <cfRule type="duplicateValues" dxfId="13268" priority="6521"/>
    <cfRule type="duplicateValues" dxfId="13267" priority="6522"/>
    <cfRule type="duplicateValues" dxfId="13266" priority="6523"/>
    <cfRule type="duplicateValues" dxfId="13265" priority="6524"/>
    <cfRule type="duplicateValues" dxfId="13264" priority="6507"/>
    <cfRule type="duplicateValues" dxfId="13263" priority="6525"/>
    <cfRule type="duplicateValues" dxfId="13262" priority="6527"/>
    <cfRule type="duplicateValues" dxfId="13261" priority="6546"/>
    <cfRule type="duplicateValues" dxfId="13260" priority="6545"/>
    <cfRule type="duplicateValues" dxfId="13259" priority="6544"/>
    <cfRule type="duplicateValues" dxfId="13258" priority="6543"/>
    <cfRule type="duplicateValues" dxfId="13257" priority="6542"/>
    <cfRule type="duplicateValues" dxfId="13256" priority="6541"/>
    <cfRule type="duplicateValues" dxfId="13255" priority="6506"/>
    <cfRule type="duplicateValues" dxfId="13254" priority="6508"/>
    <cfRule type="duplicateValues" dxfId="13253" priority="6540"/>
    <cfRule type="duplicateValues" dxfId="13252" priority="6539"/>
    <cfRule type="duplicateValues" dxfId="13251" priority="6526"/>
    <cfRule type="duplicateValues" dxfId="13250" priority="6537"/>
    <cfRule type="duplicateValues" dxfId="13249" priority="6509"/>
    <cfRule type="duplicateValues" dxfId="13248" priority="6536"/>
    <cfRule type="duplicateValues" dxfId="13247" priority="6535"/>
    <cfRule type="duplicateValues" dxfId="13246" priority="6534"/>
    <cfRule type="duplicateValues" dxfId="13245" priority="6533"/>
    <cfRule type="duplicateValues" dxfId="13244" priority="6510"/>
  </conditionalFormatting>
  <conditionalFormatting sqref="B221">
    <cfRule type="duplicateValues" dxfId="13243" priority="6467"/>
    <cfRule type="duplicateValues" dxfId="13242" priority="6492"/>
    <cfRule type="duplicateValues" dxfId="13241" priority="6491"/>
    <cfRule type="duplicateValues" dxfId="13240" priority="6490"/>
    <cfRule type="duplicateValues" dxfId="13239" priority="6489"/>
    <cfRule type="duplicateValues" dxfId="13238" priority="6488"/>
    <cfRule type="duplicateValues" dxfId="13237" priority="6487"/>
    <cfRule type="duplicateValues" dxfId="13236" priority="6486"/>
    <cfRule type="duplicateValues" dxfId="13235" priority="6485"/>
    <cfRule type="duplicateValues" dxfId="13234" priority="6484"/>
    <cfRule type="duplicateValues" dxfId="13233" priority="6461"/>
    <cfRule type="duplicateValues" dxfId="13232" priority="6460"/>
    <cfRule type="duplicateValues" dxfId="13231" priority="6459"/>
    <cfRule type="duplicateValues" dxfId="13230" priority="6458"/>
    <cfRule type="duplicateValues" dxfId="13229" priority="6457"/>
    <cfRule type="duplicateValues" dxfId="13228" priority="6456"/>
    <cfRule type="duplicateValues" dxfId="13227" priority="6455"/>
    <cfRule type="duplicateValues" dxfId="13226" priority="6454"/>
    <cfRule type="duplicateValues" dxfId="13225" priority="6483"/>
    <cfRule type="duplicateValues" dxfId="13224" priority="6482"/>
    <cfRule type="duplicateValues" dxfId="13223" priority="6481"/>
    <cfRule type="duplicateValues" dxfId="13222" priority="6480"/>
    <cfRule type="duplicateValues" dxfId="13221" priority="6479"/>
    <cfRule type="duplicateValues" dxfId="13220" priority="6478"/>
    <cfRule type="duplicateValues" dxfId="13219" priority="6477"/>
    <cfRule type="duplicateValues" dxfId="13218" priority="6476"/>
    <cfRule type="duplicateValues" dxfId="13217" priority="6475"/>
    <cfRule type="duplicateValues" dxfId="13216" priority="6474"/>
    <cfRule type="duplicateValues" dxfId="13215" priority="6473"/>
    <cfRule type="duplicateValues" dxfId="13214" priority="6472"/>
    <cfRule type="duplicateValues" dxfId="13213" priority="6471"/>
    <cfRule type="duplicateValues" dxfId="13212" priority="6470"/>
    <cfRule type="duplicateValues" dxfId="13211" priority="6469"/>
    <cfRule type="duplicateValues" dxfId="13210" priority="6493"/>
    <cfRule type="duplicateValues" dxfId="13209" priority="6468"/>
    <cfRule type="duplicateValues" dxfId="13208" priority="6466"/>
    <cfRule type="duplicateValues" dxfId="13207" priority="6465"/>
    <cfRule type="duplicateValues" dxfId="13206" priority="6464"/>
    <cfRule type="duplicateValues" dxfId="13205" priority="6463"/>
    <cfRule type="duplicateValues" dxfId="13204" priority="6462"/>
  </conditionalFormatting>
  <conditionalFormatting sqref="B231 B226 B211">
    <cfRule type="duplicateValues" dxfId="13203" priority="6414"/>
    <cfRule type="duplicateValues" dxfId="13202" priority="6415"/>
    <cfRule type="duplicateValues" dxfId="13201" priority="6416"/>
    <cfRule type="duplicateValues" dxfId="13200" priority="6417"/>
    <cfRule type="duplicateValues" dxfId="13199" priority="6418"/>
    <cfRule type="duplicateValues" dxfId="13198" priority="6419"/>
    <cfRule type="duplicateValues" dxfId="13197" priority="6420"/>
    <cfRule type="duplicateValues" dxfId="13196" priority="6421"/>
    <cfRule type="duplicateValues" dxfId="13195" priority="6413"/>
    <cfRule type="duplicateValues" dxfId="13194" priority="6446"/>
    <cfRule type="duplicateValues" dxfId="13193" priority="6453"/>
    <cfRule type="duplicateValues" dxfId="13192" priority="6451"/>
    <cfRule type="duplicateValues" dxfId="13191" priority="6450"/>
    <cfRule type="duplicateValues" dxfId="13190" priority="6449"/>
    <cfRule type="duplicateValues" dxfId="13189" priority="6448"/>
    <cfRule type="duplicateValues" dxfId="13188" priority="6447"/>
    <cfRule type="duplicateValues" dxfId="13187" priority="6445"/>
    <cfRule type="duplicateValues" dxfId="13186" priority="6444"/>
    <cfRule type="duplicateValues" dxfId="13185" priority="6443"/>
    <cfRule type="duplicateValues" dxfId="13184" priority="6441"/>
    <cfRule type="duplicateValues" dxfId="13183" priority="6438"/>
    <cfRule type="duplicateValues" dxfId="13182" priority="6442"/>
    <cfRule type="duplicateValues" dxfId="13181" priority="6435"/>
    <cfRule type="duplicateValues" dxfId="13180" priority="6436"/>
    <cfRule type="duplicateValues" dxfId="13179" priority="6439"/>
    <cfRule type="duplicateValues" dxfId="13178" priority="6440"/>
    <cfRule type="duplicateValues" dxfId="13177" priority="6422"/>
    <cfRule type="duplicateValues" dxfId="13176" priority="6423"/>
    <cfRule type="duplicateValues" dxfId="13175" priority="6424"/>
    <cfRule type="duplicateValues" dxfId="13174" priority="6425"/>
    <cfRule type="duplicateValues" dxfId="13173" priority="6426"/>
    <cfRule type="duplicateValues" dxfId="13172" priority="6427"/>
    <cfRule type="duplicateValues" dxfId="13171" priority="6428"/>
    <cfRule type="duplicateValues" dxfId="13170" priority="6434"/>
    <cfRule type="duplicateValues" dxfId="13169" priority="6433"/>
    <cfRule type="duplicateValues" dxfId="13168" priority="6432"/>
    <cfRule type="duplicateValues" dxfId="13167" priority="6431"/>
    <cfRule type="duplicateValues" dxfId="13166" priority="6430"/>
    <cfRule type="duplicateValues" dxfId="13165" priority="6429"/>
    <cfRule type="duplicateValues" dxfId="13164" priority="6452"/>
    <cfRule type="duplicateValues" dxfId="13163" priority="6437"/>
  </conditionalFormatting>
  <conditionalFormatting sqref="B232:B234 B227:B230 B207:B210 B212:B220 B222:B225">
    <cfRule type="duplicateValues" dxfId="13162" priority="6695"/>
    <cfRule type="duplicateValues" dxfId="13161" priority="6708"/>
    <cfRule type="duplicateValues" dxfId="13160" priority="6707"/>
    <cfRule type="duplicateValues" dxfId="13159" priority="6706"/>
    <cfRule type="duplicateValues" dxfId="13158" priority="6705"/>
    <cfRule type="duplicateValues" dxfId="13157" priority="6704"/>
    <cfRule type="duplicateValues" dxfId="13156" priority="6703"/>
    <cfRule type="duplicateValues" dxfId="13155" priority="6702"/>
    <cfRule type="duplicateValues" dxfId="13154" priority="6701"/>
    <cfRule type="duplicateValues" dxfId="13153" priority="6700"/>
    <cfRule type="duplicateValues" dxfId="13152" priority="6699"/>
    <cfRule type="duplicateValues" dxfId="13151" priority="6698"/>
    <cfRule type="duplicateValues" dxfId="13150" priority="6697"/>
    <cfRule type="duplicateValues" dxfId="13149" priority="6696"/>
    <cfRule type="duplicateValues" dxfId="13148" priority="6694"/>
    <cfRule type="duplicateValues" dxfId="13147" priority="6693"/>
    <cfRule type="duplicateValues" dxfId="13146" priority="6692"/>
    <cfRule type="duplicateValues" dxfId="13145" priority="6691"/>
    <cfRule type="duplicateValues" dxfId="13144" priority="6690"/>
    <cfRule type="duplicateValues" dxfId="13143" priority="6689"/>
    <cfRule type="duplicateValues" dxfId="13142" priority="6688"/>
    <cfRule type="duplicateValues" dxfId="13141" priority="6687"/>
    <cfRule type="duplicateValues" dxfId="13140" priority="6686"/>
    <cfRule type="duplicateValues" dxfId="13139" priority="6685"/>
    <cfRule type="duplicateValues" dxfId="13138" priority="6684"/>
    <cfRule type="duplicateValues" dxfId="13137" priority="6683"/>
    <cfRule type="duplicateValues" dxfId="13136" priority="6682"/>
    <cfRule type="duplicateValues" dxfId="13135" priority="6681"/>
    <cfRule type="duplicateValues" dxfId="13134" priority="6680"/>
    <cfRule type="duplicateValues" dxfId="13133" priority="6679"/>
    <cfRule type="duplicateValues" dxfId="13132" priority="6678"/>
    <cfRule type="duplicateValues" dxfId="13131" priority="6677"/>
    <cfRule type="duplicateValues" dxfId="13130" priority="6676"/>
    <cfRule type="duplicateValues" dxfId="13129" priority="6675"/>
    <cfRule type="duplicateValues" dxfId="13128" priority="6674"/>
    <cfRule type="duplicateValues" dxfId="13127" priority="6673"/>
    <cfRule type="duplicateValues" dxfId="13126" priority="6672"/>
    <cfRule type="duplicateValues" dxfId="13125" priority="6671"/>
    <cfRule type="duplicateValues" dxfId="13124" priority="6670"/>
    <cfRule type="duplicateValues" dxfId="13123" priority="6669"/>
  </conditionalFormatting>
  <conditionalFormatting sqref="B235:B243">
    <cfRule type="duplicateValues" dxfId="13122" priority="6366"/>
    <cfRule type="duplicateValues" dxfId="13121" priority="6367"/>
    <cfRule type="duplicateValues" dxfId="13120" priority="6370"/>
    <cfRule type="duplicateValues" dxfId="13119" priority="6371"/>
    <cfRule type="duplicateValues" dxfId="13118" priority="6372"/>
    <cfRule type="duplicateValues" dxfId="13117" priority="6373"/>
    <cfRule type="duplicateValues" dxfId="13116" priority="6374"/>
    <cfRule type="duplicateValues" dxfId="13115" priority="6375"/>
    <cfRule type="duplicateValues" dxfId="13114" priority="6376"/>
    <cfRule type="duplicateValues" dxfId="13113" priority="6377"/>
    <cfRule type="duplicateValues" dxfId="13112" priority="6378"/>
    <cfRule type="duplicateValues" dxfId="13111" priority="6379"/>
    <cfRule type="duplicateValues" dxfId="13110" priority="6391"/>
    <cfRule type="duplicateValues" dxfId="13109" priority="6380"/>
    <cfRule type="duplicateValues" dxfId="13108" priority="6381"/>
    <cfRule type="duplicateValues" dxfId="13107" priority="6382"/>
    <cfRule type="duplicateValues" dxfId="13106" priority="6383"/>
    <cfRule type="duplicateValues" dxfId="13105" priority="6384"/>
    <cfRule type="duplicateValues" dxfId="13104" priority="6385"/>
    <cfRule type="duplicateValues" dxfId="13103" priority="6369"/>
    <cfRule type="duplicateValues" dxfId="13102" priority="6386"/>
    <cfRule type="duplicateValues" dxfId="13101" priority="6387"/>
    <cfRule type="duplicateValues" dxfId="13100" priority="6388"/>
    <cfRule type="duplicateValues" dxfId="13099" priority="6389"/>
    <cfRule type="duplicateValues" dxfId="13098" priority="6390"/>
    <cfRule type="duplicateValues" dxfId="13097" priority="6392"/>
    <cfRule type="duplicateValues" dxfId="13096" priority="6393"/>
    <cfRule type="duplicateValues" dxfId="13095" priority="6394"/>
    <cfRule type="duplicateValues" dxfId="13094" priority="6368"/>
    <cfRule type="duplicateValues" dxfId="13093" priority="6364"/>
    <cfRule type="duplicateValues" dxfId="13092" priority="6403"/>
    <cfRule type="duplicateValues" dxfId="13091" priority="6402"/>
    <cfRule type="duplicateValues" dxfId="13090" priority="6401"/>
    <cfRule type="duplicateValues" dxfId="13089" priority="6400"/>
    <cfRule type="duplicateValues" dxfId="13088" priority="6399"/>
    <cfRule type="duplicateValues" dxfId="13087" priority="6398"/>
    <cfRule type="duplicateValues" dxfId="13086" priority="6397"/>
    <cfRule type="duplicateValues" dxfId="13085" priority="6396"/>
    <cfRule type="duplicateValues" dxfId="13084" priority="6365"/>
    <cfRule type="duplicateValues" dxfId="13083" priority="6395"/>
  </conditionalFormatting>
  <conditionalFormatting sqref="B238">
    <cfRule type="duplicateValues" dxfId="13082" priority="6360"/>
    <cfRule type="duplicateValues" dxfId="13081" priority="6346"/>
    <cfRule type="duplicateValues" dxfId="13080" priority="6345"/>
    <cfRule type="duplicateValues" dxfId="13079" priority="6344"/>
    <cfRule type="duplicateValues" dxfId="13078" priority="6343"/>
    <cfRule type="duplicateValues" dxfId="13077" priority="6342"/>
    <cfRule type="duplicateValues" dxfId="13076" priority="6340"/>
    <cfRule type="duplicateValues" dxfId="13075" priority="6322"/>
    <cfRule type="duplicateValues" dxfId="13074" priority="6321"/>
    <cfRule type="duplicateValues" dxfId="13073" priority="6320"/>
    <cfRule type="duplicateValues" dxfId="13072" priority="6334"/>
    <cfRule type="duplicateValues" dxfId="13071" priority="6339"/>
    <cfRule type="duplicateValues" dxfId="13070" priority="6359"/>
    <cfRule type="duplicateValues" dxfId="13069" priority="6358"/>
    <cfRule type="duplicateValues" dxfId="13068" priority="6357"/>
    <cfRule type="duplicateValues" dxfId="13067" priority="6356"/>
    <cfRule type="duplicateValues" dxfId="13066" priority="6338"/>
    <cfRule type="duplicateValues" dxfId="13065" priority="6337"/>
    <cfRule type="duplicateValues" dxfId="13064" priority="6336"/>
    <cfRule type="duplicateValues" dxfId="13063" priority="6335"/>
    <cfRule type="duplicateValues" dxfId="13062" priority="6341"/>
    <cfRule type="duplicateValues" dxfId="13061" priority="6333"/>
    <cfRule type="duplicateValues" dxfId="13060" priority="6332"/>
    <cfRule type="duplicateValues" dxfId="13059" priority="6331"/>
    <cfRule type="duplicateValues" dxfId="13058" priority="6330"/>
    <cfRule type="duplicateValues" dxfId="13057" priority="6355"/>
    <cfRule type="duplicateValues" dxfId="13056" priority="6354"/>
    <cfRule type="duplicateValues" dxfId="13055" priority="6353"/>
    <cfRule type="duplicateValues" dxfId="13054" priority="6352"/>
    <cfRule type="duplicateValues" dxfId="13053" priority="6351"/>
    <cfRule type="duplicateValues" dxfId="13052" priority="6350"/>
    <cfRule type="duplicateValues" dxfId="13051" priority="6349"/>
    <cfRule type="duplicateValues" dxfId="13050" priority="6348"/>
    <cfRule type="duplicateValues" dxfId="13049" priority="6347"/>
    <cfRule type="duplicateValues" dxfId="13048" priority="6323"/>
    <cfRule type="duplicateValues" dxfId="13047" priority="6324"/>
    <cfRule type="duplicateValues" dxfId="13046" priority="6325"/>
    <cfRule type="duplicateValues" dxfId="13045" priority="6326"/>
    <cfRule type="duplicateValues" dxfId="13044" priority="6327"/>
    <cfRule type="duplicateValues" dxfId="13043" priority="6328"/>
    <cfRule type="duplicateValues" dxfId="13042" priority="6329"/>
  </conditionalFormatting>
  <conditionalFormatting sqref="B244">
    <cfRule type="duplicateValues" dxfId="13041" priority="6275"/>
    <cfRule type="duplicateValues" dxfId="13040" priority="6274"/>
    <cfRule type="duplicateValues" dxfId="13039" priority="6273"/>
    <cfRule type="duplicateValues" dxfId="13038" priority="6272"/>
    <cfRule type="duplicateValues" dxfId="13037" priority="6271"/>
    <cfRule type="duplicateValues" dxfId="13036" priority="6270"/>
    <cfRule type="duplicateValues" dxfId="13035" priority="6269"/>
    <cfRule type="duplicateValues" dxfId="13034" priority="6268"/>
    <cfRule type="duplicateValues" dxfId="13033" priority="6267"/>
    <cfRule type="duplicateValues" dxfId="13032" priority="6266"/>
    <cfRule type="duplicateValues" dxfId="13031" priority="6265"/>
    <cfRule type="duplicateValues" dxfId="13030" priority="6264"/>
    <cfRule type="duplicateValues" dxfId="13029" priority="6263"/>
    <cfRule type="duplicateValues" dxfId="13028" priority="6262"/>
    <cfRule type="duplicateValues" dxfId="13027" priority="6261"/>
    <cfRule type="duplicateValues" dxfId="13026" priority="6260"/>
    <cfRule type="duplicateValues" dxfId="13025" priority="6259"/>
    <cfRule type="duplicateValues" dxfId="13024" priority="6258"/>
    <cfRule type="duplicateValues" dxfId="13023" priority="6257"/>
    <cfRule type="duplicateValues" dxfId="13022" priority="6256"/>
    <cfRule type="duplicateValues" dxfId="13021" priority="6255"/>
    <cfRule type="duplicateValues" dxfId="13020" priority="6254"/>
    <cfRule type="duplicateValues" dxfId="13019" priority="6253"/>
    <cfRule type="duplicateValues" dxfId="13018" priority="6252"/>
    <cfRule type="duplicateValues" dxfId="13017" priority="6251"/>
    <cfRule type="duplicateValues" dxfId="13016" priority="6250"/>
    <cfRule type="duplicateValues" dxfId="13015" priority="6249"/>
    <cfRule type="duplicateValues" dxfId="13014" priority="6248"/>
    <cfRule type="duplicateValues" dxfId="13013" priority="6247"/>
    <cfRule type="duplicateValues" dxfId="13012" priority="6246"/>
    <cfRule type="duplicateValues" dxfId="13011" priority="6245"/>
    <cfRule type="duplicateValues" dxfId="13010" priority="6244"/>
    <cfRule type="duplicateValues" dxfId="13009" priority="6243"/>
    <cfRule type="duplicateValues" dxfId="13008" priority="6241"/>
    <cfRule type="duplicateValues" dxfId="13007" priority="6240"/>
    <cfRule type="duplicateValues" dxfId="13006" priority="6239"/>
    <cfRule type="duplicateValues" dxfId="13005" priority="6238"/>
    <cfRule type="duplicateValues" dxfId="13004" priority="6237"/>
    <cfRule type="duplicateValues" dxfId="13003" priority="6242"/>
    <cfRule type="duplicateValues" dxfId="13002" priority="6276"/>
    <cfRule type="duplicateValues" dxfId="13001" priority="6236"/>
  </conditionalFormatting>
  <conditionalFormatting sqref="B244:B302">
    <cfRule type="duplicateValues" dxfId="13000" priority="6277"/>
    <cfRule type="duplicateValues" dxfId="12999" priority="6302"/>
    <cfRule type="duplicateValues" dxfId="12998" priority="6316"/>
    <cfRule type="duplicateValues" dxfId="12997" priority="6315"/>
    <cfRule type="duplicateValues" dxfId="12996" priority="6314"/>
    <cfRule type="duplicateValues" dxfId="12995" priority="6313"/>
    <cfRule type="duplicateValues" dxfId="12994" priority="6312"/>
    <cfRule type="duplicateValues" dxfId="12993" priority="6311"/>
    <cfRule type="duplicateValues" dxfId="12992" priority="6310"/>
    <cfRule type="duplicateValues" dxfId="12991" priority="6309"/>
    <cfRule type="duplicateValues" dxfId="12990" priority="6308"/>
    <cfRule type="duplicateValues" dxfId="12989" priority="6307"/>
    <cfRule type="duplicateValues" dxfId="12988" priority="6306"/>
    <cfRule type="duplicateValues" dxfId="12987" priority="6305"/>
    <cfRule type="duplicateValues" dxfId="12986" priority="6304"/>
    <cfRule type="duplicateValues" dxfId="12985" priority="6303"/>
    <cfRule type="duplicateValues" dxfId="12984" priority="6301"/>
    <cfRule type="duplicateValues" dxfId="12983" priority="6300"/>
    <cfRule type="duplicateValues" dxfId="12982" priority="6299"/>
    <cfRule type="duplicateValues" dxfId="12981" priority="6298"/>
    <cfRule type="duplicateValues" dxfId="12980" priority="6297"/>
    <cfRule type="duplicateValues" dxfId="12979" priority="6296"/>
    <cfRule type="duplicateValues" dxfId="12978" priority="6295"/>
    <cfRule type="duplicateValues" dxfId="12977" priority="6294"/>
    <cfRule type="duplicateValues" dxfId="12976" priority="6293"/>
    <cfRule type="duplicateValues" dxfId="12975" priority="6292"/>
    <cfRule type="duplicateValues" dxfId="12974" priority="6291"/>
    <cfRule type="duplicateValues" dxfId="12973" priority="6290"/>
    <cfRule type="duplicateValues" dxfId="12972" priority="6289"/>
    <cfRule type="duplicateValues" dxfId="12971" priority="6288"/>
    <cfRule type="duplicateValues" dxfId="12970" priority="6287"/>
    <cfRule type="duplicateValues" dxfId="12969" priority="6286"/>
    <cfRule type="duplicateValues" dxfId="12968" priority="6285"/>
    <cfRule type="duplicateValues" dxfId="12967" priority="6284"/>
    <cfRule type="duplicateValues" dxfId="12966" priority="6283"/>
    <cfRule type="duplicateValues" dxfId="12965" priority="6282"/>
    <cfRule type="duplicateValues" dxfId="12964" priority="6281"/>
    <cfRule type="duplicateValues" dxfId="12963" priority="6280"/>
    <cfRule type="duplicateValues" dxfId="12962" priority="6279"/>
    <cfRule type="duplicateValues" dxfId="12961" priority="6278"/>
  </conditionalFormatting>
  <conditionalFormatting sqref="B245:B247">
    <cfRule type="duplicateValues" dxfId="12960" priority="6199"/>
    <cfRule type="duplicateValues" dxfId="12959" priority="6207"/>
    <cfRule type="duplicateValues" dxfId="12958" priority="6208"/>
    <cfRule type="duplicateValues" dxfId="12957" priority="6209"/>
    <cfRule type="duplicateValues" dxfId="12956" priority="6210"/>
    <cfRule type="duplicateValues" dxfId="12955" priority="6211"/>
    <cfRule type="duplicateValues" dxfId="12954" priority="6230"/>
    <cfRule type="duplicateValues" dxfId="12953" priority="6231"/>
    <cfRule type="duplicateValues" dxfId="12952" priority="6232"/>
    <cfRule type="duplicateValues" dxfId="12951" priority="6233"/>
    <cfRule type="duplicateValues" dxfId="12950" priority="6234"/>
    <cfRule type="duplicateValues" dxfId="12949" priority="6195"/>
    <cfRule type="duplicateValues" dxfId="12948" priority="6196"/>
    <cfRule type="duplicateValues" dxfId="12947" priority="6224"/>
    <cfRule type="duplicateValues" dxfId="12946" priority="6198"/>
    <cfRule type="duplicateValues" dxfId="12945" priority="6213"/>
    <cfRule type="duplicateValues" dxfId="12944" priority="6214"/>
    <cfRule type="duplicateValues" dxfId="12943" priority="6215"/>
    <cfRule type="duplicateValues" dxfId="12942" priority="6216"/>
    <cfRule type="duplicateValues" dxfId="12941" priority="6217"/>
    <cfRule type="duplicateValues" dxfId="12940" priority="6206"/>
    <cfRule type="duplicateValues" dxfId="12939" priority="6212"/>
    <cfRule type="duplicateValues" dxfId="12938" priority="6197"/>
    <cfRule type="duplicateValues" dxfId="12937" priority="6218"/>
    <cfRule type="duplicateValues" dxfId="12936" priority="6219"/>
    <cfRule type="duplicateValues" dxfId="12935" priority="6220"/>
    <cfRule type="duplicateValues" dxfId="12934" priority="6221"/>
    <cfRule type="duplicateValues" dxfId="12933" priority="6222"/>
    <cfRule type="duplicateValues" dxfId="12932" priority="6223"/>
    <cfRule type="duplicateValues" dxfId="12931" priority="6225"/>
    <cfRule type="duplicateValues" dxfId="12930" priority="6226"/>
    <cfRule type="duplicateValues" dxfId="12929" priority="6200"/>
    <cfRule type="duplicateValues" dxfId="12928" priority="6201"/>
    <cfRule type="duplicateValues" dxfId="12927" priority="6227"/>
    <cfRule type="duplicateValues" dxfId="12926" priority="6202"/>
    <cfRule type="duplicateValues" dxfId="12925" priority="6203"/>
    <cfRule type="duplicateValues" dxfId="12924" priority="6204"/>
    <cfRule type="duplicateValues" dxfId="12923" priority="6235"/>
    <cfRule type="duplicateValues" dxfId="12922" priority="6205"/>
    <cfRule type="duplicateValues" dxfId="12921" priority="6228"/>
    <cfRule type="duplicateValues" dxfId="12920" priority="6229"/>
  </conditionalFormatting>
  <conditionalFormatting sqref="B248:B250">
    <cfRule type="duplicateValues" dxfId="12919" priority="6148"/>
    <cfRule type="duplicateValues" dxfId="12918" priority="6154"/>
    <cfRule type="duplicateValues" dxfId="12917" priority="6182"/>
    <cfRule type="duplicateValues" dxfId="12916" priority="6177"/>
    <cfRule type="duplicateValues" dxfId="12915" priority="6176"/>
    <cfRule type="duplicateValues" dxfId="12914" priority="6175"/>
    <cfRule type="duplicateValues" dxfId="12913" priority="6174"/>
    <cfRule type="duplicateValues" dxfId="12912" priority="6173"/>
    <cfRule type="duplicateValues" dxfId="12911" priority="6172"/>
    <cfRule type="duplicateValues" dxfId="12910" priority="6171"/>
    <cfRule type="duplicateValues" dxfId="12909" priority="6170"/>
    <cfRule type="duplicateValues" dxfId="12908" priority="6169"/>
    <cfRule type="duplicateValues" dxfId="12907" priority="6168"/>
    <cfRule type="duplicateValues" dxfId="12906" priority="6167"/>
    <cfRule type="duplicateValues" dxfId="12905" priority="6166"/>
    <cfRule type="duplicateValues" dxfId="12904" priority="6184"/>
    <cfRule type="duplicateValues" dxfId="12903" priority="6165"/>
    <cfRule type="duplicateValues" dxfId="12902" priority="6164"/>
    <cfRule type="duplicateValues" dxfId="12901" priority="6162"/>
    <cfRule type="duplicateValues" dxfId="12900" priority="6161"/>
    <cfRule type="duplicateValues" dxfId="12899" priority="6160"/>
    <cfRule type="duplicateValues" dxfId="12898" priority="6159"/>
    <cfRule type="duplicateValues" dxfId="12897" priority="6158"/>
    <cfRule type="duplicateValues" dxfId="12896" priority="6157"/>
    <cfRule type="duplicateValues" dxfId="12895" priority="6156"/>
    <cfRule type="duplicateValues" dxfId="12894" priority="6179"/>
    <cfRule type="duplicateValues" dxfId="12893" priority="6180"/>
    <cfRule type="duplicateValues" dxfId="12892" priority="6183"/>
    <cfRule type="duplicateValues" dxfId="12891" priority="6155"/>
    <cfRule type="duplicateValues" dxfId="12890" priority="6178"/>
    <cfRule type="duplicateValues" dxfId="12889" priority="6181"/>
    <cfRule type="duplicateValues" dxfId="12888" priority="6185"/>
    <cfRule type="duplicateValues" dxfId="12887" priority="6146"/>
    <cfRule type="duplicateValues" dxfId="12886" priority="6153"/>
    <cfRule type="duplicateValues" dxfId="12885" priority="6152"/>
    <cfRule type="duplicateValues" dxfId="12884" priority="6151"/>
    <cfRule type="duplicateValues" dxfId="12883" priority="6150"/>
    <cfRule type="duplicateValues" dxfId="12882" priority="6149"/>
    <cfRule type="duplicateValues" dxfId="12881" priority="6163"/>
    <cfRule type="duplicateValues" dxfId="12880" priority="6147"/>
    <cfRule type="duplicateValues" dxfId="12879" priority="6145"/>
  </conditionalFormatting>
  <conditionalFormatting sqref="B251:B252">
    <cfRule type="duplicateValues" dxfId="12878" priority="6079"/>
    <cfRule type="duplicateValues" dxfId="12877" priority="6078"/>
    <cfRule type="duplicateValues" dxfId="12876" priority="6077"/>
    <cfRule type="duplicateValues" dxfId="12875" priority="6076"/>
    <cfRule type="duplicateValues" dxfId="12874" priority="6073"/>
    <cfRule type="duplicateValues" dxfId="12873" priority="6072"/>
    <cfRule type="duplicateValues" dxfId="12872" priority="6071"/>
    <cfRule type="duplicateValues" dxfId="12871" priority="6069"/>
    <cfRule type="duplicateValues" dxfId="12870" priority="6068"/>
    <cfRule type="duplicateValues" dxfId="12869" priority="6067"/>
    <cfRule type="duplicateValues" dxfId="12868" priority="6066"/>
    <cfRule type="duplicateValues" dxfId="12867" priority="6065"/>
    <cfRule type="duplicateValues" dxfId="12866" priority="6064"/>
    <cfRule type="duplicateValues" dxfId="12865" priority="6063"/>
    <cfRule type="duplicateValues" dxfId="12864" priority="6062"/>
    <cfRule type="duplicateValues" dxfId="12863" priority="6061"/>
    <cfRule type="duplicateValues" dxfId="12862" priority="6121"/>
    <cfRule type="duplicateValues" dxfId="12861" priority="6075"/>
    <cfRule type="duplicateValues" dxfId="12860" priority="6070"/>
    <cfRule type="duplicateValues" dxfId="12859" priority="6074"/>
    <cfRule type="duplicateValues" dxfId="12858" priority="6090"/>
    <cfRule type="duplicateValues" dxfId="12857" priority="6089"/>
    <cfRule type="duplicateValues" dxfId="12856" priority="6088"/>
    <cfRule type="duplicateValues" dxfId="12855" priority="6087"/>
    <cfRule type="duplicateValues" dxfId="12854" priority="6086"/>
    <cfRule type="duplicateValues" dxfId="12853" priority="6085"/>
    <cfRule type="duplicateValues" dxfId="12852" priority="6084"/>
    <cfRule type="duplicateValues" dxfId="12851" priority="6083"/>
    <cfRule type="duplicateValues" dxfId="12850" priority="6082"/>
    <cfRule type="duplicateValues" dxfId="12849" priority="6081"/>
    <cfRule type="duplicateValues" dxfId="12848" priority="6080"/>
    <cfRule type="duplicateValues" dxfId="12847" priority="6141"/>
    <cfRule type="duplicateValues" dxfId="12846" priority="6140"/>
    <cfRule type="duplicateValues" dxfId="12845" priority="6139"/>
    <cfRule type="duplicateValues" dxfId="12844" priority="6138"/>
    <cfRule type="duplicateValues" dxfId="12843" priority="6137"/>
    <cfRule type="duplicateValues" dxfId="12842" priority="6136"/>
    <cfRule type="duplicateValues" dxfId="12841" priority="6135"/>
    <cfRule type="duplicateValues" dxfId="12840" priority="6134"/>
    <cfRule type="duplicateValues" dxfId="12839" priority="6133"/>
    <cfRule type="duplicateValues" dxfId="12838" priority="6132"/>
    <cfRule type="duplicateValues" dxfId="12837" priority="6131"/>
    <cfRule type="duplicateValues" dxfId="12836" priority="6130"/>
    <cfRule type="duplicateValues" dxfId="12835" priority="6129"/>
    <cfRule type="duplicateValues" dxfId="12834" priority="6128"/>
    <cfRule type="duplicateValues" dxfId="12833" priority="6127"/>
    <cfRule type="duplicateValues" dxfId="12832" priority="6126"/>
    <cfRule type="duplicateValues" dxfId="12831" priority="6125"/>
    <cfRule type="duplicateValues" dxfId="12830" priority="6124"/>
    <cfRule type="duplicateValues" dxfId="12829" priority="6123"/>
    <cfRule type="duplicateValues" dxfId="12828" priority="6122"/>
    <cfRule type="duplicateValues" dxfId="12827" priority="6120"/>
    <cfRule type="duplicateValues" dxfId="12826" priority="6119"/>
    <cfRule type="duplicateValues" dxfId="12825" priority="6118"/>
    <cfRule type="duplicateValues" dxfId="12824" priority="6117"/>
    <cfRule type="duplicateValues" dxfId="12823" priority="6116"/>
    <cfRule type="duplicateValues" dxfId="12822" priority="6115"/>
    <cfRule type="duplicateValues" dxfId="12821" priority="6114"/>
    <cfRule type="duplicateValues" dxfId="12820" priority="6113"/>
    <cfRule type="duplicateValues" dxfId="12819" priority="6112"/>
    <cfRule type="duplicateValues" dxfId="12818" priority="6111"/>
    <cfRule type="duplicateValues" dxfId="12817" priority="6110"/>
    <cfRule type="duplicateValues" dxfId="12816" priority="6109"/>
    <cfRule type="duplicateValues" dxfId="12815" priority="6108"/>
    <cfRule type="duplicateValues" dxfId="12814" priority="6107"/>
    <cfRule type="duplicateValues" dxfId="12813" priority="6106"/>
    <cfRule type="duplicateValues" dxfId="12812" priority="6105"/>
    <cfRule type="duplicateValues" dxfId="12811" priority="6104"/>
    <cfRule type="duplicateValues" dxfId="12810" priority="6103"/>
    <cfRule type="duplicateValues" dxfId="12809" priority="6102"/>
    <cfRule type="duplicateValues" dxfId="12808" priority="6101"/>
    <cfRule type="duplicateValues" dxfId="12807" priority="6100"/>
    <cfRule type="duplicateValues" dxfId="12806" priority="6099"/>
    <cfRule type="duplicateValues" dxfId="12805" priority="6098"/>
    <cfRule type="duplicateValues" dxfId="12804" priority="6097"/>
    <cfRule type="duplicateValues" dxfId="12803" priority="6096"/>
    <cfRule type="duplicateValues" dxfId="12802" priority="6095"/>
    <cfRule type="duplicateValues" dxfId="12801" priority="6094"/>
    <cfRule type="duplicateValues" dxfId="12800" priority="6093"/>
    <cfRule type="duplicateValues" dxfId="12799" priority="6092"/>
    <cfRule type="duplicateValues" dxfId="12798" priority="6091"/>
  </conditionalFormatting>
  <conditionalFormatting sqref="B253:B254">
    <cfRule type="duplicateValues" dxfId="12797" priority="6036"/>
    <cfRule type="duplicateValues" dxfId="12796" priority="6035"/>
    <cfRule type="duplicateValues" dxfId="12795" priority="6034"/>
    <cfRule type="duplicateValues" dxfId="12794" priority="6033"/>
    <cfRule type="duplicateValues" dxfId="12793" priority="6032"/>
    <cfRule type="duplicateValues" dxfId="12792" priority="6030"/>
    <cfRule type="duplicateValues" dxfId="12791" priority="6029"/>
    <cfRule type="duplicateValues" dxfId="12790" priority="6028"/>
    <cfRule type="duplicateValues" dxfId="12789" priority="6027"/>
    <cfRule type="duplicateValues" dxfId="12788" priority="6031"/>
    <cfRule type="duplicateValues" dxfId="12787" priority="6026"/>
    <cfRule type="duplicateValues" dxfId="12786" priority="6025"/>
    <cfRule type="duplicateValues" dxfId="12785" priority="6024"/>
    <cfRule type="duplicateValues" dxfId="12784" priority="6023"/>
    <cfRule type="duplicateValues" dxfId="12783" priority="6022"/>
    <cfRule type="duplicateValues" dxfId="12782" priority="6021"/>
    <cfRule type="duplicateValues" dxfId="12781" priority="6020"/>
    <cfRule type="duplicateValues" dxfId="12780" priority="6019"/>
    <cfRule type="duplicateValues" dxfId="12779" priority="6018"/>
    <cfRule type="duplicateValues" dxfId="12778" priority="6017"/>
    <cfRule type="duplicateValues" dxfId="12777" priority="6016"/>
    <cfRule type="duplicateValues" dxfId="12776" priority="6015"/>
    <cfRule type="duplicateValues" dxfId="12775" priority="6014"/>
    <cfRule type="duplicateValues" dxfId="12774" priority="6013"/>
    <cfRule type="duplicateValues" dxfId="12773" priority="6012"/>
    <cfRule type="duplicateValues" dxfId="12772" priority="6011"/>
    <cfRule type="duplicateValues" dxfId="12771" priority="6010"/>
    <cfRule type="duplicateValues" dxfId="12770" priority="6009"/>
    <cfRule type="duplicateValues" dxfId="12769" priority="6007"/>
    <cfRule type="duplicateValues" dxfId="12768" priority="6006"/>
    <cfRule type="duplicateValues" dxfId="12767" priority="6005"/>
    <cfRule type="duplicateValues" dxfId="12766" priority="6004"/>
    <cfRule type="duplicateValues" dxfId="12765" priority="6003"/>
    <cfRule type="duplicateValues" dxfId="12764" priority="6002"/>
    <cfRule type="duplicateValues" dxfId="12763" priority="6001"/>
    <cfRule type="duplicateValues" dxfId="12762" priority="6000"/>
    <cfRule type="duplicateValues" dxfId="12761" priority="5999"/>
    <cfRule type="duplicateValues" dxfId="12760" priority="6008"/>
    <cfRule type="duplicateValues" dxfId="12759" priority="6038"/>
    <cfRule type="duplicateValues" dxfId="12758" priority="6037"/>
  </conditionalFormatting>
  <conditionalFormatting sqref="B255:B257">
    <cfRule type="duplicateValues" dxfId="12757" priority="5920"/>
    <cfRule type="duplicateValues" dxfId="12756" priority="5919"/>
    <cfRule type="duplicateValues" dxfId="12755" priority="5918"/>
    <cfRule type="duplicateValues" dxfId="12754" priority="5917"/>
    <cfRule type="duplicateValues" dxfId="12753" priority="5916"/>
    <cfRule type="duplicateValues" dxfId="12752" priority="5915"/>
    <cfRule type="duplicateValues" dxfId="12751" priority="5954"/>
    <cfRule type="duplicateValues" dxfId="12750" priority="5953"/>
    <cfRule type="duplicateValues" dxfId="12749" priority="5952"/>
    <cfRule type="duplicateValues" dxfId="12748" priority="5951"/>
    <cfRule type="duplicateValues" dxfId="12747" priority="5950"/>
    <cfRule type="duplicateValues" dxfId="12746" priority="5949"/>
    <cfRule type="duplicateValues" dxfId="12745" priority="5948"/>
    <cfRule type="duplicateValues" dxfId="12744" priority="5947"/>
    <cfRule type="duplicateValues" dxfId="12743" priority="5946"/>
    <cfRule type="duplicateValues" dxfId="12742" priority="5945"/>
    <cfRule type="duplicateValues" dxfId="12741" priority="5944"/>
    <cfRule type="duplicateValues" dxfId="12740" priority="5943"/>
    <cfRule type="duplicateValues" dxfId="12739" priority="5942"/>
    <cfRule type="duplicateValues" dxfId="12738" priority="5941"/>
    <cfRule type="duplicateValues" dxfId="12737" priority="5940"/>
    <cfRule type="duplicateValues" dxfId="12736" priority="5939"/>
    <cfRule type="duplicateValues" dxfId="12735" priority="5938"/>
    <cfRule type="duplicateValues" dxfId="12734" priority="5937"/>
    <cfRule type="duplicateValues" dxfId="12733" priority="5936"/>
    <cfRule type="duplicateValues" dxfId="12732" priority="5935"/>
    <cfRule type="duplicateValues" dxfId="12731" priority="5934"/>
    <cfRule type="duplicateValues" dxfId="12730" priority="5933"/>
    <cfRule type="duplicateValues" dxfId="12729" priority="5932"/>
    <cfRule type="duplicateValues" dxfId="12728" priority="5931"/>
    <cfRule type="duplicateValues" dxfId="12727" priority="5930"/>
    <cfRule type="duplicateValues" dxfId="12726" priority="5929"/>
    <cfRule type="duplicateValues" dxfId="12725" priority="5928"/>
    <cfRule type="duplicateValues" dxfId="12724" priority="5927"/>
    <cfRule type="duplicateValues" dxfId="12723" priority="5926"/>
    <cfRule type="duplicateValues" dxfId="12722" priority="5925"/>
    <cfRule type="duplicateValues" dxfId="12721" priority="5924"/>
    <cfRule type="duplicateValues" dxfId="12720" priority="5923"/>
    <cfRule type="duplicateValues" dxfId="12719" priority="5922"/>
    <cfRule type="duplicateValues" dxfId="12718" priority="5921"/>
  </conditionalFormatting>
  <conditionalFormatting sqref="B255:B302">
    <cfRule type="duplicateValues" dxfId="12717" priority="5983"/>
    <cfRule type="duplicateValues" dxfId="12716" priority="5984"/>
    <cfRule type="duplicateValues" dxfId="12715" priority="5985"/>
    <cfRule type="duplicateValues" dxfId="12714" priority="5986"/>
    <cfRule type="duplicateValues" dxfId="12713" priority="5962"/>
    <cfRule type="duplicateValues" dxfId="12712" priority="5987"/>
    <cfRule type="duplicateValues" dxfId="12711" priority="5988"/>
    <cfRule type="duplicateValues" dxfId="12710" priority="5989"/>
    <cfRule type="duplicateValues" dxfId="12709" priority="5990"/>
    <cfRule type="duplicateValues" dxfId="12708" priority="5991"/>
    <cfRule type="duplicateValues" dxfId="12707" priority="5992"/>
    <cfRule type="duplicateValues" dxfId="12706" priority="5993"/>
    <cfRule type="duplicateValues" dxfId="12705" priority="5994"/>
    <cfRule type="duplicateValues" dxfId="12704" priority="5995"/>
    <cfRule type="duplicateValues" dxfId="12703" priority="5961"/>
    <cfRule type="duplicateValues" dxfId="12702" priority="5960"/>
    <cfRule type="duplicateValues" dxfId="12701" priority="5959"/>
    <cfRule type="duplicateValues" dxfId="12700" priority="5958"/>
    <cfRule type="duplicateValues" dxfId="12699" priority="5957"/>
    <cfRule type="duplicateValues" dxfId="12698" priority="5956"/>
    <cfRule type="duplicateValues" dxfId="12697" priority="5955"/>
    <cfRule type="duplicateValues" dxfId="12696" priority="5963"/>
    <cfRule type="duplicateValues" dxfId="12695" priority="5964"/>
    <cfRule type="duplicateValues" dxfId="12694" priority="5965"/>
    <cfRule type="duplicateValues" dxfId="12693" priority="5966"/>
    <cfRule type="duplicateValues" dxfId="12692" priority="5967"/>
    <cfRule type="duplicateValues" dxfId="12691" priority="5968"/>
    <cfRule type="duplicateValues" dxfId="12690" priority="5969"/>
    <cfRule type="duplicateValues" dxfId="12689" priority="5971"/>
    <cfRule type="duplicateValues" dxfId="12688" priority="5972"/>
    <cfRule type="duplicateValues" dxfId="12687" priority="5973"/>
    <cfRule type="duplicateValues" dxfId="12686" priority="5974"/>
    <cfRule type="duplicateValues" dxfId="12685" priority="5975"/>
    <cfRule type="duplicateValues" dxfId="12684" priority="5976"/>
    <cfRule type="duplicateValues" dxfId="12683" priority="5977"/>
    <cfRule type="duplicateValues" dxfId="12682" priority="5978"/>
    <cfRule type="duplicateValues" dxfId="12681" priority="5979"/>
    <cfRule type="duplicateValues" dxfId="12680" priority="5980"/>
    <cfRule type="duplicateValues" dxfId="12679" priority="5981"/>
    <cfRule type="duplicateValues" dxfId="12678" priority="5982"/>
    <cfRule type="duplicateValues" dxfId="12677" priority="5970"/>
  </conditionalFormatting>
  <conditionalFormatting sqref="B258:B269">
    <cfRule type="duplicateValues" dxfId="12676" priority="5883"/>
    <cfRule type="duplicateValues" dxfId="12675" priority="5899"/>
    <cfRule type="duplicateValues" dxfId="12674" priority="5898"/>
    <cfRule type="duplicateValues" dxfId="12673" priority="5897"/>
    <cfRule type="duplicateValues" dxfId="12672" priority="5896"/>
    <cfRule type="duplicateValues" dxfId="12671" priority="5895"/>
    <cfRule type="duplicateValues" dxfId="12670" priority="5910"/>
    <cfRule type="duplicateValues" dxfId="12669" priority="5900"/>
    <cfRule type="duplicateValues" dxfId="12668" priority="5901"/>
    <cfRule type="duplicateValues" dxfId="12667" priority="5902"/>
    <cfRule type="duplicateValues" dxfId="12666" priority="5893"/>
    <cfRule type="duplicateValues" dxfId="12665" priority="5892"/>
    <cfRule type="duplicateValues" dxfId="12664" priority="5891"/>
    <cfRule type="duplicateValues" dxfId="12663" priority="5890"/>
    <cfRule type="duplicateValues" dxfId="12662" priority="5889"/>
    <cfRule type="duplicateValues" dxfId="12661" priority="5888"/>
    <cfRule type="duplicateValues" dxfId="12660" priority="5887"/>
    <cfRule type="duplicateValues" dxfId="12659" priority="5886"/>
    <cfRule type="duplicateValues" dxfId="12658" priority="5885"/>
    <cfRule type="duplicateValues" dxfId="12657" priority="5884"/>
    <cfRule type="duplicateValues" dxfId="12656" priority="5903"/>
    <cfRule type="duplicateValues" dxfId="12655" priority="5882"/>
    <cfRule type="duplicateValues" dxfId="12654" priority="5881"/>
    <cfRule type="duplicateValues" dxfId="12653" priority="5880"/>
    <cfRule type="duplicateValues" dxfId="12652" priority="5879"/>
    <cfRule type="duplicateValues" dxfId="12651" priority="5878"/>
    <cfRule type="duplicateValues" dxfId="12650" priority="5877"/>
    <cfRule type="duplicateValues" dxfId="12649" priority="5876"/>
    <cfRule type="duplicateValues" dxfId="12648" priority="5875"/>
    <cfRule type="duplicateValues" dxfId="12647" priority="5874"/>
    <cfRule type="duplicateValues" dxfId="12646" priority="5873"/>
    <cfRule type="duplicateValues" dxfId="12645" priority="5872"/>
    <cfRule type="duplicateValues" dxfId="12644" priority="5871"/>
    <cfRule type="duplicateValues" dxfId="12643" priority="5870"/>
    <cfRule type="duplicateValues" dxfId="12642" priority="5904"/>
    <cfRule type="duplicateValues" dxfId="12641" priority="5905"/>
    <cfRule type="duplicateValues" dxfId="12640" priority="5906"/>
    <cfRule type="duplicateValues" dxfId="12639" priority="5907"/>
    <cfRule type="duplicateValues" dxfId="12638" priority="5908"/>
    <cfRule type="duplicateValues" dxfId="12637" priority="5909"/>
    <cfRule type="duplicateValues" dxfId="12636" priority="5894"/>
  </conditionalFormatting>
  <conditionalFormatting sqref="B270">
    <cfRule type="duplicateValues" dxfId="12635" priority="5831"/>
    <cfRule type="duplicateValues" dxfId="12634" priority="5830"/>
    <cfRule type="duplicateValues" dxfId="12633" priority="5829"/>
    <cfRule type="duplicateValues" dxfId="12632" priority="5828"/>
    <cfRule type="duplicateValues" dxfId="12631" priority="5863"/>
    <cfRule type="duplicateValues" dxfId="12630" priority="5869"/>
    <cfRule type="duplicateValues" dxfId="12629" priority="5868"/>
    <cfRule type="duplicateValues" dxfId="12628" priority="5867"/>
    <cfRule type="duplicateValues" dxfId="12627" priority="5866"/>
    <cfRule type="duplicateValues" dxfId="12626" priority="5865"/>
    <cfRule type="duplicateValues" dxfId="12625" priority="5864"/>
    <cfRule type="duplicateValues" dxfId="12624" priority="5851"/>
    <cfRule type="duplicateValues" dxfId="12623" priority="5850"/>
    <cfRule type="duplicateValues" dxfId="12622" priority="5849"/>
    <cfRule type="duplicateValues" dxfId="12621" priority="5832"/>
    <cfRule type="duplicateValues" dxfId="12620" priority="5848"/>
    <cfRule type="duplicateValues" dxfId="12619" priority="5847"/>
    <cfRule type="duplicateValues" dxfId="12618" priority="5846"/>
    <cfRule type="duplicateValues" dxfId="12617" priority="5845"/>
    <cfRule type="duplicateValues" dxfId="12616" priority="5844"/>
    <cfRule type="duplicateValues" dxfId="12615" priority="5843"/>
    <cfRule type="duplicateValues" dxfId="12614" priority="5861"/>
    <cfRule type="duplicateValues" dxfId="12613" priority="5841"/>
    <cfRule type="duplicateValues" dxfId="12612" priority="5840"/>
    <cfRule type="duplicateValues" dxfId="12611" priority="5839"/>
    <cfRule type="duplicateValues" dxfId="12610" priority="5838"/>
    <cfRule type="duplicateValues" dxfId="12609" priority="5837"/>
    <cfRule type="duplicateValues" dxfId="12608" priority="5836"/>
    <cfRule type="duplicateValues" dxfId="12607" priority="5835"/>
    <cfRule type="duplicateValues" dxfId="12606" priority="5834"/>
    <cfRule type="duplicateValues" dxfId="12605" priority="5833"/>
    <cfRule type="duplicateValues" dxfId="12604" priority="5862"/>
    <cfRule type="duplicateValues" dxfId="12603" priority="5860"/>
    <cfRule type="duplicateValues" dxfId="12602" priority="5859"/>
    <cfRule type="duplicateValues" dxfId="12601" priority="5858"/>
    <cfRule type="duplicateValues" dxfId="12600" priority="5857"/>
    <cfRule type="duplicateValues" dxfId="12599" priority="5856"/>
    <cfRule type="duplicateValues" dxfId="12598" priority="5855"/>
    <cfRule type="duplicateValues" dxfId="12597" priority="5854"/>
    <cfRule type="duplicateValues" dxfId="12596" priority="5853"/>
    <cfRule type="duplicateValues" dxfId="12595" priority="5852"/>
    <cfRule type="duplicateValues" dxfId="12594" priority="5842"/>
  </conditionalFormatting>
  <conditionalFormatting sqref="B271:B276">
    <cfRule type="duplicateValues" dxfId="12593" priority="5817"/>
    <cfRule type="duplicateValues" dxfId="12592" priority="5816"/>
    <cfRule type="duplicateValues" dxfId="12591" priority="5815"/>
    <cfRule type="duplicateValues" dxfId="12590" priority="5814"/>
    <cfRule type="duplicateValues" dxfId="12589" priority="5813"/>
    <cfRule type="duplicateValues" dxfId="12588" priority="5812"/>
    <cfRule type="duplicateValues" dxfId="12587" priority="5811"/>
    <cfRule type="duplicateValues" dxfId="12586" priority="5810"/>
    <cfRule type="duplicateValues" dxfId="12585" priority="5809"/>
    <cfRule type="duplicateValues" dxfId="12584" priority="5808"/>
    <cfRule type="duplicateValues" dxfId="12583" priority="5807"/>
    <cfRule type="duplicateValues" dxfId="12582" priority="5806"/>
    <cfRule type="duplicateValues" dxfId="12581" priority="5805"/>
    <cfRule type="duplicateValues" dxfId="12580" priority="5799"/>
    <cfRule type="duplicateValues" dxfId="12579" priority="5798"/>
    <cfRule type="duplicateValues" dxfId="12578" priority="5797"/>
    <cfRule type="duplicateValues" dxfId="12577" priority="5796"/>
    <cfRule type="duplicateValues" dxfId="12576" priority="5795"/>
    <cfRule type="duplicateValues" dxfId="12575" priority="5794"/>
    <cfRule type="duplicateValues" dxfId="12574" priority="5793"/>
    <cfRule type="duplicateValues" dxfId="12573" priority="5792"/>
    <cfRule type="duplicateValues" dxfId="12572" priority="5791"/>
    <cfRule type="duplicateValues" dxfId="12571" priority="5790"/>
    <cfRule type="duplicateValues" dxfId="12570" priority="5789"/>
    <cfRule type="duplicateValues" dxfId="12569" priority="5788"/>
    <cfRule type="duplicateValues" dxfId="12568" priority="5787"/>
    <cfRule type="duplicateValues" dxfId="12567" priority="5804"/>
    <cfRule type="duplicateValues" dxfId="12566" priority="5786"/>
    <cfRule type="duplicateValues" dxfId="12565" priority="5785"/>
    <cfRule type="duplicateValues" dxfId="12564" priority="5803"/>
    <cfRule type="duplicateValues" dxfId="12563" priority="5802"/>
    <cfRule type="duplicateValues" dxfId="12562" priority="5801"/>
    <cfRule type="duplicateValues" dxfId="12561" priority="5800"/>
    <cfRule type="duplicateValues" dxfId="12560" priority="5824"/>
    <cfRule type="duplicateValues" dxfId="12559" priority="5823"/>
    <cfRule type="duplicateValues" dxfId="12558" priority="5822"/>
    <cfRule type="duplicateValues" dxfId="12557" priority="5821"/>
    <cfRule type="duplicateValues" dxfId="12556" priority="5820"/>
    <cfRule type="duplicateValues" dxfId="12555" priority="5819"/>
    <cfRule type="duplicateValues" dxfId="12554" priority="5818"/>
  </conditionalFormatting>
  <conditionalFormatting sqref="B277:B300">
    <cfRule type="duplicateValues" dxfId="12553" priority="5757"/>
    <cfRule type="duplicateValues" dxfId="12552" priority="5758"/>
    <cfRule type="duplicateValues" dxfId="12551" priority="5770"/>
    <cfRule type="duplicateValues" dxfId="12550" priority="5760"/>
    <cfRule type="duplicateValues" dxfId="12549" priority="5761"/>
    <cfRule type="duplicateValues" dxfId="12548" priority="5762"/>
    <cfRule type="duplicateValues" dxfId="12547" priority="5763"/>
    <cfRule type="duplicateValues" dxfId="12546" priority="5764"/>
    <cfRule type="duplicateValues" dxfId="12545" priority="5765"/>
    <cfRule type="duplicateValues" dxfId="12544" priority="5766"/>
    <cfRule type="duplicateValues" dxfId="12543" priority="5767"/>
    <cfRule type="duplicateValues" dxfId="12542" priority="5768"/>
    <cfRule type="duplicateValues" dxfId="12541" priority="5769"/>
    <cfRule type="duplicateValues" dxfId="12540" priority="5742"/>
    <cfRule type="duplicateValues" dxfId="12539" priority="5743"/>
    <cfRule type="duplicateValues" dxfId="12538" priority="5744"/>
    <cfRule type="duplicateValues" dxfId="12537" priority="5745"/>
    <cfRule type="duplicateValues" dxfId="12536" priority="5746"/>
    <cfRule type="duplicateValues" dxfId="12535" priority="5747"/>
    <cfRule type="duplicateValues" dxfId="12534" priority="5748"/>
    <cfRule type="duplicateValues" dxfId="12533" priority="5749"/>
    <cfRule type="duplicateValues" dxfId="12532" priority="5750"/>
    <cfRule type="duplicateValues" dxfId="12531" priority="5751"/>
    <cfRule type="duplicateValues" dxfId="12530" priority="5756"/>
    <cfRule type="duplicateValues" dxfId="12529" priority="5755"/>
    <cfRule type="duplicateValues" dxfId="12528" priority="5754"/>
    <cfRule type="duplicateValues" dxfId="12527" priority="5753"/>
    <cfRule type="duplicateValues" dxfId="12526" priority="5752"/>
    <cfRule type="duplicateValues" dxfId="12525" priority="5771"/>
    <cfRule type="duplicateValues" dxfId="12524" priority="5781"/>
    <cfRule type="duplicateValues" dxfId="12523" priority="5780"/>
    <cfRule type="duplicateValues" dxfId="12522" priority="5779"/>
    <cfRule type="duplicateValues" dxfId="12521" priority="5778"/>
    <cfRule type="duplicateValues" dxfId="12520" priority="5777"/>
    <cfRule type="duplicateValues" dxfId="12519" priority="5776"/>
    <cfRule type="duplicateValues" dxfId="12518" priority="5775"/>
    <cfRule type="duplicateValues" dxfId="12517" priority="5774"/>
    <cfRule type="duplicateValues" dxfId="12516" priority="5773"/>
    <cfRule type="duplicateValues" dxfId="12515" priority="5772"/>
    <cfRule type="duplicateValues" dxfId="12514" priority="5759"/>
  </conditionalFormatting>
  <conditionalFormatting sqref="B301">
    <cfRule type="duplicateValues" dxfId="12513" priority="5702"/>
    <cfRule type="duplicateValues" dxfId="12512" priority="5701"/>
    <cfRule type="duplicateValues" dxfId="12511" priority="5700"/>
    <cfRule type="duplicateValues" dxfId="12510" priority="5699"/>
    <cfRule type="duplicateValues" dxfId="12509" priority="5698"/>
    <cfRule type="duplicateValues" dxfId="12508" priority="5697"/>
    <cfRule type="duplicateValues" dxfId="12507" priority="5695"/>
    <cfRule type="duplicateValues" dxfId="12506" priority="5694"/>
    <cfRule type="duplicateValues" dxfId="12505" priority="5693"/>
    <cfRule type="duplicateValues" dxfId="12504" priority="5692"/>
    <cfRule type="duplicateValues" dxfId="12503" priority="5691"/>
    <cfRule type="duplicateValues" dxfId="12502" priority="5690"/>
    <cfRule type="duplicateValues" dxfId="12501" priority="5689"/>
    <cfRule type="duplicateValues" dxfId="12500" priority="5688"/>
    <cfRule type="duplicateValues" dxfId="12499" priority="5687"/>
    <cfRule type="duplicateValues" dxfId="12498" priority="5686"/>
    <cfRule type="duplicateValues" dxfId="12497" priority="5685"/>
    <cfRule type="duplicateValues" dxfId="12496" priority="5684"/>
    <cfRule type="duplicateValues" dxfId="12495" priority="5683"/>
    <cfRule type="duplicateValues" dxfId="12494" priority="5682"/>
    <cfRule type="duplicateValues" dxfId="12493" priority="5681"/>
    <cfRule type="duplicateValues" dxfId="12492" priority="5680"/>
    <cfRule type="duplicateValues" dxfId="12491" priority="5679"/>
    <cfRule type="duplicateValues" dxfId="12490" priority="5678"/>
    <cfRule type="duplicateValues" dxfId="12489" priority="5677"/>
    <cfRule type="duplicateValues" dxfId="12488" priority="5676"/>
    <cfRule type="duplicateValues" dxfId="12487" priority="5675"/>
    <cfRule type="duplicateValues" dxfId="12486" priority="5674"/>
    <cfRule type="duplicateValues" dxfId="12485" priority="5724"/>
    <cfRule type="duplicateValues" dxfId="12484" priority="5672"/>
    <cfRule type="duplicateValues" dxfId="12483" priority="5671"/>
    <cfRule type="duplicateValues" dxfId="12482" priority="5670"/>
    <cfRule type="duplicateValues" dxfId="12481" priority="5723"/>
    <cfRule type="duplicateValues" dxfId="12480" priority="5722"/>
    <cfRule type="duplicateValues" dxfId="12479" priority="5721"/>
    <cfRule type="duplicateValues" dxfId="12478" priority="5720"/>
    <cfRule type="duplicateValues" dxfId="12477" priority="5719"/>
    <cfRule type="duplicateValues" dxfId="12476" priority="5718"/>
    <cfRule type="duplicateValues" dxfId="12475" priority="5717"/>
    <cfRule type="duplicateValues" dxfId="12474" priority="5716"/>
    <cfRule type="duplicateValues" dxfId="12473" priority="5715"/>
    <cfRule type="duplicateValues" dxfId="12472" priority="5714"/>
    <cfRule type="duplicateValues" dxfId="12471" priority="5713"/>
    <cfRule type="duplicateValues" dxfId="12470" priority="5712"/>
    <cfRule type="duplicateValues" dxfId="12469" priority="5711"/>
    <cfRule type="duplicateValues" dxfId="12468" priority="5726"/>
    <cfRule type="duplicateValues" dxfId="12467" priority="5727"/>
    <cfRule type="duplicateValues" dxfId="12466" priority="5673"/>
    <cfRule type="duplicateValues" dxfId="12465" priority="5728"/>
    <cfRule type="duplicateValues" dxfId="12464" priority="5729"/>
    <cfRule type="duplicateValues" dxfId="12463" priority="5730"/>
    <cfRule type="duplicateValues" dxfId="12462" priority="5731"/>
    <cfRule type="duplicateValues" dxfId="12461" priority="5732"/>
    <cfRule type="duplicateValues" dxfId="12460" priority="5733"/>
    <cfRule type="duplicateValues" dxfId="12459" priority="5734"/>
    <cfRule type="duplicateValues" dxfId="12458" priority="5735"/>
    <cfRule type="duplicateValues" dxfId="12457" priority="5736"/>
    <cfRule type="duplicateValues" dxfId="12456" priority="5737"/>
    <cfRule type="duplicateValues" dxfId="12455" priority="5738"/>
    <cfRule type="duplicateValues" dxfId="12454" priority="5669"/>
    <cfRule type="duplicateValues" dxfId="12453" priority="5696"/>
    <cfRule type="duplicateValues" dxfId="12452" priority="5668"/>
    <cfRule type="duplicateValues" dxfId="12451" priority="5667"/>
    <cfRule type="duplicateValues" dxfId="12450" priority="5666"/>
    <cfRule type="duplicateValues" dxfId="12449" priority="5665"/>
    <cfRule type="duplicateValues" dxfId="12448" priority="5664"/>
    <cfRule type="duplicateValues" dxfId="12447" priority="5663"/>
    <cfRule type="duplicateValues" dxfId="12446" priority="5662"/>
    <cfRule type="duplicateValues" dxfId="12445" priority="5661"/>
    <cfRule type="duplicateValues" dxfId="12444" priority="5660"/>
    <cfRule type="duplicateValues" dxfId="12443" priority="5659"/>
    <cfRule type="duplicateValues" dxfId="12442" priority="5710"/>
    <cfRule type="duplicateValues" dxfId="12441" priority="5709"/>
    <cfRule type="duplicateValues" dxfId="12440" priority="5708"/>
    <cfRule type="duplicateValues" dxfId="12439" priority="5725"/>
    <cfRule type="duplicateValues" dxfId="12438" priority="5707"/>
    <cfRule type="duplicateValues" dxfId="12437" priority="5706"/>
    <cfRule type="duplicateValues" dxfId="12436" priority="5705"/>
    <cfRule type="duplicateValues" dxfId="12435" priority="5704"/>
    <cfRule type="duplicateValues" dxfId="12434" priority="5703"/>
  </conditionalFormatting>
  <conditionalFormatting sqref="B302">
    <cfRule type="duplicateValues" dxfId="12433" priority="5639"/>
    <cfRule type="duplicateValues" dxfId="12432" priority="5640"/>
    <cfRule type="duplicateValues" dxfId="12431" priority="5641"/>
    <cfRule type="duplicateValues" dxfId="12430" priority="5642"/>
    <cfRule type="duplicateValues" dxfId="12429" priority="5643"/>
    <cfRule type="duplicateValues" dxfId="12428" priority="5644"/>
    <cfRule type="duplicateValues" dxfId="12427" priority="5645"/>
    <cfRule type="duplicateValues" dxfId="12426" priority="5646"/>
    <cfRule type="duplicateValues" dxfId="12425" priority="5647"/>
    <cfRule type="duplicateValues" dxfId="12424" priority="5648"/>
    <cfRule type="duplicateValues" dxfId="12423" priority="5649"/>
    <cfRule type="duplicateValues" dxfId="12422" priority="5650"/>
    <cfRule type="duplicateValues" dxfId="12421" priority="5651"/>
    <cfRule type="duplicateValues" dxfId="12420" priority="5652"/>
    <cfRule type="duplicateValues" dxfId="12419" priority="5653"/>
    <cfRule type="duplicateValues" dxfId="12418" priority="5654"/>
    <cfRule type="duplicateValues" dxfId="12417" priority="5655"/>
    <cfRule type="duplicateValues" dxfId="12416" priority="5616"/>
    <cfRule type="duplicateValues" dxfId="12415" priority="5617"/>
    <cfRule type="duplicateValues" dxfId="12414" priority="5618"/>
    <cfRule type="duplicateValues" dxfId="12413" priority="5619"/>
    <cfRule type="duplicateValues" dxfId="12412" priority="5620"/>
    <cfRule type="duplicateValues" dxfId="12411" priority="5621"/>
    <cfRule type="duplicateValues" dxfId="12410" priority="5622"/>
    <cfRule type="duplicateValues" dxfId="12409" priority="5623"/>
    <cfRule type="duplicateValues" dxfId="12408" priority="5624"/>
    <cfRule type="duplicateValues" dxfId="12407" priority="5625"/>
    <cfRule type="duplicateValues" dxfId="12406" priority="5626"/>
    <cfRule type="duplicateValues" dxfId="12405" priority="5627"/>
    <cfRule type="duplicateValues" dxfId="12404" priority="5628"/>
    <cfRule type="duplicateValues" dxfId="12403" priority="5629"/>
    <cfRule type="duplicateValues" dxfId="12402" priority="5630"/>
    <cfRule type="duplicateValues" dxfId="12401" priority="5631"/>
    <cfRule type="duplicateValues" dxfId="12400" priority="5632"/>
    <cfRule type="duplicateValues" dxfId="12399" priority="5633"/>
    <cfRule type="duplicateValues" dxfId="12398" priority="5634"/>
    <cfRule type="duplicateValues" dxfId="12397" priority="5635"/>
    <cfRule type="duplicateValues" dxfId="12396" priority="5636"/>
    <cfRule type="duplicateValues" dxfId="12395" priority="5637"/>
    <cfRule type="duplicateValues" dxfId="12394" priority="5638"/>
  </conditionalFormatting>
  <conditionalFormatting sqref="B303">
    <cfRule type="duplicateValues" dxfId="12393" priority="5468"/>
    <cfRule type="duplicateValues" dxfId="12392" priority="5469"/>
    <cfRule type="duplicateValues" dxfId="12391" priority="5470"/>
    <cfRule type="duplicateValues" dxfId="12390" priority="5471"/>
    <cfRule type="duplicateValues" dxfId="12389" priority="5472"/>
    <cfRule type="duplicateValues" dxfId="12388" priority="5473"/>
    <cfRule type="duplicateValues" dxfId="12387" priority="5474"/>
    <cfRule type="duplicateValues" dxfId="12386" priority="5475"/>
    <cfRule type="duplicateValues" dxfId="12385" priority="5476"/>
    <cfRule type="duplicateValues" dxfId="12384" priority="5477"/>
    <cfRule type="duplicateValues" dxfId="12383" priority="5606"/>
    <cfRule type="duplicateValues" dxfId="12382" priority="5565"/>
    <cfRule type="duplicateValues" dxfId="12381" priority="5566"/>
    <cfRule type="duplicateValues" dxfId="12380" priority="5567"/>
    <cfRule type="duplicateValues" dxfId="12379" priority="5568"/>
    <cfRule type="duplicateValues" dxfId="12378" priority="5569"/>
    <cfRule type="duplicateValues" dxfId="12377" priority="5570"/>
    <cfRule type="duplicateValues" dxfId="12376" priority="5572"/>
    <cfRule type="duplicateValues" dxfId="12375" priority="5573"/>
    <cfRule type="duplicateValues" dxfId="12374" priority="5574"/>
    <cfRule type="duplicateValues" dxfId="12373" priority="5575"/>
    <cfRule type="duplicateValues" dxfId="12372" priority="5576"/>
    <cfRule type="duplicateValues" dxfId="12371" priority="5577"/>
    <cfRule type="duplicateValues" dxfId="12370" priority="5578"/>
    <cfRule type="duplicateValues" dxfId="12369" priority="5579"/>
    <cfRule type="duplicateValues" dxfId="12368" priority="5580"/>
    <cfRule type="duplicateValues" dxfId="12367" priority="5581"/>
    <cfRule type="duplicateValues" dxfId="12366" priority="5582"/>
    <cfRule type="duplicateValues" dxfId="12365" priority="5583"/>
    <cfRule type="duplicateValues" dxfId="12364" priority="5584"/>
    <cfRule type="duplicateValues" dxfId="12363" priority="5585"/>
    <cfRule type="duplicateValues" dxfId="12362" priority="5586"/>
    <cfRule type="duplicateValues" dxfId="12361" priority="5587"/>
    <cfRule type="duplicateValues" dxfId="12360" priority="5588"/>
    <cfRule type="duplicateValues" dxfId="12359" priority="5589"/>
    <cfRule type="duplicateValues" dxfId="12358" priority="5460"/>
    <cfRule type="duplicateValues" dxfId="12357" priority="5590"/>
    <cfRule type="duplicateValues" dxfId="12356" priority="5591"/>
    <cfRule type="duplicateValues" dxfId="12355" priority="5592"/>
    <cfRule type="duplicateValues" dxfId="12354" priority="5593"/>
    <cfRule type="duplicateValues" dxfId="12353" priority="5594"/>
    <cfRule type="duplicateValues" dxfId="12352" priority="5595"/>
    <cfRule type="duplicateValues" dxfId="12351" priority="5596"/>
    <cfRule type="duplicateValues" dxfId="12350" priority="5597"/>
    <cfRule type="duplicateValues" dxfId="12349" priority="5598"/>
    <cfRule type="duplicateValues" dxfId="12348" priority="5599"/>
    <cfRule type="duplicateValues" dxfId="12347" priority="5600"/>
    <cfRule type="duplicateValues" dxfId="12346" priority="5601"/>
    <cfRule type="duplicateValues" dxfId="12345" priority="5602"/>
    <cfRule type="duplicateValues" dxfId="12344" priority="5603"/>
    <cfRule type="duplicateValues" dxfId="12343" priority="5604"/>
    <cfRule type="duplicateValues" dxfId="12342" priority="5605"/>
    <cfRule type="duplicateValues" dxfId="12341" priority="5607"/>
    <cfRule type="duplicateValues" dxfId="12340" priority="5608"/>
    <cfRule type="duplicateValues" dxfId="12339" priority="5609"/>
    <cfRule type="duplicateValues" dxfId="12338" priority="5610"/>
    <cfRule type="duplicateValues" dxfId="12337" priority="5611"/>
    <cfRule type="duplicateValues" dxfId="12336" priority="5540"/>
    <cfRule type="duplicateValues" dxfId="12335" priority="5449"/>
    <cfRule type="duplicateValues" dxfId="12334" priority="5450"/>
    <cfRule type="duplicateValues" dxfId="12333" priority="5451"/>
    <cfRule type="duplicateValues" dxfId="12332" priority="5452"/>
    <cfRule type="duplicateValues" dxfId="12331" priority="5453"/>
    <cfRule type="duplicateValues" dxfId="12330" priority="5454"/>
    <cfRule type="duplicateValues" dxfId="12329" priority="5455"/>
    <cfRule type="duplicateValues" dxfId="12328" priority="5456"/>
    <cfRule type="duplicateValues" dxfId="12327" priority="5457"/>
    <cfRule type="duplicateValues" dxfId="12326" priority="5458"/>
    <cfRule type="duplicateValues" dxfId="12325" priority="5571"/>
    <cfRule type="duplicateValues" dxfId="12324" priority="5459"/>
    <cfRule type="duplicateValues" dxfId="12323" priority="5461"/>
    <cfRule type="duplicateValues" dxfId="12322" priority="5462"/>
    <cfRule type="duplicateValues" dxfId="12321" priority="5463"/>
    <cfRule type="duplicateValues" dxfId="12320" priority="5464"/>
    <cfRule type="duplicateValues" dxfId="12319" priority="5465"/>
    <cfRule type="duplicateValues" dxfId="12318" priority="5466"/>
    <cfRule type="duplicateValues" dxfId="12317" priority="5467"/>
    <cfRule type="duplicateValues" dxfId="12316" priority="5541"/>
    <cfRule type="duplicateValues" dxfId="12315" priority="5542"/>
    <cfRule type="duplicateValues" dxfId="12314" priority="5543"/>
    <cfRule type="duplicateValues" dxfId="12313" priority="5544"/>
    <cfRule type="duplicateValues" dxfId="12312" priority="5545"/>
    <cfRule type="duplicateValues" dxfId="12311" priority="5546"/>
    <cfRule type="duplicateValues" dxfId="12310" priority="5547"/>
    <cfRule type="duplicateValues" dxfId="12309" priority="5548"/>
    <cfRule type="duplicateValues" dxfId="12308" priority="5549"/>
    <cfRule type="duplicateValues" dxfId="12307" priority="5550"/>
    <cfRule type="duplicateValues" dxfId="12306" priority="5551"/>
    <cfRule type="duplicateValues" dxfId="12305" priority="5552"/>
    <cfRule type="duplicateValues" dxfId="12304" priority="5553"/>
    <cfRule type="duplicateValues" dxfId="12303" priority="5554"/>
    <cfRule type="duplicateValues" dxfId="12302" priority="5555"/>
    <cfRule type="duplicateValues" dxfId="12301" priority="5556"/>
    <cfRule type="duplicateValues" dxfId="12300" priority="5557"/>
    <cfRule type="duplicateValues" dxfId="12299" priority="5558"/>
    <cfRule type="duplicateValues" dxfId="12298" priority="5559"/>
    <cfRule type="duplicateValues" dxfId="12297" priority="5560"/>
    <cfRule type="duplicateValues" dxfId="12296" priority="5561"/>
    <cfRule type="duplicateValues" dxfId="12295" priority="5562"/>
    <cfRule type="duplicateValues" dxfId="12294" priority="5563"/>
    <cfRule type="duplicateValues" dxfId="12293" priority="5564"/>
    <cfRule type="duplicateValues" dxfId="12292" priority="5478"/>
    <cfRule type="duplicateValues" dxfId="12291" priority="5479"/>
    <cfRule type="duplicateValues" dxfId="12290" priority="5480"/>
    <cfRule type="duplicateValues" dxfId="12289" priority="5481"/>
    <cfRule type="duplicateValues" dxfId="12288" priority="5482"/>
    <cfRule type="duplicateValues" dxfId="12287" priority="5483"/>
    <cfRule type="duplicateValues" dxfId="12286" priority="5484"/>
    <cfRule type="duplicateValues" dxfId="12285" priority="5485"/>
    <cfRule type="duplicateValues" dxfId="12284" priority="5486"/>
    <cfRule type="duplicateValues" dxfId="12283" priority="5487"/>
    <cfRule type="duplicateValues" dxfId="12282" priority="5488"/>
    <cfRule type="duplicateValues" dxfId="12281" priority="5489"/>
    <cfRule type="duplicateValues" dxfId="12280" priority="5490"/>
    <cfRule type="duplicateValues" dxfId="12279" priority="5491"/>
    <cfRule type="duplicateValues" dxfId="12278" priority="5492"/>
    <cfRule type="duplicateValues" dxfId="12277" priority="5493"/>
    <cfRule type="duplicateValues" dxfId="12276" priority="5494"/>
    <cfRule type="duplicateValues" dxfId="12275" priority="5495"/>
    <cfRule type="duplicateValues" dxfId="12274" priority="5496"/>
    <cfRule type="duplicateValues" dxfId="12273" priority="5497"/>
    <cfRule type="duplicateValues" dxfId="12272" priority="5498"/>
    <cfRule type="duplicateValues" dxfId="12271" priority="5499"/>
    <cfRule type="duplicateValues" dxfId="12270" priority="5500"/>
    <cfRule type="duplicateValues" dxfId="12269" priority="5501"/>
    <cfRule type="duplicateValues" dxfId="12268" priority="5502"/>
    <cfRule type="duplicateValues" dxfId="12267" priority="5503"/>
    <cfRule type="duplicateValues" dxfId="12266" priority="5504"/>
    <cfRule type="duplicateValues" dxfId="12265" priority="5505"/>
    <cfRule type="duplicateValues" dxfId="12264" priority="5506"/>
    <cfRule type="duplicateValues" dxfId="12263" priority="5507"/>
    <cfRule type="duplicateValues" dxfId="12262" priority="5508"/>
    <cfRule type="duplicateValues" dxfId="12261" priority="5509"/>
    <cfRule type="duplicateValues" dxfId="12260" priority="5510"/>
    <cfRule type="duplicateValues" dxfId="12259" priority="5511"/>
    <cfRule type="duplicateValues" dxfId="12258" priority="5512"/>
    <cfRule type="duplicateValues" dxfId="12257" priority="5513"/>
    <cfRule type="duplicateValues" dxfId="12256" priority="5514"/>
    <cfRule type="duplicateValues" dxfId="12255" priority="5515"/>
    <cfRule type="duplicateValues" dxfId="12254" priority="5516"/>
    <cfRule type="duplicateValues" dxfId="12253" priority="5517"/>
    <cfRule type="duplicateValues" dxfId="12252" priority="5518"/>
    <cfRule type="duplicateValues" dxfId="12251" priority="5519"/>
    <cfRule type="duplicateValues" dxfId="12250" priority="5520"/>
    <cfRule type="duplicateValues" dxfId="12249" priority="5521"/>
    <cfRule type="duplicateValues" dxfId="12248" priority="5522"/>
    <cfRule type="duplicateValues" dxfId="12247" priority="5523"/>
    <cfRule type="duplicateValues" dxfId="12246" priority="5524"/>
    <cfRule type="duplicateValues" dxfId="12245" priority="5525"/>
    <cfRule type="duplicateValues" dxfId="12244" priority="5526"/>
    <cfRule type="duplicateValues" dxfId="12243" priority="5527"/>
    <cfRule type="duplicateValues" dxfId="12242" priority="5528"/>
    <cfRule type="duplicateValues" dxfId="12241" priority="5529"/>
    <cfRule type="duplicateValues" dxfId="12240" priority="5530"/>
    <cfRule type="duplicateValues" dxfId="12239" priority="5531"/>
    <cfRule type="duplicateValues" dxfId="12238" priority="5532"/>
    <cfRule type="duplicateValues" dxfId="12237" priority="5533"/>
    <cfRule type="duplicateValues" dxfId="12236" priority="5534"/>
    <cfRule type="duplicateValues" dxfId="12235" priority="5535"/>
    <cfRule type="duplicateValues" dxfId="12234" priority="5536"/>
    <cfRule type="duplicateValues" dxfId="12233" priority="5537"/>
    <cfRule type="duplicateValues" dxfId="12232" priority="5538"/>
    <cfRule type="duplicateValues" dxfId="12231" priority="5539"/>
  </conditionalFormatting>
  <conditionalFormatting sqref="B304">
    <cfRule type="duplicateValues" dxfId="12230" priority="5384"/>
    <cfRule type="duplicateValues" dxfId="12229" priority="5385"/>
    <cfRule type="duplicateValues" dxfId="12228" priority="5386"/>
    <cfRule type="duplicateValues" dxfId="12227" priority="5387"/>
    <cfRule type="duplicateValues" dxfId="12226" priority="5388"/>
    <cfRule type="duplicateValues" dxfId="12225" priority="5389"/>
    <cfRule type="duplicateValues" dxfId="12224" priority="5390"/>
    <cfRule type="duplicateValues" dxfId="12223" priority="5391"/>
    <cfRule type="duplicateValues" dxfId="12222" priority="5392"/>
    <cfRule type="duplicateValues" dxfId="12221" priority="5393"/>
    <cfRule type="duplicateValues" dxfId="12220" priority="5394"/>
    <cfRule type="duplicateValues" dxfId="12219" priority="5395"/>
    <cfRule type="duplicateValues" dxfId="12218" priority="5396"/>
    <cfRule type="duplicateValues" dxfId="12217" priority="5397"/>
    <cfRule type="duplicateValues" dxfId="12216" priority="5398"/>
    <cfRule type="duplicateValues" dxfId="12215" priority="5399"/>
    <cfRule type="duplicateValues" dxfId="12214" priority="5400"/>
    <cfRule type="duplicateValues" dxfId="12213" priority="5401"/>
    <cfRule type="duplicateValues" dxfId="12212" priority="5407"/>
    <cfRule type="duplicateValues" dxfId="12211" priority="5408"/>
    <cfRule type="duplicateValues" dxfId="12210" priority="5409"/>
    <cfRule type="duplicateValues" dxfId="12209" priority="5410"/>
    <cfRule type="duplicateValues" dxfId="12208" priority="5411"/>
    <cfRule type="duplicateValues" dxfId="12207" priority="5412"/>
    <cfRule type="duplicateValues" dxfId="12206" priority="5413"/>
    <cfRule type="duplicateValues" dxfId="12205" priority="5414"/>
    <cfRule type="duplicateValues" dxfId="12204" priority="5415"/>
    <cfRule type="duplicateValues" dxfId="12203" priority="5416"/>
    <cfRule type="duplicateValues" dxfId="12202" priority="5417"/>
    <cfRule type="duplicateValues" dxfId="12201" priority="5418"/>
    <cfRule type="duplicateValues" dxfId="12200" priority="5419"/>
    <cfRule type="duplicateValues" dxfId="12199" priority="5420"/>
    <cfRule type="duplicateValues" dxfId="12198" priority="5421"/>
    <cfRule type="duplicateValues" dxfId="12197" priority="5422"/>
    <cfRule type="duplicateValues" dxfId="12196" priority="5423"/>
    <cfRule type="duplicateValues" dxfId="12195" priority="5424"/>
    <cfRule type="duplicateValues" dxfId="12194" priority="5425"/>
    <cfRule type="duplicateValues" dxfId="12193" priority="5426"/>
    <cfRule type="duplicateValues" dxfId="12192" priority="5427"/>
    <cfRule type="duplicateValues" dxfId="12191" priority="5428"/>
    <cfRule type="duplicateValues" dxfId="12190" priority="5429"/>
    <cfRule type="duplicateValues" dxfId="12189" priority="5430"/>
    <cfRule type="duplicateValues" dxfId="12188" priority="5431"/>
    <cfRule type="duplicateValues" dxfId="12187" priority="5432"/>
    <cfRule type="duplicateValues" dxfId="12186" priority="5433"/>
    <cfRule type="duplicateValues" dxfId="12185" priority="5434"/>
    <cfRule type="duplicateValues" dxfId="12184" priority="5435"/>
    <cfRule type="duplicateValues" dxfId="12183" priority="5436"/>
    <cfRule type="duplicateValues" dxfId="12182" priority="5437"/>
    <cfRule type="duplicateValues" dxfId="12181" priority="5438"/>
    <cfRule type="duplicateValues" dxfId="12180" priority="5439"/>
    <cfRule type="duplicateValues" dxfId="12179" priority="5440"/>
    <cfRule type="duplicateValues" dxfId="12178" priority="5441"/>
    <cfRule type="duplicateValues" dxfId="12177" priority="5442"/>
    <cfRule type="duplicateValues" dxfId="12176" priority="5443"/>
    <cfRule type="duplicateValues" dxfId="12175" priority="5444"/>
    <cfRule type="duplicateValues" dxfId="12174" priority="5445"/>
    <cfRule type="duplicateValues" dxfId="12173" priority="5446"/>
    <cfRule type="duplicateValues" dxfId="12172" priority="5447"/>
    <cfRule type="duplicateValues" dxfId="12171" priority="5448"/>
    <cfRule type="duplicateValues" dxfId="12170" priority="5368"/>
    <cfRule type="duplicateValues" dxfId="12169" priority="5355"/>
    <cfRule type="duplicateValues" dxfId="12168" priority="5322"/>
    <cfRule type="duplicateValues" dxfId="12167" priority="5323"/>
    <cfRule type="duplicateValues" dxfId="12166" priority="5324"/>
    <cfRule type="duplicateValues" dxfId="12165" priority="5325"/>
    <cfRule type="duplicateValues" dxfId="12164" priority="5326"/>
    <cfRule type="duplicateValues" dxfId="12163" priority="5327"/>
    <cfRule type="duplicateValues" dxfId="12162" priority="5328"/>
    <cfRule type="duplicateValues" dxfId="12161" priority="5329"/>
    <cfRule type="duplicateValues" dxfId="12160" priority="5330"/>
    <cfRule type="duplicateValues" dxfId="12159" priority="5331"/>
    <cfRule type="duplicateValues" dxfId="12158" priority="5332"/>
    <cfRule type="duplicateValues" dxfId="12157" priority="5333"/>
    <cfRule type="duplicateValues" dxfId="12156" priority="5334"/>
    <cfRule type="duplicateValues" dxfId="12155" priority="5335"/>
    <cfRule type="duplicateValues" dxfId="12154" priority="5336"/>
    <cfRule type="duplicateValues" dxfId="12153" priority="5337"/>
    <cfRule type="duplicateValues" dxfId="12152" priority="5338"/>
    <cfRule type="duplicateValues" dxfId="12151" priority="5339"/>
    <cfRule type="duplicateValues" dxfId="12150" priority="5340"/>
    <cfRule type="duplicateValues" dxfId="12149" priority="5341"/>
    <cfRule type="duplicateValues" dxfId="12148" priority="5342"/>
    <cfRule type="duplicateValues" dxfId="12147" priority="5343"/>
    <cfRule type="duplicateValues" dxfId="12146" priority="5344"/>
    <cfRule type="duplicateValues" dxfId="12145" priority="5345"/>
    <cfRule type="duplicateValues" dxfId="12144" priority="5346"/>
    <cfRule type="duplicateValues" dxfId="12143" priority="5347"/>
    <cfRule type="duplicateValues" dxfId="12142" priority="5348"/>
    <cfRule type="duplicateValues" dxfId="12141" priority="5349"/>
    <cfRule type="duplicateValues" dxfId="12140" priority="5350"/>
    <cfRule type="duplicateValues" dxfId="12139" priority="5351"/>
    <cfRule type="duplicateValues" dxfId="12138" priority="5352"/>
    <cfRule type="duplicateValues" dxfId="12137" priority="5353"/>
    <cfRule type="duplicateValues" dxfId="12136" priority="5354"/>
    <cfRule type="duplicateValues" dxfId="12135" priority="5356"/>
    <cfRule type="duplicateValues" dxfId="12134" priority="5357"/>
    <cfRule type="duplicateValues" dxfId="12133" priority="5358"/>
    <cfRule type="duplicateValues" dxfId="12132" priority="5359"/>
    <cfRule type="duplicateValues" dxfId="12131" priority="5360"/>
    <cfRule type="duplicateValues" dxfId="12130" priority="5361"/>
    <cfRule type="duplicateValues" dxfId="12129" priority="5362"/>
    <cfRule type="duplicateValues" dxfId="12128" priority="5363"/>
    <cfRule type="duplicateValues" dxfId="12127" priority="5364"/>
    <cfRule type="duplicateValues" dxfId="12126" priority="5365"/>
    <cfRule type="duplicateValues" dxfId="12125" priority="5366"/>
    <cfRule type="duplicateValues" dxfId="12124" priority="5367"/>
    <cfRule type="duplicateValues" dxfId="12123" priority="5369"/>
    <cfRule type="duplicateValues" dxfId="12122" priority="5370"/>
    <cfRule type="duplicateValues" dxfId="12121" priority="5371"/>
    <cfRule type="duplicateValues" dxfId="12120" priority="5372"/>
    <cfRule type="duplicateValues" dxfId="12119" priority="5373"/>
    <cfRule type="duplicateValues" dxfId="12118" priority="5374"/>
    <cfRule type="duplicateValues" dxfId="12117" priority="5375"/>
    <cfRule type="duplicateValues" dxfId="12116" priority="5376"/>
    <cfRule type="duplicateValues" dxfId="12115" priority="5377"/>
    <cfRule type="duplicateValues" dxfId="12114" priority="5378"/>
    <cfRule type="duplicateValues" dxfId="12113" priority="5379"/>
    <cfRule type="duplicateValues" dxfId="12112" priority="5380"/>
    <cfRule type="duplicateValues" dxfId="12111" priority="5381"/>
    <cfRule type="duplicateValues" dxfId="12110" priority="5382"/>
    <cfRule type="duplicateValues" dxfId="12109" priority="5383"/>
  </conditionalFormatting>
  <conditionalFormatting sqref="B305:B307">
    <cfRule type="duplicateValues" dxfId="12108" priority="5303"/>
    <cfRule type="duplicateValues" dxfId="12107" priority="5255"/>
    <cfRule type="duplicateValues" dxfId="12106" priority="5321"/>
    <cfRule type="duplicateValues" dxfId="12105" priority="5320"/>
    <cfRule type="duplicateValues" dxfId="12104" priority="5319"/>
    <cfRule type="duplicateValues" dxfId="12103" priority="5318"/>
    <cfRule type="duplicateValues" dxfId="12102" priority="5317"/>
    <cfRule type="duplicateValues" dxfId="12101" priority="5316"/>
    <cfRule type="duplicateValues" dxfId="12100" priority="5315"/>
    <cfRule type="duplicateValues" dxfId="12099" priority="5314"/>
    <cfRule type="duplicateValues" dxfId="12098" priority="5313"/>
    <cfRule type="duplicateValues" dxfId="12097" priority="5312"/>
    <cfRule type="duplicateValues" dxfId="12096" priority="5311"/>
    <cfRule type="duplicateValues" dxfId="12095" priority="5310"/>
    <cfRule type="duplicateValues" dxfId="12094" priority="5309"/>
    <cfRule type="duplicateValues" dxfId="12093" priority="5308"/>
    <cfRule type="duplicateValues" dxfId="12092" priority="5307"/>
    <cfRule type="duplicateValues" dxfId="12091" priority="5306"/>
    <cfRule type="duplicateValues" dxfId="12090" priority="5305"/>
    <cfRule type="duplicateValues" dxfId="12089" priority="5304"/>
    <cfRule type="duplicateValues" dxfId="12088" priority="5263"/>
    <cfRule type="duplicateValues" dxfId="12087" priority="5302"/>
    <cfRule type="duplicateValues" dxfId="12086" priority="5301"/>
    <cfRule type="duplicateValues" dxfId="12085" priority="5300"/>
    <cfRule type="duplicateValues" dxfId="12084" priority="5299"/>
    <cfRule type="duplicateValues" dxfId="12083" priority="5298"/>
    <cfRule type="duplicateValues" dxfId="12082" priority="5297"/>
    <cfRule type="duplicateValues" dxfId="12081" priority="5296"/>
    <cfRule type="duplicateValues" dxfId="12080" priority="5256"/>
    <cfRule type="duplicateValues" dxfId="12079" priority="5257"/>
    <cfRule type="duplicateValues" dxfId="12078" priority="5258"/>
    <cfRule type="duplicateValues" dxfId="12077" priority="5259"/>
    <cfRule type="duplicateValues" dxfId="12076" priority="5260"/>
    <cfRule type="duplicateValues" dxfId="12075" priority="5261"/>
    <cfRule type="duplicateValues" dxfId="12074" priority="5241"/>
    <cfRule type="duplicateValues" dxfId="12073" priority="5242"/>
    <cfRule type="duplicateValues" dxfId="12072" priority="5262"/>
    <cfRule type="duplicateValues" dxfId="12071" priority="5243"/>
    <cfRule type="duplicateValues" dxfId="12070" priority="5244"/>
    <cfRule type="duplicateValues" dxfId="12069" priority="5245"/>
    <cfRule type="duplicateValues" dxfId="12068" priority="5246"/>
    <cfRule type="duplicateValues" dxfId="12067" priority="5247"/>
    <cfRule type="duplicateValues" dxfId="12066" priority="5248"/>
    <cfRule type="duplicateValues" dxfId="12065" priority="5249"/>
    <cfRule type="duplicateValues" dxfId="12064" priority="5250"/>
    <cfRule type="duplicateValues" dxfId="12063" priority="5251"/>
    <cfRule type="duplicateValues" dxfId="12062" priority="5252"/>
    <cfRule type="duplicateValues" dxfId="12061" priority="5253"/>
    <cfRule type="duplicateValues" dxfId="12060" priority="5293"/>
    <cfRule type="duplicateValues" dxfId="12059" priority="5292"/>
    <cfRule type="duplicateValues" dxfId="12058" priority="5254"/>
    <cfRule type="duplicateValues" dxfId="12057" priority="5264"/>
    <cfRule type="duplicateValues" dxfId="12056" priority="5265"/>
    <cfRule type="duplicateValues" dxfId="12055" priority="5266"/>
    <cfRule type="duplicateValues" dxfId="12054" priority="5267"/>
    <cfRule type="duplicateValues" dxfId="12053" priority="5268"/>
    <cfRule type="duplicateValues" dxfId="12052" priority="5269"/>
    <cfRule type="duplicateValues" dxfId="12051" priority="5270"/>
    <cfRule type="duplicateValues" dxfId="12050" priority="5271"/>
    <cfRule type="duplicateValues" dxfId="12049" priority="5272"/>
    <cfRule type="duplicateValues" dxfId="12048" priority="5273"/>
    <cfRule type="duplicateValues" dxfId="12047" priority="5274"/>
    <cfRule type="duplicateValues" dxfId="12046" priority="5275"/>
    <cfRule type="duplicateValues" dxfId="12045" priority="5276"/>
    <cfRule type="duplicateValues" dxfId="12044" priority="5277"/>
    <cfRule type="duplicateValues" dxfId="12043" priority="5278"/>
    <cfRule type="duplicateValues" dxfId="12042" priority="5279"/>
    <cfRule type="duplicateValues" dxfId="12041" priority="5280"/>
    <cfRule type="duplicateValues" dxfId="12040" priority="5281"/>
    <cfRule type="duplicateValues" dxfId="12039" priority="5282"/>
    <cfRule type="duplicateValues" dxfId="12038" priority="5283"/>
    <cfRule type="duplicateValues" dxfId="12037" priority="5284"/>
    <cfRule type="duplicateValues" dxfId="12036" priority="5285"/>
    <cfRule type="duplicateValues" dxfId="12035" priority="5286"/>
    <cfRule type="duplicateValues" dxfId="12034" priority="5287"/>
    <cfRule type="duplicateValues" dxfId="12033" priority="5288"/>
    <cfRule type="duplicateValues" dxfId="12032" priority="5289"/>
    <cfRule type="duplicateValues" dxfId="12031" priority="5290"/>
    <cfRule type="duplicateValues" dxfId="12030" priority="5291"/>
    <cfRule type="duplicateValues" dxfId="12029" priority="5295"/>
    <cfRule type="duplicateValues" dxfId="12028" priority="5294"/>
  </conditionalFormatting>
  <conditionalFormatting sqref="B308:B310">
    <cfRule type="duplicateValues" dxfId="12027" priority="5170"/>
    <cfRule type="duplicateValues" dxfId="12026" priority="5200"/>
    <cfRule type="duplicateValues" dxfId="12025" priority="5230"/>
    <cfRule type="duplicateValues" dxfId="12024" priority="5212"/>
    <cfRule type="duplicateValues" dxfId="12023" priority="5213"/>
    <cfRule type="duplicateValues" dxfId="12022" priority="5214"/>
    <cfRule type="duplicateValues" dxfId="12021" priority="5215"/>
    <cfRule type="duplicateValues" dxfId="12020" priority="5216"/>
    <cfRule type="duplicateValues" dxfId="12019" priority="5217"/>
    <cfRule type="duplicateValues" dxfId="12018" priority="5218"/>
    <cfRule type="duplicateValues" dxfId="12017" priority="5219"/>
    <cfRule type="duplicateValues" dxfId="12016" priority="5220"/>
    <cfRule type="duplicateValues" dxfId="12015" priority="5221"/>
    <cfRule type="duplicateValues" dxfId="12014" priority="5222"/>
    <cfRule type="duplicateValues" dxfId="12013" priority="5223"/>
    <cfRule type="duplicateValues" dxfId="12012" priority="5224"/>
    <cfRule type="duplicateValues" dxfId="12011" priority="5225"/>
    <cfRule type="duplicateValues" dxfId="12010" priority="5226"/>
    <cfRule type="duplicateValues" dxfId="12009" priority="5227"/>
    <cfRule type="duplicateValues" dxfId="12008" priority="5228"/>
    <cfRule type="duplicateValues" dxfId="12007" priority="5229"/>
    <cfRule type="duplicateValues" dxfId="12006" priority="5231"/>
    <cfRule type="duplicateValues" dxfId="12005" priority="5233"/>
    <cfRule type="duplicateValues" dxfId="12004" priority="5234"/>
    <cfRule type="duplicateValues" dxfId="12003" priority="5235"/>
    <cfRule type="duplicateValues" dxfId="12002" priority="5236"/>
    <cfRule type="duplicateValues" dxfId="12001" priority="5237"/>
    <cfRule type="duplicateValues" dxfId="12000" priority="5238"/>
    <cfRule type="duplicateValues" dxfId="11999" priority="5239"/>
    <cfRule type="duplicateValues" dxfId="11998" priority="5160"/>
    <cfRule type="duplicateValues" dxfId="11997" priority="5161"/>
    <cfRule type="duplicateValues" dxfId="11996" priority="5162"/>
    <cfRule type="duplicateValues" dxfId="11995" priority="5163"/>
    <cfRule type="duplicateValues" dxfId="11994" priority="5164"/>
    <cfRule type="duplicateValues" dxfId="11993" priority="5165"/>
    <cfRule type="duplicateValues" dxfId="11992" priority="5166"/>
    <cfRule type="duplicateValues" dxfId="11991" priority="5167"/>
    <cfRule type="duplicateValues" dxfId="11990" priority="5168"/>
    <cfRule type="duplicateValues" dxfId="11989" priority="5169"/>
    <cfRule type="duplicateValues" dxfId="11988" priority="5240"/>
    <cfRule type="duplicateValues" dxfId="11987" priority="5171"/>
    <cfRule type="duplicateValues" dxfId="11986" priority="5172"/>
    <cfRule type="duplicateValues" dxfId="11985" priority="5173"/>
    <cfRule type="duplicateValues" dxfId="11984" priority="5174"/>
    <cfRule type="duplicateValues" dxfId="11983" priority="5175"/>
    <cfRule type="duplicateValues" dxfId="11982" priority="5176"/>
    <cfRule type="duplicateValues" dxfId="11981" priority="5177"/>
    <cfRule type="duplicateValues" dxfId="11980" priority="5178"/>
    <cfRule type="duplicateValues" dxfId="11979" priority="5179"/>
    <cfRule type="duplicateValues" dxfId="11978" priority="5180"/>
    <cfRule type="duplicateValues" dxfId="11977" priority="5181"/>
    <cfRule type="duplicateValues" dxfId="11976" priority="5182"/>
    <cfRule type="duplicateValues" dxfId="11975" priority="5183"/>
    <cfRule type="duplicateValues" dxfId="11974" priority="5184"/>
    <cfRule type="duplicateValues" dxfId="11973" priority="5185"/>
    <cfRule type="duplicateValues" dxfId="11972" priority="5186"/>
    <cfRule type="duplicateValues" dxfId="11971" priority="5187"/>
    <cfRule type="duplicateValues" dxfId="11970" priority="5188"/>
    <cfRule type="duplicateValues" dxfId="11969" priority="5189"/>
    <cfRule type="duplicateValues" dxfId="11968" priority="5190"/>
    <cfRule type="duplicateValues" dxfId="11967" priority="5191"/>
    <cfRule type="duplicateValues" dxfId="11966" priority="5192"/>
    <cfRule type="duplicateValues" dxfId="11965" priority="5193"/>
    <cfRule type="duplicateValues" dxfId="11964" priority="5194"/>
    <cfRule type="duplicateValues" dxfId="11963" priority="5195"/>
    <cfRule type="duplicateValues" dxfId="11962" priority="5196"/>
    <cfRule type="duplicateValues" dxfId="11961" priority="5197"/>
    <cfRule type="duplicateValues" dxfId="11960" priority="5198"/>
    <cfRule type="duplicateValues" dxfId="11959" priority="5199"/>
    <cfRule type="duplicateValues" dxfId="11958" priority="5232"/>
    <cfRule type="duplicateValues" dxfId="11957" priority="5201"/>
    <cfRule type="duplicateValues" dxfId="11956" priority="5202"/>
    <cfRule type="duplicateValues" dxfId="11955" priority="5203"/>
    <cfRule type="duplicateValues" dxfId="11954" priority="5204"/>
    <cfRule type="duplicateValues" dxfId="11953" priority="5205"/>
    <cfRule type="duplicateValues" dxfId="11952" priority="5206"/>
    <cfRule type="duplicateValues" dxfId="11951" priority="5207"/>
    <cfRule type="duplicateValues" dxfId="11950" priority="5208"/>
    <cfRule type="duplicateValues" dxfId="11949" priority="5209"/>
    <cfRule type="duplicateValues" dxfId="11948" priority="5210"/>
    <cfRule type="duplicateValues" dxfId="11947" priority="5211"/>
  </conditionalFormatting>
  <conditionalFormatting sqref="B310">
    <cfRule type="duplicateValues" dxfId="11946" priority="5079"/>
    <cfRule type="duplicateValues" dxfId="11945" priority="5080"/>
    <cfRule type="duplicateValues" dxfId="11944" priority="5081"/>
    <cfRule type="duplicateValues" dxfId="11943" priority="5082"/>
    <cfRule type="duplicateValues" dxfId="11942" priority="5083"/>
    <cfRule type="duplicateValues" dxfId="11941" priority="5084"/>
    <cfRule type="duplicateValues" dxfId="11940" priority="5085"/>
    <cfRule type="duplicateValues" dxfId="11939" priority="5086"/>
    <cfRule type="duplicateValues" dxfId="11938" priority="5087"/>
    <cfRule type="duplicateValues" dxfId="11937" priority="5088"/>
    <cfRule type="duplicateValues" dxfId="11936" priority="5089"/>
    <cfRule type="duplicateValues" dxfId="11935" priority="5090"/>
    <cfRule type="duplicateValues" dxfId="11934" priority="5091"/>
    <cfRule type="duplicateValues" dxfId="11933" priority="5092"/>
    <cfRule type="duplicateValues" dxfId="11932" priority="5093"/>
    <cfRule type="duplicateValues" dxfId="11931" priority="5094"/>
    <cfRule type="duplicateValues" dxfId="11930" priority="5095"/>
    <cfRule type="duplicateValues" dxfId="11929" priority="5096"/>
    <cfRule type="duplicateValues" dxfId="11928" priority="5097"/>
    <cfRule type="duplicateValues" dxfId="11927" priority="5098"/>
    <cfRule type="duplicateValues" dxfId="11926" priority="5099"/>
    <cfRule type="duplicateValues" dxfId="11925" priority="5100"/>
    <cfRule type="duplicateValues" dxfId="11924" priority="5101"/>
    <cfRule type="duplicateValues" dxfId="11923" priority="5102"/>
    <cfRule type="duplicateValues" dxfId="11922" priority="5103"/>
    <cfRule type="duplicateValues" dxfId="11921" priority="5104"/>
    <cfRule type="duplicateValues" dxfId="11920" priority="5105"/>
    <cfRule type="duplicateValues" dxfId="11919" priority="5106"/>
    <cfRule type="duplicateValues" dxfId="11918" priority="5107"/>
    <cfRule type="duplicateValues" dxfId="11917" priority="5108"/>
    <cfRule type="duplicateValues" dxfId="11916" priority="5109"/>
    <cfRule type="duplicateValues" dxfId="11915" priority="5111"/>
    <cfRule type="duplicateValues" dxfId="11914" priority="5112"/>
    <cfRule type="duplicateValues" dxfId="11913" priority="5113"/>
    <cfRule type="duplicateValues" dxfId="11912" priority="5114"/>
    <cfRule type="duplicateValues" dxfId="11911" priority="5115"/>
    <cfRule type="duplicateValues" dxfId="11910" priority="5116"/>
    <cfRule type="duplicateValues" dxfId="11909" priority="5117"/>
    <cfRule type="duplicateValues" dxfId="11908" priority="5118"/>
    <cfRule type="duplicateValues" dxfId="11907" priority="5119"/>
    <cfRule type="duplicateValues" dxfId="11906" priority="5120"/>
    <cfRule type="duplicateValues" dxfId="11905" priority="5121"/>
    <cfRule type="duplicateValues" dxfId="11904" priority="5122"/>
    <cfRule type="duplicateValues" dxfId="11903" priority="5123"/>
    <cfRule type="duplicateValues" dxfId="11902" priority="5124"/>
    <cfRule type="duplicateValues" dxfId="11901" priority="5125"/>
    <cfRule type="duplicateValues" dxfId="11900" priority="5126"/>
    <cfRule type="duplicateValues" dxfId="11899" priority="5127"/>
    <cfRule type="duplicateValues" dxfId="11898" priority="5128"/>
    <cfRule type="duplicateValues" dxfId="11897" priority="5129"/>
    <cfRule type="duplicateValues" dxfId="11896" priority="5130"/>
    <cfRule type="duplicateValues" dxfId="11895" priority="5131"/>
    <cfRule type="duplicateValues" dxfId="11894" priority="5132"/>
    <cfRule type="duplicateValues" dxfId="11893" priority="5133"/>
    <cfRule type="duplicateValues" dxfId="11892" priority="5134"/>
    <cfRule type="duplicateValues" dxfId="11891" priority="5135"/>
    <cfRule type="duplicateValues" dxfId="11890" priority="5136"/>
    <cfRule type="duplicateValues" dxfId="11889" priority="5137"/>
    <cfRule type="duplicateValues" dxfId="11888" priority="5138"/>
    <cfRule type="duplicateValues" dxfId="11887" priority="5139"/>
    <cfRule type="duplicateValues" dxfId="11886" priority="5140"/>
    <cfRule type="duplicateValues" dxfId="11885" priority="5141"/>
    <cfRule type="duplicateValues" dxfId="11884" priority="5142"/>
    <cfRule type="duplicateValues" dxfId="11883" priority="5143"/>
    <cfRule type="duplicateValues" dxfId="11882" priority="5144"/>
    <cfRule type="duplicateValues" dxfId="11881" priority="5145"/>
    <cfRule type="duplicateValues" dxfId="11880" priority="5146"/>
    <cfRule type="duplicateValues" dxfId="11879" priority="5147"/>
    <cfRule type="duplicateValues" dxfId="11878" priority="5148"/>
    <cfRule type="duplicateValues" dxfId="11877" priority="5149"/>
    <cfRule type="duplicateValues" dxfId="11876" priority="5150"/>
    <cfRule type="duplicateValues" dxfId="11875" priority="5151"/>
    <cfRule type="duplicateValues" dxfId="11874" priority="5152"/>
    <cfRule type="duplicateValues" dxfId="11873" priority="5153"/>
    <cfRule type="duplicateValues" dxfId="11872" priority="5154"/>
    <cfRule type="duplicateValues" dxfId="11871" priority="5155"/>
    <cfRule type="duplicateValues" dxfId="11870" priority="5156"/>
    <cfRule type="duplicateValues" dxfId="11869" priority="5157"/>
    <cfRule type="duplicateValues" dxfId="11868" priority="5158"/>
    <cfRule type="duplicateValues" dxfId="11867" priority="5159"/>
    <cfRule type="duplicateValues" dxfId="11866" priority="5110"/>
  </conditionalFormatting>
  <conditionalFormatting sqref="B313">
    <cfRule type="duplicateValues" dxfId="11865" priority="4972"/>
    <cfRule type="duplicateValues" dxfId="11864" priority="4971"/>
    <cfRule type="duplicateValues" dxfId="11863" priority="4969"/>
    <cfRule type="duplicateValues" dxfId="11862" priority="4970"/>
    <cfRule type="duplicateValues" dxfId="11861" priority="4952"/>
    <cfRule type="duplicateValues" dxfId="11860" priority="4994"/>
    <cfRule type="duplicateValues" dxfId="11859" priority="4993"/>
    <cfRule type="duplicateValues" dxfId="11858" priority="4992"/>
    <cfRule type="duplicateValues" dxfId="11857" priority="4991"/>
    <cfRule type="duplicateValues" dxfId="11856" priority="4990"/>
    <cfRule type="duplicateValues" dxfId="11855" priority="4989"/>
    <cfRule type="duplicateValues" dxfId="11854" priority="4988"/>
    <cfRule type="duplicateValues" dxfId="11853" priority="4987"/>
    <cfRule type="duplicateValues" dxfId="11852" priority="4986"/>
    <cfRule type="duplicateValues" dxfId="11851" priority="4985"/>
    <cfRule type="duplicateValues" dxfId="11850" priority="4984"/>
    <cfRule type="duplicateValues" dxfId="11849" priority="4983"/>
    <cfRule type="duplicateValues" dxfId="11848" priority="4982"/>
    <cfRule type="duplicateValues" dxfId="11847" priority="4981"/>
    <cfRule type="duplicateValues" dxfId="11846" priority="4980"/>
    <cfRule type="duplicateValues" dxfId="11845" priority="4979"/>
    <cfRule type="duplicateValues" dxfId="11844" priority="4978"/>
    <cfRule type="duplicateValues" dxfId="11843" priority="4977"/>
    <cfRule type="duplicateValues" dxfId="11842" priority="4976"/>
    <cfRule type="duplicateValues" dxfId="11841" priority="4975"/>
    <cfRule type="duplicateValues" dxfId="11840" priority="4974"/>
    <cfRule type="duplicateValues" dxfId="11839" priority="4973"/>
    <cfRule type="duplicateValues" dxfId="11838" priority="4939"/>
    <cfRule type="duplicateValues" dxfId="11837" priority="4914"/>
    <cfRule type="duplicateValues" dxfId="11836" priority="4915"/>
    <cfRule type="duplicateValues" dxfId="11835" priority="4916"/>
    <cfRule type="duplicateValues" dxfId="11834" priority="4917"/>
    <cfRule type="duplicateValues" dxfId="11833" priority="4918"/>
    <cfRule type="duplicateValues" dxfId="11832" priority="4919"/>
    <cfRule type="duplicateValues" dxfId="11831" priority="4920"/>
    <cfRule type="duplicateValues" dxfId="11830" priority="4921"/>
    <cfRule type="duplicateValues" dxfId="11829" priority="4922"/>
    <cfRule type="duplicateValues" dxfId="11828" priority="4923"/>
    <cfRule type="duplicateValues" dxfId="11827" priority="4924"/>
    <cfRule type="duplicateValues" dxfId="11826" priority="4925"/>
    <cfRule type="duplicateValues" dxfId="11825" priority="4926"/>
    <cfRule type="duplicateValues" dxfId="11824" priority="4927"/>
    <cfRule type="duplicateValues" dxfId="11823" priority="4928"/>
    <cfRule type="duplicateValues" dxfId="11822" priority="4929"/>
    <cfRule type="duplicateValues" dxfId="11821" priority="4930"/>
    <cfRule type="duplicateValues" dxfId="11820" priority="4931"/>
    <cfRule type="duplicateValues" dxfId="11819" priority="4932"/>
    <cfRule type="duplicateValues" dxfId="11818" priority="4933"/>
    <cfRule type="duplicateValues" dxfId="11817" priority="4934"/>
    <cfRule type="duplicateValues" dxfId="11816" priority="4935"/>
    <cfRule type="duplicateValues" dxfId="11815" priority="4936"/>
    <cfRule type="duplicateValues" dxfId="11814" priority="4937"/>
    <cfRule type="duplicateValues" dxfId="11813" priority="4938"/>
    <cfRule type="duplicateValues" dxfId="11812" priority="4940"/>
    <cfRule type="duplicateValues" dxfId="11811" priority="4941"/>
    <cfRule type="duplicateValues" dxfId="11810" priority="4942"/>
    <cfRule type="duplicateValues" dxfId="11809" priority="4943"/>
    <cfRule type="duplicateValues" dxfId="11808" priority="4944"/>
    <cfRule type="duplicateValues" dxfId="11807" priority="4945"/>
    <cfRule type="duplicateValues" dxfId="11806" priority="4946"/>
    <cfRule type="duplicateValues" dxfId="11805" priority="4947"/>
    <cfRule type="duplicateValues" dxfId="11804" priority="4948"/>
    <cfRule type="duplicateValues" dxfId="11803" priority="4949"/>
    <cfRule type="duplicateValues" dxfId="11802" priority="4950"/>
    <cfRule type="duplicateValues" dxfId="11801" priority="4951"/>
    <cfRule type="duplicateValues" dxfId="11800" priority="4953"/>
    <cfRule type="duplicateValues" dxfId="11799" priority="4954"/>
    <cfRule type="duplicateValues" dxfId="11798" priority="4955"/>
    <cfRule type="duplicateValues" dxfId="11797" priority="4956"/>
    <cfRule type="duplicateValues" dxfId="11796" priority="4957"/>
    <cfRule type="duplicateValues" dxfId="11795" priority="4958"/>
    <cfRule type="duplicateValues" dxfId="11794" priority="4959"/>
    <cfRule type="duplicateValues" dxfId="11793" priority="4960"/>
    <cfRule type="duplicateValues" dxfId="11792" priority="4961"/>
    <cfRule type="duplicateValues" dxfId="11791" priority="4962"/>
    <cfRule type="duplicateValues" dxfId="11790" priority="4963"/>
    <cfRule type="duplicateValues" dxfId="11789" priority="4964"/>
    <cfRule type="duplicateValues" dxfId="11788" priority="4965"/>
    <cfRule type="duplicateValues" dxfId="11787" priority="4966"/>
    <cfRule type="duplicateValues" dxfId="11786" priority="4967"/>
    <cfRule type="duplicateValues" dxfId="11785" priority="4968"/>
  </conditionalFormatting>
  <conditionalFormatting sqref="B314">
    <cfRule type="duplicateValues" dxfId="11784" priority="4837"/>
    <cfRule type="duplicateValues" dxfId="11783" priority="4838"/>
    <cfRule type="duplicateValues" dxfId="11782" priority="4839"/>
    <cfRule type="duplicateValues" dxfId="11781" priority="4840"/>
    <cfRule type="duplicateValues" dxfId="11780" priority="4841"/>
    <cfRule type="duplicateValues" dxfId="11779" priority="4842"/>
    <cfRule type="duplicateValues" dxfId="11778" priority="4843"/>
    <cfRule type="duplicateValues" dxfId="11777" priority="4844"/>
    <cfRule type="duplicateValues" dxfId="11776" priority="4845"/>
    <cfRule type="duplicateValues" dxfId="11775" priority="4846"/>
    <cfRule type="duplicateValues" dxfId="11774" priority="4847"/>
    <cfRule type="duplicateValues" dxfId="11773" priority="4849"/>
    <cfRule type="duplicateValues" dxfId="11772" priority="4850"/>
    <cfRule type="duplicateValues" dxfId="11771" priority="4851"/>
    <cfRule type="duplicateValues" dxfId="11770" priority="4852"/>
    <cfRule type="duplicateValues" dxfId="11769" priority="4853"/>
    <cfRule type="duplicateValues" dxfId="11768" priority="4854"/>
    <cfRule type="duplicateValues" dxfId="11767" priority="4855"/>
    <cfRule type="duplicateValues" dxfId="11766" priority="4856"/>
    <cfRule type="duplicateValues" dxfId="11765" priority="4857"/>
    <cfRule type="duplicateValues" dxfId="11764" priority="4858"/>
    <cfRule type="duplicateValues" dxfId="11763" priority="4859"/>
    <cfRule type="duplicateValues" dxfId="11762" priority="4860"/>
    <cfRule type="duplicateValues" dxfId="11761" priority="4861"/>
    <cfRule type="duplicateValues" dxfId="11760" priority="4862"/>
    <cfRule type="duplicateValues" dxfId="11759" priority="4863"/>
    <cfRule type="duplicateValues" dxfId="11758" priority="4864"/>
    <cfRule type="duplicateValues" dxfId="11757" priority="4865"/>
    <cfRule type="duplicateValues" dxfId="11756" priority="4866"/>
    <cfRule type="duplicateValues" dxfId="11755" priority="4867"/>
    <cfRule type="duplicateValues" dxfId="11754" priority="4868"/>
    <cfRule type="duplicateValues" dxfId="11753" priority="4869"/>
    <cfRule type="duplicateValues" dxfId="11752" priority="4870"/>
    <cfRule type="duplicateValues" dxfId="11751" priority="4871"/>
    <cfRule type="duplicateValues" dxfId="11750" priority="4872"/>
    <cfRule type="duplicateValues" dxfId="11749" priority="4873"/>
    <cfRule type="duplicateValues" dxfId="11748" priority="4874"/>
    <cfRule type="duplicateValues" dxfId="11747" priority="4875"/>
    <cfRule type="duplicateValues" dxfId="11746" priority="4876"/>
    <cfRule type="duplicateValues" dxfId="11745" priority="4877"/>
    <cfRule type="duplicateValues" dxfId="11744" priority="4848"/>
    <cfRule type="duplicateValues" dxfId="11743" priority="4879"/>
    <cfRule type="duplicateValues" dxfId="11742" priority="4880"/>
    <cfRule type="duplicateValues" dxfId="11741" priority="4881"/>
    <cfRule type="duplicateValues" dxfId="11740" priority="4882"/>
    <cfRule type="duplicateValues" dxfId="11739" priority="4883"/>
    <cfRule type="duplicateValues" dxfId="11738" priority="4884"/>
    <cfRule type="duplicateValues" dxfId="11737" priority="4885"/>
    <cfRule type="duplicateValues" dxfId="11736" priority="4886"/>
    <cfRule type="duplicateValues" dxfId="11735" priority="4887"/>
    <cfRule type="duplicateValues" dxfId="11734" priority="4888"/>
    <cfRule type="duplicateValues" dxfId="11733" priority="4889"/>
    <cfRule type="duplicateValues" dxfId="11732" priority="4890"/>
    <cfRule type="duplicateValues" dxfId="11731" priority="4891"/>
    <cfRule type="duplicateValues" dxfId="11730" priority="4892"/>
    <cfRule type="duplicateValues" dxfId="11729" priority="4893"/>
    <cfRule type="duplicateValues" dxfId="11728" priority="4894"/>
    <cfRule type="duplicateValues" dxfId="11727" priority="4895"/>
    <cfRule type="duplicateValues" dxfId="11726" priority="4896"/>
    <cfRule type="duplicateValues" dxfId="11725" priority="4897"/>
    <cfRule type="duplicateValues" dxfId="11724" priority="4898"/>
    <cfRule type="duplicateValues" dxfId="11723" priority="4899"/>
    <cfRule type="duplicateValues" dxfId="11722" priority="4900"/>
    <cfRule type="duplicateValues" dxfId="11721" priority="4901"/>
    <cfRule type="duplicateValues" dxfId="11720" priority="4902"/>
    <cfRule type="duplicateValues" dxfId="11719" priority="4903"/>
    <cfRule type="duplicateValues" dxfId="11718" priority="4904"/>
    <cfRule type="duplicateValues" dxfId="11717" priority="4905"/>
    <cfRule type="duplicateValues" dxfId="11716" priority="4906"/>
    <cfRule type="duplicateValues" dxfId="11715" priority="4678"/>
    <cfRule type="duplicateValues" dxfId="11714" priority="4679"/>
    <cfRule type="duplicateValues" dxfId="11713" priority="4680"/>
    <cfRule type="duplicateValues" dxfId="11712" priority="4681"/>
    <cfRule type="duplicateValues" dxfId="11711" priority="4682"/>
    <cfRule type="duplicateValues" dxfId="11710" priority="4683"/>
    <cfRule type="duplicateValues" dxfId="11709" priority="4684"/>
    <cfRule type="duplicateValues" dxfId="11708" priority="4685"/>
    <cfRule type="duplicateValues" dxfId="11707" priority="4686"/>
    <cfRule type="duplicateValues" dxfId="11706" priority="4687"/>
    <cfRule type="duplicateValues" dxfId="11705" priority="4688"/>
    <cfRule type="duplicateValues" dxfId="11704" priority="4689"/>
    <cfRule type="duplicateValues" dxfId="11703" priority="4690"/>
    <cfRule type="duplicateValues" dxfId="11702" priority="4691"/>
    <cfRule type="duplicateValues" dxfId="11701" priority="4692"/>
    <cfRule type="duplicateValues" dxfId="11700" priority="4693"/>
    <cfRule type="duplicateValues" dxfId="11699" priority="4694"/>
    <cfRule type="duplicateValues" dxfId="11698" priority="4695"/>
    <cfRule type="duplicateValues" dxfId="11697" priority="4696"/>
    <cfRule type="duplicateValues" dxfId="11696" priority="4697"/>
    <cfRule type="duplicateValues" dxfId="11695" priority="4698"/>
    <cfRule type="duplicateValues" dxfId="11694" priority="4699"/>
    <cfRule type="duplicateValues" dxfId="11693" priority="4700"/>
    <cfRule type="duplicateValues" dxfId="11692" priority="4701"/>
    <cfRule type="duplicateValues" dxfId="11691" priority="4702"/>
    <cfRule type="duplicateValues" dxfId="11690" priority="4703"/>
    <cfRule type="duplicateValues" dxfId="11689" priority="4704"/>
    <cfRule type="duplicateValues" dxfId="11688" priority="4705"/>
    <cfRule type="duplicateValues" dxfId="11687" priority="4706"/>
    <cfRule type="duplicateValues" dxfId="11686" priority="4907"/>
    <cfRule type="duplicateValues" dxfId="11685" priority="4908"/>
    <cfRule type="duplicateValues" dxfId="11684" priority="4626"/>
    <cfRule type="duplicateValues" dxfId="11683" priority="4910"/>
    <cfRule type="duplicateValues" dxfId="11682" priority="4911"/>
    <cfRule type="duplicateValues" dxfId="11681" priority="4912"/>
    <cfRule type="duplicateValues" dxfId="11680" priority="4913"/>
    <cfRule type="duplicateValues" dxfId="11679" priority="4677"/>
    <cfRule type="duplicateValues" dxfId="11678" priority="4676"/>
    <cfRule type="duplicateValues" dxfId="11677" priority="4675"/>
    <cfRule type="duplicateValues" dxfId="11676" priority="4627"/>
    <cfRule type="duplicateValues" dxfId="11675" priority="4628"/>
    <cfRule type="duplicateValues" dxfId="11674" priority="4629"/>
    <cfRule type="duplicateValues" dxfId="11673" priority="4630"/>
    <cfRule type="duplicateValues" dxfId="11672" priority="4631"/>
    <cfRule type="duplicateValues" dxfId="11671" priority="4632"/>
    <cfRule type="duplicateValues" dxfId="11670" priority="4633"/>
    <cfRule type="duplicateValues" dxfId="11669" priority="4634"/>
    <cfRule type="duplicateValues" dxfId="11668" priority="4635"/>
    <cfRule type="duplicateValues" dxfId="11667" priority="4636"/>
    <cfRule type="duplicateValues" dxfId="11666" priority="4637"/>
    <cfRule type="duplicateValues" dxfId="11665" priority="4638"/>
    <cfRule type="duplicateValues" dxfId="11664" priority="4639"/>
    <cfRule type="duplicateValues" dxfId="11663" priority="4641"/>
    <cfRule type="duplicateValues" dxfId="11662" priority="4642"/>
    <cfRule type="duplicateValues" dxfId="11661" priority="4643"/>
    <cfRule type="duplicateValues" dxfId="11660" priority="4644"/>
    <cfRule type="duplicateValues" dxfId="11659" priority="4645"/>
    <cfRule type="duplicateValues" dxfId="11658" priority="4646"/>
    <cfRule type="duplicateValues" dxfId="11657" priority="4647"/>
    <cfRule type="duplicateValues" dxfId="11656" priority="4648"/>
    <cfRule type="duplicateValues" dxfId="11655" priority="4649"/>
    <cfRule type="duplicateValues" dxfId="11654" priority="4878"/>
    <cfRule type="duplicateValues" dxfId="11653" priority="4650"/>
    <cfRule type="duplicateValues" dxfId="11652" priority="4651"/>
    <cfRule type="duplicateValues" dxfId="11651" priority="4652"/>
    <cfRule type="duplicateValues" dxfId="11650" priority="4653"/>
    <cfRule type="duplicateValues" dxfId="11649" priority="4654"/>
    <cfRule type="duplicateValues" dxfId="11648" priority="4655"/>
    <cfRule type="duplicateValues" dxfId="11647" priority="4656"/>
    <cfRule type="duplicateValues" dxfId="11646" priority="4657"/>
    <cfRule type="duplicateValues" dxfId="11645" priority="4658"/>
    <cfRule type="duplicateValues" dxfId="11644" priority="4659"/>
    <cfRule type="duplicateValues" dxfId="11643" priority="4660"/>
    <cfRule type="duplicateValues" dxfId="11642" priority="4661"/>
    <cfRule type="duplicateValues" dxfId="11641" priority="4640"/>
    <cfRule type="duplicateValues" dxfId="11640" priority="4662"/>
    <cfRule type="duplicateValues" dxfId="11639" priority="4663"/>
    <cfRule type="duplicateValues" dxfId="11638" priority="4664"/>
    <cfRule type="duplicateValues" dxfId="11637" priority="4665"/>
    <cfRule type="duplicateValues" dxfId="11636" priority="4666"/>
    <cfRule type="duplicateValues" dxfId="11635" priority="4667"/>
    <cfRule type="duplicateValues" dxfId="11634" priority="4668"/>
    <cfRule type="duplicateValues" dxfId="11633" priority="4669"/>
    <cfRule type="duplicateValues" dxfId="11632" priority="4670"/>
    <cfRule type="duplicateValues" dxfId="11631" priority="4671"/>
    <cfRule type="duplicateValues" dxfId="11630" priority="4672"/>
    <cfRule type="duplicateValues" dxfId="11629" priority="4673"/>
    <cfRule type="duplicateValues" dxfId="11628" priority="4674"/>
    <cfRule type="duplicateValues" dxfId="11627" priority="4834"/>
    <cfRule type="duplicateValues" dxfId="11626" priority="4835"/>
    <cfRule type="duplicateValues" dxfId="11625" priority="4836"/>
    <cfRule type="duplicateValues" dxfId="11624" priority="4909"/>
  </conditionalFormatting>
  <conditionalFormatting sqref="B315 B311">
    <cfRule type="duplicateValues" dxfId="11623" priority="5005"/>
    <cfRule type="duplicateValues" dxfId="11622" priority="5004"/>
    <cfRule type="duplicateValues" dxfId="11621" priority="5003"/>
    <cfRule type="duplicateValues" dxfId="11620" priority="5002"/>
    <cfRule type="duplicateValues" dxfId="11619" priority="5001"/>
    <cfRule type="duplicateValues" dxfId="11618" priority="5000"/>
    <cfRule type="duplicateValues" dxfId="11617" priority="4999"/>
    <cfRule type="duplicateValues" dxfId="11616" priority="4998"/>
    <cfRule type="duplicateValues" dxfId="11615" priority="4997"/>
    <cfRule type="duplicateValues" dxfId="11614" priority="4996"/>
    <cfRule type="duplicateValues" dxfId="11613" priority="4995"/>
    <cfRule type="duplicateValues" dxfId="11612" priority="5026"/>
    <cfRule type="duplicateValues" dxfId="11611" priority="5075"/>
    <cfRule type="duplicateValues" dxfId="11610" priority="5074"/>
    <cfRule type="duplicateValues" dxfId="11609" priority="5073"/>
    <cfRule type="duplicateValues" dxfId="11608" priority="5072"/>
    <cfRule type="duplicateValues" dxfId="11607" priority="5071"/>
    <cfRule type="duplicateValues" dxfId="11606" priority="5070"/>
    <cfRule type="duplicateValues" dxfId="11605" priority="5069"/>
    <cfRule type="duplicateValues" dxfId="11604" priority="5068"/>
    <cfRule type="duplicateValues" dxfId="11603" priority="5067"/>
    <cfRule type="duplicateValues" dxfId="11602" priority="5066"/>
    <cfRule type="duplicateValues" dxfId="11601" priority="5065"/>
    <cfRule type="duplicateValues" dxfId="11600" priority="5064"/>
    <cfRule type="duplicateValues" dxfId="11599" priority="5063"/>
    <cfRule type="duplicateValues" dxfId="11598" priority="5062"/>
    <cfRule type="duplicateValues" dxfId="11597" priority="5061"/>
    <cfRule type="duplicateValues" dxfId="11596" priority="5060"/>
    <cfRule type="duplicateValues" dxfId="11595" priority="5059"/>
    <cfRule type="duplicateValues" dxfId="11594" priority="5058"/>
    <cfRule type="duplicateValues" dxfId="11593" priority="5057"/>
    <cfRule type="duplicateValues" dxfId="11592" priority="5056"/>
    <cfRule type="duplicateValues" dxfId="11591" priority="5055"/>
    <cfRule type="duplicateValues" dxfId="11590" priority="5054"/>
    <cfRule type="duplicateValues" dxfId="11589" priority="5053"/>
    <cfRule type="duplicateValues" dxfId="11588" priority="5052"/>
    <cfRule type="duplicateValues" dxfId="11587" priority="5051"/>
    <cfRule type="duplicateValues" dxfId="11586" priority="5050"/>
    <cfRule type="duplicateValues" dxfId="11585" priority="5049"/>
    <cfRule type="duplicateValues" dxfId="11584" priority="5048"/>
    <cfRule type="duplicateValues" dxfId="11583" priority="5047"/>
    <cfRule type="duplicateValues" dxfId="11582" priority="5046"/>
    <cfRule type="duplicateValues" dxfId="11581" priority="5045"/>
    <cfRule type="duplicateValues" dxfId="11580" priority="5044"/>
    <cfRule type="duplicateValues" dxfId="11579" priority="5043"/>
    <cfRule type="duplicateValues" dxfId="11578" priority="5042"/>
    <cfRule type="duplicateValues" dxfId="11577" priority="5041"/>
    <cfRule type="duplicateValues" dxfId="11576" priority="5040"/>
    <cfRule type="duplicateValues" dxfId="11575" priority="5039"/>
    <cfRule type="duplicateValues" dxfId="11574" priority="5038"/>
    <cfRule type="duplicateValues" dxfId="11573" priority="5037"/>
    <cfRule type="duplicateValues" dxfId="11572" priority="5036"/>
    <cfRule type="duplicateValues" dxfId="11571" priority="5035"/>
    <cfRule type="duplicateValues" dxfId="11570" priority="5034"/>
    <cfRule type="duplicateValues" dxfId="11569" priority="5033"/>
    <cfRule type="duplicateValues" dxfId="11568" priority="5032"/>
    <cfRule type="duplicateValues" dxfId="11567" priority="5031"/>
    <cfRule type="duplicateValues" dxfId="11566" priority="5030"/>
    <cfRule type="duplicateValues" dxfId="11565" priority="5029"/>
    <cfRule type="duplicateValues" dxfId="11564" priority="5028"/>
    <cfRule type="duplicateValues" dxfId="11563" priority="5027"/>
    <cfRule type="duplicateValues" dxfId="11562" priority="5025"/>
    <cfRule type="duplicateValues" dxfId="11561" priority="5024"/>
    <cfRule type="duplicateValues" dxfId="11560" priority="5023"/>
    <cfRule type="duplicateValues" dxfId="11559" priority="5022"/>
    <cfRule type="duplicateValues" dxfId="11558" priority="5021"/>
    <cfRule type="duplicateValues" dxfId="11557" priority="5020"/>
    <cfRule type="duplicateValues" dxfId="11556" priority="5019"/>
    <cfRule type="duplicateValues" dxfId="11555" priority="5018"/>
    <cfRule type="duplicateValues" dxfId="11554" priority="5017"/>
    <cfRule type="duplicateValues" dxfId="11553" priority="5016"/>
    <cfRule type="duplicateValues" dxfId="11552" priority="5015"/>
    <cfRule type="duplicateValues" dxfId="11551" priority="5014"/>
    <cfRule type="duplicateValues" dxfId="11550" priority="5013"/>
    <cfRule type="duplicateValues" dxfId="11549" priority="5012"/>
    <cfRule type="duplicateValues" dxfId="11548" priority="5011"/>
    <cfRule type="duplicateValues" dxfId="11547" priority="5010"/>
    <cfRule type="duplicateValues" dxfId="11546" priority="5009"/>
    <cfRule type="duplicateValues" dxfId="11545" priority="5008"/>
    <cfRule type="duplicateValues" dxfId="11544" priority="5007"/>
    <cfRule type="duplicateValues" dxfId="11543" priority="5006"/>
  </conditionalFormatting>
  <conditionalFormatting sqref="B315">
    <cfRule type="duplicateValues" dxfId="11542" priority="4710"/>
    <cfRule type="duplicateValues" dxfId="11541" priority="4711"/>
    <cfRule type="duplicateValues" dxfId="11540" priority="4708"/>
    <cfRule type="duplicateValues" dxfId="11539" priority="4709"/>
    <cfRule type="duplicateValues" dxfId="11538" priority="4707"/>
    <cfRule type="duplicateValues" dxfId="11537" priority="4712"/>
  </conditionalFormatting>
  <conditionalFormatting sqref="B316">
    <cfRule type="duplicateValues" dxfId="11536" priority="4719"/>
    <cfRule type="duplicateValues" dxfId="11535" priority="4720"/>
    <cfRule type="duplicateValues" dxfId="11534" priority="4812"/>
    <cfRule type="duplicateValues" dxfId="11533" priority="4813"/>
    <cfRule type="duplicateValues" dxfId="11532" priority="4814"/>
    <cfRule type="duplicateValues" dxfId="11531" priority="4815"/>
    <cfRule type="duplicateValues" dxfId="11530" priority="4816"/>
    <cfRule type="duplicateValues" dxfId="11529" priority="4817"/>
    <cfRule type="duplicateValues" dxfId="11528" priority="4818"/>
    <cfRule type="duplicateValues" dxfId="11527" priority="4819"/>
    <cfRule type="duplicateValues" dxfId="11526" priority="4821"/>
    <cfRule type="duplicateValues" dxfId="11525" priority="4822"/>
    <cfRule type="duplicateValues" dxfId="11524" priority="4823"/>
    <cfRule type="duplicateValues" dxfId="11523" priority="4824"/>
    <cfRule type="duplicateValues" dxfId="11522" priority="4825"/>
    <cfRule type="duplicateValues" dxfId="11521" priority="4826"/>
    <cfRule type="duplicateValues" dxfId="11520" priority="4827"/>
    <cfRule type="duplicateValues" dxfId="11519" priority="4828"/>
    <cfRule type="duplicateValues" dxfId="11518" priority="4829"/>
    <cfRule type="duplicateValues" dxfId="11517" priority="4830"/>
    <cfRule type="duplicateValues" dxfId="11516" priority="4831"/>
    <cfRule type="duplicateValues" dxfId="11515" priority="4800"/>
    <cfRule type="duplicateValues" dxfId="11514" priority="4799"/>
    <cfRule type="duplicateValues" dxfId="11513" priority="4798"/>
    <cfRule type="duplicateValues" dxfId="11512" priority="4797"/>
    <cfRule type="duplicateValues" dxfId="11511" priority="4796"/>
    <cfRule type="duplicateValues" dxfId="11510" priority="4795"/>
    <cfRule type="duplicateValues" dxfId="11509" priority="4794"/>
    <cfRule type="duplicateValues" dxfId="11508" priority="4793"/>
    <cfRule type="duplicateValues" dxfId="11507" priority="4792"/>
    <cfRule type="duplicateValues" dxfId="11506" priority="4791"/>
    <cfRule type="duplicateValues" dxfId="11505" priority="4790"/>
    <cfRule type="duplicateValues" dxfId="11504" priority="4789"/>
    <cfRule type="duplicateValues" dxfId="11503" priority="4788"/>
    <cfRule type="duplicateValues" dxfId="11502" priority="4787"/>
    <cfRule type="duplicateValues" dxfId="11501" priority="4786"/>
    <cfRule type="duplicateValues" dxfId="11500" priority="4785"/>
    <cfRule type="duplicateValues" dxfId="11499" priority="4784"/>
    <cfRule type="duplicateValues" dxfId="11498" priority="4783"/>
    <cfRule type="duplicateValues" dxfId="11497" priority="4782"/>
    <cfRule type="duplicateValues" dxfId="11496" priority="4781"/>
    <cfRule type="duplicateValues" dxfId="11495" priority="4780"/>
    <cfRule type="duplicateValues" dxfId="11494" priority="4779"/>
    <cfRule type="duplicateValues" dxfId="11493" priority="4778"/>
    <cfRule type="duplicateValues" dxfId="11492" priority="4777"/>
    <cfRule type="duplicateValues" dxfId="11491" priority="4776"/>
    <cfRule type="duplicateValues" dxfId="11490" priority="4775"/>
    <cfRule type="duplicateValues" dxfId="11489" priority="4774"/>
    <cfRule type="duplicateValues" dxfId="11488" priority="4773"/>
    <cfRule type="duplicateValues" dxfId="11487" priority="4772"/>
    <cfRule type="duplicateValues" dxfId="11486" priority="4771"/>
    <cfRule type="duplicateValues" dxfId="11485" priority="4770"/>
    <cfRule type="duplicateValues" dxfId="11484" priority="4769"/>
    <cfRule type="duplicateValues" dxfId="11483" priority="4801"/>
    <cfRule type="duplicateValues" dxfId="11482" priority="4768"/>
    <cfRule type="duplicateValues" dxfId="11481" priority="4767"/>
    <cfRule type="duplicateValues" dxfId="11480" priority="4766"/>
    <cfRule type="duplicateValues" dxfId="11479" priority="4820"/>
    <cfRule type="duplicateValues" dxfId="11478" priority="4764"/>
    <cfRule type="duplicateValues" dxfId="11477" priority="4763"/>
    <cfRule type="duplicateValues" dxfId="11476" priority="4762"/>
    <cfRule type="duplicateValues" dxfId="11475" priority="4761"/>
    <cfRule type="duplicateValues" dxfId="11474" priority="4760"/>
    <cfRule type="duplicateValues" dxfId="11473" priority="4759"/>
    <cfRule type="duplicateValues" dxfId="11472" priority="4758"/>
    <cfRule type="duplicateValues" dxfId="11471" priority="4757"/>
    <cfRule type="duplicateValues" dxfId="11470" priority="4756"/>
    <cfRule type="duplicateValues" dxfId="11469" priority="4755"/>
    <cfRule type="duplicateValues" dxfId="11468" priority="4754"/>
    <cfRule type="duplicateValues" dxfId="11467" priority="4753"/>
    <cfRule type="duplicateValues" dxfId="11466" priority="4752"/>
    <cfRule type="duplicateValues" dxfId="11465" priority="4751"/>
    <cfRule type="duplicateValues" dxfId="11464" priority="4750"/>
    <cfRule type="duplicateValues" dxfId="11463" priority="4749"/>
    <cfRule type="duplicateValues" dxfId="11462" priority="4748"/>
    <cfRule type="duplicateValues" dxfId="11461" priority="4747"/>
    <cfRule type="duplicateValues" dxfId="11460" priority="4746"/>
    <cfRule type="duplicateValues" dxfId="11459" priority="4745"/>
    <cfRule type="duplicateValues" dxfId="11458" priority="4744"/>
    <cfRule type="duplicateValues" dxfId="11457" priority="4743"/>
    <cfRule type="duplicateValues" dxfId="11456" priority="4742"/>
    <cfRule type="duplicateValues" dxfId="11455" priority="4741"/>
    <cfRule type="duplicateValues" dxfId="11454" priority="4740"/>
    <cfRule type="duplicateValues" dxfId="11453" priority="4739"/>
    <cfRule type="duplicateValues" dxfId="11452" priority="4738"/>
    <cfRule type="duplicateValues" dxfId="11451" priority="4737"/>
    <cfRule type="duplicateValues" dxfId="11450" priority="4736"/>
    <cfRule type="duplicateValues" dxfId="11449" priority="4735"/>
    <cfRule type="duplicateValues" dxfId="11448" priority="4734"/>
    <cfRule type="duplicateValues" dxfId="11447" priority="4733"/>
    <cfRule type="duplicateValues" dxfId="11446" priority="4715"/>
    <cfRule type="duplicateValues" dxfId="11445" priority="4731"/>
    <cfRule type="duplicateValues" dxfId="11444" priority="4730"/>
    <cfRule type="duplicateValues" dxfId="11443" priority="4729"/>
    <cfRule type="duplicateValues" dxfId="11442" priority="4728"/>
    <cfRule type="duplicateValues" dxfId="11441" priority="4727"/>
    <cfRule type="duplicateValues" dxfId="11440" priority="4726"/>
    <cfRule type="duplicateValues" dxfId="11439" priority="4725"/>
    <cfRule type="duplicateValues" dxfId="11438" priority="4724"/>
    <cfRule type="duplicateValues" dxfId="11437" priority="4723"/>
    <cfRule type="duplicateValues" dxfId="11436" priority="4722"/>
    <cfRule type="duplicateValues" dxfId="11435" priority="4721"/>
    <cfRule type="duplicateValues" dxfId="11434" priority="4832"/>
    <cfRule type="duplicateValues" dxfId="11433" priority="4833"/>
    <cfRule type="duplicateValues" dxfId="11432" priority="4716"/>
    <cfRule type="duplicateValues" dxfId="11431" priority="4765"/>
    <cfRule type="duplicateValues" dxfId="11430" priority="4717"/>
    <cfRule type="duplicateValues" dxfId="11429" priority="4802"/>
    <cfRule type="duplicateValues" dxfId="11428" priority="4803"/>
    <cfRule type="duplicateValues" dxfId="11427" priority="4804"/>
    <cfRule type="duplicateValues" dxfId="11426" priority="4805"/>
    <cfRule type="duplicateValues" dxfId="11425" priority="4806"/>
    <cfRule type="duplicateValues" dxfId="11424" priority="4807"/>
    <cfRule type="duplicateValues" dxfId="11423" priority="4808"/>
    <cfRule type="duplicateValues" dxfId="11422" priority="4809"/>
    <cfRule type="duplicateValues" dxfId="11421" priority="4810"/>
    <cfRule type="duplicateValues" dxfId="11420" priority="4811"/>
    <cfRule type="duplicateValues" dxfId="11419" priority="4714"/>
    <cfRule type="duplicateValues" dxfId="11418" priority="4713"/>
    <cfRule type="duplicateValues" dxfId="11417" priority="4718"/>
    <cfRule type="duplicateValues" dxfId="11416" priority="4732"/>
  </conditionalFormatting>
  <conditionalFormatting sqref="B317">
    <cfRule type="duplicateValues" dxfId="11415" priority="4557"/>
    <cfRule type="duplicateValues" dxfId="11414" priority="4575"/>
    <cfRule type="duplicateValues" dxfId="11413" priority="4576"/>
    <cfRule type="duplicateValues" dxfId="11412" priority="4577"/>
    <cfRule type="duplicateValues" dxfId="11411" priority="4578"/>
    <cfRule type="duplicateValues" dxfId="11410" priority="4579"/>
    <cfRule type="duplicateValues" dxfId="11409" priority="4580"/>
    <cfRule type="duplicateValues" dxfId="11408" priority="4581"/>
    <cfRule type="duplicateValues" dxfId="11407" priority="4582"/>
    <cfRule type="duplicateValues" dxfId="11406" priority="4583"/>
    <cfRule type="duplicateValues" dxfId="11405" priority="4584"/>
    <cfRule type="duplicateValues" dxfId="11404" priority="4585"/>
    <cfRule type="duplicateValues" dxfId="11403" priority="4586"/>
    <cfRule type="duplicateValues" dxfId="11402" priority="4587"/>
    <cfRule type="duplicateValues" dxfId="11401" priority="4588"/>
    <cfRule type="duplicateValues" dxfId="11400" priority="4590"/>
    <cfRule type="duplicateValues" dxfId="11399" priority="4591"/>
    <cfRule type="duplicateValues" dxfId="11398" priority="4592"/>
    <cfRule type="duplicateValues" dxfId="11397" priority="4593"/>
    <cfRule type="duplicateValues" dxfId="11396" priority="4594"/>
    <cfRule type="duplicateValues" dxfId="11395" priority="4595"/>
    <cfRule type="duplicateValues" dxfId="11394" priority="4596"/>
    <cfRule type="duplicateValues" dxfId="11393" priority="4597"/>
    <cfRule type="duplicateValues" dxfId="11392" priority="4598"/>
    <cfRule type="duplicateValues" dxfId="11391" priority="4599"/>
    <cfRule type="duplicateValues" dxfId="11390" priority="4600"/>
    <cfRule type="duplicateValues" dxfId="11389" priority="4601"/>
    <cfRule type="duplicateValues" dxfId="11388" priority="4602"/>
    <cfRule type="duplicateValues" dxfId="11387" priority="4603"/>
    <cfRule type="duplicateValues" dxfId="11386" priority="4604"/>
    <cfRule type="duplicateValues" dxfId="11385" priority="4605"/>
    <cfRule type="duplicateValues" dxfId="11384" priority="4606"/>
    <cfRule type="duplicateValues" dxfId="11383" priority="4607"/>
    <cfRule type="duplicateValues" dxfId="11382" priority="4608"/>
    <cfRule type="duplicateValues" dxfId="11381" priority="4609"/>
    <cfRule type="duplicateValues" dxfId="11380" priority="4610"/>
    <cfRule type="duplicateValues" dxfId="11379" priority="4611"/>
    <cfRule type="duplicateValues" dxfId="11378" priority="4612"/>
    <cfRule type="duplicateValues" dxfId="11377" priority="4613"/>
    <cfRule type="duplicateValues" dxfId="11376" priority="4614"/>
    <cfRule type="duplicateValues" dxfId="11375" priority="4615"/>
    <cfRule type="duplicateValues" dxfId="11374" priority="4616"/>
    <cfRule type="duplicateValues" dxfId="11373" priority="4617"/>
    <cfRule type="duplicateValues" dxfId="11372" priority="4618"/>
    <cfRule type="duplicateValues" dxfId="11371" priority="4619"/>
    <cfRule type="duplicateValues" dxfId="11370" priority="4620"/>
    <cfRule type="duplicateValues" dxfId="11369" priority="4621"/>
    <cfRule type="duplicateValues" dxfId="11368" priority="4622"/>
    <cfRule type="duplicateValues" dxfId="11367" priority="4589"/>
    <cfRule type="duplicateValues" dxfId="11366" priority="4529"/>
    <cfRule type="duplicateValues" dxfId="11365" priority="4571"/>
    <cfRule type="duplicateValues" dxfId="11364" priority="4556"/>
    <cfRule type="duplicateValues" dxfId="11363" priority="4555"/>
    <cfRule type="duplicateValues" dxfId="11362" priority="4554"/>
    <cfRule type="duplicateValues" dxfId="11361" priority="4553"/>
    <cfRule type="duplicateValues" dxfId="11360" priority="4552"/>
    <cfRule type="duplicateValues" dxfId="11359" priority="4551"/>
    <cfRule type="duplicateValues" dxfId="11358" priority="4550"/>
    <cfRule type="duplicateValues" dxfId="11357" priority="4549"/>
    <cfRule type="duplicateValues" dxfId="11356" priority="4548"/>
    <cfRule type="duplicateValues" dxfId="11355" priority="4547"/>
    <cfRule type="duplicateValues" dxfId="11354" priority="4546"/>
    <cfRule type="duplicateValues" dxfId="11353" priority="4545"/>
    <cfRule type="duplicateValues" dxfId="11352" priority="4544"/>
    <cfRule type="duplicateValues" dxfId="11351" priority="4543"/>
    <cfRule type="duplicateValues" dxfId="11350" priority="4542"/>
    <cfRule type="duplicateValues" dxfId="11349" priority="4541"/>
    <cfRule type="duplicateValues" dxfId="11348" priority="4540"/>
    <cfRule type="duplicateValues" dxfId="11347" priority="4539"/>
    <cfRule type="duplicateValues" dxfId="11346" priority="4538"/>
    <cfRule type="duplicateValues" dxfId="11345" priority="4537"/>
    <cfRule type="duplicateValues" dxfId="11344" priority="4536"/>
    <cfRule type="duplicateValues" dxfId="11343" priority="4535"/>
    <cfRule type="duplicateValues" dxfId="11342" priority="4534"/>
    <cfRule type="duplicateValues" dxfId="11341" priority="4533"/>
    <cfRule type="duplicateValues" dxfId="11340" priority="4532"/>
    <cfRule type="duplicateValues" dxfId="11339" priority="4531"/>
    <cfRule type="duplicateValues" dxfId="11338" priority="4530"/>
    <cfRule type="duplicateValues" dxfId="11337" priority="4528"/>
    <cfRule type="duplicateValues" dxfId="11336" priority="4527"/>
    <cfRule type="duplicateValues" dxfId="11335" priority="4526"/>
    <cfRule type="duplicateValues" dxfId="11334" priority="4524"/>
    <cfRule type="duplicateValues" dxfId="11333" priority="4525"/>
    <cfRule type="duplicateValues" dxfId="11332" priority="4558"/>
    <cfRule type="duplicateValues" dxfId="11331" priority="4559"/>
    <cfRule type="duplicateValues" dxfId="11330" priority="4560"/>
    <cfRule type="duplicateValues" dxfId="11329" priority="4561"/>
    <cfRule type="duplicateValues" dxfId="11328" priority="4562"/>
    <cfRule type="duplicateValues" dxfId="11327" priority="4563"/>
    <cfRule type="duplicateValues" dxfId="11326" priority="4564"/>
    <cfRule type="duplicateValues" dxfId="11325" priority="4565"/>
    <cfRule type="duplicateValues" dxfId="11324" priority="4566"/>
    <cfRule type="duplicateValues" dxfId="11323" priority="4567"/>
    <cfRule type="duplicateValues" dxfId="11322" priority="4568"/>
    <cfRule type="duplicateValues" dxfId="11321" priority="4569"/>
    <cfRule type="duplicateValues" dxfId="11320" priority="4570"/>
    <cfRule type="duplicateValues" dxfId="11319" priority="4572"/>
    <cfRule type="duplicateValues" dxfId="11318" priority="4573"/>
    <cfRule type="duplicateValues" dxfId="11317" priority="4574"/>
  </conditionalFormatting>
  <conditionalFormatting sqref="B318">
    <cfRule type="duplicateValues" dxfId="11316" priority="4521"/>
    <cfRule type="duplicateValues" dxfId="11315" priority="4520"/>
    <cfRule type="duplicateValues" dxfId="11314" priority="4519"/>
    <cfRule type="duplicateValues" dxfId="11313" priority="4518"/>
    <cfRule type="duplicateValues" dxfId="11312" priority="4517"/>
    <cfRule type="duplicateValues" dxfId="11311" priority="4516"/>
    <cfRule type="duplicateValues" dxfId="11310" priority="4515"/>
    <cfRule type="duplicateValues" dxfId="11309" priority="4514"/>
    <cfRule type="duplicateValues" dxfId="11308" priority="4513"/>
    <cfRule type="duplicateValues" dxfId="11307" priority="4512"/>
    <cfRule type="duplicateValues" dxfId="11306" priority="4511"/>
    <cfRule type="duplicateValues" dxfId="11305" priority="4510"/>
    <cfRule type="duplicateValues" dxfId="11304" priority="4509"/>
    <cfRule type="duplicateValues" dxfId="11303" priority="4508"/>
    <cfRule type="duplicateValues" dxfId="11302" priority="4507"/>
    <cfRule type="duplicateValues" dxfId="11301" priority="4506"/>
    <cfRule type="duplicateValues" dxfId="11300" priority="4505"/>
    <cfRule type="duplicateValues" dxfId="11299" priority="4504"/>
    <cfRule type="duplicateValues" dxfId="11298" priority="4503"/>
    <cfRule type="duplicateValues" dxfId="11297" priority="4502"/>
    <cfRule type="duplicateValues" dxfId="11296" priority="4501"/>
    <cfRule type="duplicateValues" dxfId="11295" priority="4500"/>
    <cfRule type="duplicateValues" dxfId="11294" priority="4499"/>
    <cfRule type="duplicateValues" dxfId="11293" priority="4498"/>
    <cfRule type="duplicateValues" dxfId="11292" priority="4497"/>
    <cfRule type="duplicateValues" dxfId="11291" priority="4496"/>
    <cfRule type="duplicateValues" dxfId="11290" priority="4495"/>
    <cfRule type="duplicateValues" dxfId="11289" priority="4494"/>
    <cfRule type="duplicateValues" dxfId="11288" priority="4493"/>
    <cfRule type="duplicateValues" dxfId="11287" priority="4492"/>
    <cfRule type="duplicateValues" dxfId="11286" priority="4491"/>
    <cfRule type="duplicateValues" dxfId="11285" priority="4490"/>
    <cfRule type="duplicateValues" dxfId="11284" priority="4489"/>
    <cfRule type="duplicateValues" dxfId="11283" priority="4488"/>
    <cfRule type="duplicateValues" dxfId="11282" priority="4487"/>
    <cfRule type="duplicateValues" dxfId="11281" priority="4486"/>
    <cfRule type="duplicateValues" dxfId="11280" priority="4485"/>
    <cfRule type="duplicateValues" dxfId="11279" priority="4484"/>
    <cfRule type="duplicateValues" dxfId="11278" priority="4483"/>
    <cfRule type="duplicateValues" dxfId="11277" priority="4482"/>
    <cfRule type="duplicateValues" dxfId="11276" priority="4481"/>
    <cfRule type="duplicateValues" dxfId="11275" priority="4480"/>
    <cfRule type="duplicateValues" dxfId="11274" priority="4479"/>
    <cfRule type="duplicateValues" dxfId="11273" priority="4478"/>
    <cfRule type="duplicateValues" dxfId="11272" priority="4477"/>
    <cfRule type="duplicateValues" dxfId="11271" priority="4476"/>
    <cfRule type="duplicateValues" dxfId="11270" priority="4475"/>
    <cfRule type="duplicateValues" dxfId="11269" priority="4474"/>
    <cfRule type="duplicateValues" dxfId="11268" priority="4461"/>
    <cfRule type="duplicateValues" dxfId="11267" priority="4462"/>
    <cfRule type="duplicateValues" dxfId="11266" priority="4463"/>
    <cfRule type="duplicateValues" dxfId="11265" priority="4522"/>
    <cfRule type="duplicateValues" dxfId="11264" priority="4421"/>
    <cfRule type="duplicateValues" dxfId="11263" priority="4420"/>
    <cfRule type="duplicateValues" dxfId="11262" priority="4419"/>
    <cfRule type="duplicateValues" dxfId="11261" priority="4418"/>
    <cfRule type="duplicateValues" dxfId="11260" priority="4417"/>
    <cfRule type="duplicateValues" dxfId="11259" priority="4416"/>
    <cfRule type="duplicateValues" dxfId="11258" priority="4415"/>
    <cfRule type="duplicateValues" dxfId="11257" priority="4414"/>
    <cfRule type="duplicateValues" dxfId="11256" priority="4413"/>
    <cfRule type="duplicateValues" dxfId="11255" priority="4412"/>
    <cfRule type="duplicateValues" dxfId="11254" priority="4411"/>
    <cfRule type="duplicateValues" dxfId="11253" priority="4410"/>
    <cfRule type="duplicateValues" dxfId="11252" priority="4409"/>
    <cfRule type="duplicateValues" dxfId="11251" priority="4408"/>
    <cfRule type="duplicateValues" dxfId="11250" priority="4407"/>
    <cfRule type="duplicateValues" dxfId="11249" priority="4406"/>
    <cfRule type="duplicateValues" dxfId="11248" priority="4405"/>
    <cfRule type="duplicateValues" dxfId="11247" priority="4404"/>
    <cfRule type="duplicateValues" dxfId="11246" priority="4403"/>
    <cfRule type="duplicateValues" dxfId="11245" priority="4402"/>
    <cfRule type="duplicateValues" dxfId="11244" priority="4401"/>
    <cfRule type="duplicateValues" dxfId="11243" priority="4400"/>
    <cfRule type="duplicateValues" dxfId="11242" priority="4399"/>
    <cfRule type="duplicateValues" dxfId="11241" priority="4398"/>
    <cfRule type="duplicateValues" dxfId="11240" priority="4397"/>
    <cfRule type="duplicateValues" dxfId="11239" priority="4459"/>
    <cfRule type="duplicateValues" dxfId="11238" priority="4454"/>
    <cfRule type="duplicateValues" dxfId="11237" priority="4453"/>
    <cfRule type="duplicateValues" dxfId="11236" priority="4452"/>
    <cfRule type="duplicateValues" dxfId="11235" priority="4451"/>
    <cfRule type="duplicateValues" dxfId="11234" priority="4455"/>
    <cfRule type="duplicateValues" dxfId="11233" priority="4450"/>
    <cfRule type="duplicateValues" dxfId="11232" priority="4449"/>
    <cfRule type="duplicateValues" dxfId="11231" priority="4448"/>
    <cfRule type="duplicateValues" dxfId="11230" priority="4447"/>
    <cfRule type="duplicateValues" dxfId="11229" priority="4446"/>
    <cfRule type="duplicateValues" dxfId="11228" priority="4445"/>
    <cfRule type="duplicateValues" dxfId="11227" priority="4444"/>
    <cfRule type="duplicateValues" dxfId="11226" priority="4443"/>
    <cfRule type="duplicateValues" dxfId="11225" priority="4442"/>
    <cfRule type="duplicateValues" dxfId="11224" priority="4441"/>
    <cfRule type="duplicateValues" dxfId="11223" priority="4440"/>
    <cfRule type="duplicateValues" dxfId="11222" priority="4439"/>
    <cfRule type="duplicateValues" dxfId="11221" priority="4438"/>
    <cfRule type="duplicateValues" dxfId="11220" priority="4437"/>
    <cfRule type="duplicateValues" dxfId="11219" priority="4436"/>
    <cfRule type="duplicateValues" dxfId="11218" priority="4435"/>
    <cfRule type="duplicateValues" dxfId="11217" priority="4434"/>
    <cfRule type="duplicateValues" dxfId="11216" priority="4433"/>
    <cfRule type="duplicateValues" dxfId="11215" priority="4432"/>
    <cfRule type="duplicateValues" dxfId="11214" priority="4431"/>
    <cfRule type="duplicateValues" dxfId="11213" priority="4430"/>
    <cfRule type="duplicateValues" dxfId="11212" priority="4429"/>
    <cfRule type="duplicateValues" dxfId="11211" priority="4428"/>
    <cfRule type="duplicateValues" dxfId="11210" priority="4427"/>
    <cfRule type="duplicateValues" dxfId="11209" priority="4456"/>
    <cfRule type="duplicateValues" dxfId="11208" priority="4426"/>
    <cfRule type="duplicateValues" dxfId="11207" priority="4425"/>
    <cfRule type="duplicateValues" dxfId="11206" priority="4424"/>
    <cfRule type="duplicateValues" dxfId="11205" priority="4423"/>
    <cfRule type="duplicateValues" dxfId="11204" priority="4523"/>
    <cfRule type="duplicateValues" dxfId="11203" priority="4422"/>
    <cfRule type="duplicateValues" dxfId="11202" priority="4457"/>
    <cfRule type="duplicateValues" dxfId="11201" priority="4458"/>
    <cfRule type="duplicateValues" dxfId="11200" priority="4464"/>
    <cfRule type="duplicateValues" dxfId="11199" priority="4465"/>
    <cfRule type="duplicateValues" dxfId="11198" priority="4466"/>
    <cfRule type="duplicateValues" dxfId="11197" priority="4467"/>
    <cfRule type="duplicateValues" dxfId="11196" priority="4468"/>
    <cfRule type="duplicateValues" dxfId="11195" priority="4469"/>
    <cfRule type="duplicateValues" dxfId="11194" priority="4470"/>
    <cfRule type="duplicateValues" dxfId="11193" priority="4471"/>
    <cfRule type="duplicateValues" dxfId="11192" priority="4472"/>
    <cfRule type="duplicateValues" dxfId="11191" priority="4473"/>
    <cfRule type="duplicateValues" dxfId="11190" priority="4460"/>
  </conditionalFormatting>
  <conditionalFormatting sqref="B319">
    <cfRule type="duplicateValues" dxfId="11189" priority="4377"/>
    <cfRule type="duplicateValues" dxfId="11188" priority="4376"/>
    <cfRule type="duplicateValues" dxfId="11187" priority="4375"/>
    <cfRule type="duplicateValues" dxfId="11186" priority="4374"/>
    <cfRule type="duplicateValues" dxfId="11185" priority="4373"/>
    <cfRule type="duplicateValues" dxfId="11184" priority="4372"/>
    <cfRule type="duplicateValues" dxfId="11183" priority="4371"/>
    <cfRule type="duplicateValues" dxfId="11182" priority="4370"/>
    <cfRule type="duplicateValues" dxfId="11181" priority="4369"/>
    <cfRule type="duplicateValues" dxfId="11180" priority="4368"/>
    <cfRule type="duplicateValues" dxfId="11179" priority="4367"/>
    <cfRule type="duplicateValues" dxfId="11178" priority="4366"/>
    <cfRule type="duplicateValues" dxfId="11177" priority="4365"/>
    <cfRule type="duplicateValues" dxfId="11176" priority="4364"/>
    <cfRule type="duplicateValues" dxfId="11175" priority="4363"/>
    <cfRule type="duplicateValues" dxfId="11174" priority="4362"/>
    <cfRule type="duplicateValues" dxfId="11173" priority="4361"/>
    <cfRule type="duplicateValues" dxfId="11172" priority="4360"/>
    <cfRule type="duplicateValues" dxfId="11171" priority="4359"/>
    <cfRule type="duplicateValues" dxfId="11170" priority="4358"/>
    <cfRule type="duplicateValues" dxfId="11169" priority="4357"/>
    <cfRule type="duplicateValues" dxfId="11168" priority="4356"/>
    <cfRule type="duplicateValues" dxfId="11167" priority="4355"/>
    <cfRule type="duplicateValues" dxfId="11166" priority="4354"/>
    <cfRule type="duplicateValues" dxfId="11165" priority="4353"/>
    <cfRule type="duplicateValues" dxfId="11164" priority="4352"/>
    <cfRule type="duplicateValues" dxfId="11163" priority="4351"/>
    <cfRule type="duplicateValues" dxfId="11162" priority="4350"/>
    <cfRule type="duplicateValues" dxfId="11161" priority="4349"/>
    <cfRule type="duplicateValues" dxfId="11160" priority="4348"/>
    <cfRule type="duplicateValues" dxfId="11159" priority="4347"/>
    <cfRule type="duplicateValues" dxfId="11158" priority="4396"/>
    <cfRule type="duplicateValues" dxfId="11157" priority="4346"/>
    <cfRule type="duplicateValues" dxfId="11156" priority="4345"/>
    <cfRule type="duplicateValues" dxfId="11155" priority="4344"/>
    <cfRule type="duplicateValues" dxfId="11154" priority="4343"/>
    <cfRule type="duplicateValues" dxfId="11153" priority="4342"/>
    <cfRule type="duplicateValues" dxfId="11152" priority="4341"/>
    <cfRule type="duplicateValues" dxfId="11151" priority="4340"/>
    <cfRule type="duplicateValues" dxfId="11150" priority="4339"/>
    <cfRule type="duplicateValues" dxfId="11149" priority="4338"/>
    <cfRule type="duplicateValues" dxfId="11148" priority="4337"/>
    <cfRule type="duplicateValues" dxfId="11147" priority="4336"/>
    <cfRule type="duplicateValues" dxfId="11146" priority="4335"/>
    <cfRule type="duplicateValues" dxfId="11145" priority="4334"/>
    <cfRule type="duplicateValues" dxfId="11144" priority="4333"/>
    <cfRule type="duplicateValues" dxfId="11143" priority="4332"/>
    <cfRule type="duplicateValues" dxfId="11142" priority="4331"/>
    <cfRule type="duplicateValues" dxfId="11141" priority="4330"/>
    <cfRule type="duplicateValues" dxfId="11140" priority="4329"/>
    <cfRule type="duplicateValues" dxfId="11139" priority="4328"/>
    <cfRule type="duplicateValues" dxfId="11138" priority="4327"/>
    <cfRule type="duplicateValues" dxfId="11137" priority="4326"/>
    <cfRule type="duplicateValues" dxfId="11136" priority="4325"/>
    <cfRule type="duplicateValues" dxfId="11135" priority="4324"/>
    <cfRule type="duplicateValues" dxfId="11134" priority="4323"/>
    <cfRule type="duplicateValues" dxfId="11133" priority="4322"/>
    <cfRule type="duplicateValues" dxfId="11132" priority="4321"/>
    <cfRule type="duplicateValues" dxfId="11131" priority="4320"/>
    <cfRule type="duplicateValues" dxfId="11130" priority="4319"/>
    <cfRule type="duplicateValues" dxfId="11129" priority="4318"/>
    <cfRule type="duplicateValues" dxfId="11128" priority="4317"/>
    <cfRule type="duplicateValues" dxfId="11127" priority="4316"/>
    <cfRule type="duplicateValues" dxfId="11126" priority="4315"/>
    <cfRule type="duplicateValues" dxfId="11125" priority="4314"/>
    <cfRule type="duplicateValues" dxfId="11124" priority="4313"/>
    <cfRule type="duplicateValues" dxfId="11123" priority="4312"/>
    <cfRule type="duplicateValues" dxfId="11122" priority="4311"/>
    <cfRule type="duplicateValues" dxfId="11121" priority="4310"/>
    <cfRule type="duplicateValues" dxfId="11120" priority="4309"/>
    <cfRule type="duplicateValues" dxfId="11119" priority="4308"/>
    <cfRule type="duplicateValues" dxfId="11118" priority="4307"/>
    <cfRule type="duplicateValues" dxfId="11117" priority="4306"/>
    <cfRule type="duplicateValues" dxfId="11116" priority="4305"/>
    <cfRule type="duplicateValues" dxfId="11115" priority="4304"/>
    <cfRule type="duplicateValues" dxfId="11114" priority="4303"/>
    <cfRule type="duplicateValues" dxfId="11113" priority="4302"/>
    <cfRule type="duplicateValues" dxfId="11112" priority="4301"/>
    <cfRule type="duplicateValues" dxfId="11111" priority="4300"/>
    <cfRule type="duplicateValues" dxfId="11110" priority="4299"/>
    <cfRule type="duplicateValues" dxfId="11109" priority="4298"/>
    <cfRule type="duplicateValues" dxfId="11108" priority="4395"/>
    <cfRule type="duplicateValues" dxfId="11107" priority="4394"/>
    <cfRule type="duplicateValues" dxfId="11106" priority="4393"/>
    <cfRule type="duplicateValues" dxfId="11105" priority="4392"/>
    <cfRule type="duplicateValues" dxfId="11104" priority="4391"/>
    <cfRule type="duplicateValues" dxfId="11103" priority="4390"/>
    <cfRule type="duplicateValues" dxfId="11102" priority="4389"/>
    <cfRule type="duplicateValues" dxfId="11101" priority="4388"/>
    <cfRule type="duplicateValues" dxfId="11100" priority="4387"/>
    <cfRule type="duplicateValues" dxfId="11099" priority="4386"/>
    <cfRule type="duplicateValues" dxfId="11098" priority="4385"/>
    <cfRule type="duplicateValues" dxfId="11097" priority="4384"/>
    <cfRule type="duplicateValues" dxfId="11096" priority="4383"/>
    <cfRule type="duplicateValues" dxfId="11095" priority="4382"/>
    <cfRule type="duplicateValues" dxfId="11094" priority="4381"/>
    <cfRule type="duplicateValues" dxfId="11093" priority="4380"/>
    <cfRule type="duplicateValues" dxfId="11092" priority="4379"/>
    <cfRule type="duplicateValues" dxfId="11091" priority="4378"/>
  </conditionalFormatting>
  <conditionalFormatting sqref="B320:B324">
    <cfRule type="duplicateValues" dxfId="11090" priority="4260"/>
    <cfRule type="duplicateValues" dxfId="11089" priority="4259"/>
    <cfRule type="duplicateValues" dxfId="11088" priority="4258"/>
    <cfRule type="duplicateValues" dxfId="11087" priority="4257"/>
    <cfRule type="duplicateValues" dxfId="11086" priority="4256"/>
    <cfRule type="duplicateValues" dxfId="11085" priority="4255"/>
    <cfRule type="duplicateValues" dxfId="11084" priority="4254"/>
    <cfRule type="duplicateValues" dxfId="11083" priority="4253"/>
    <cfRule type="duplicateValues" dxfId="11082" priority="4252"/>
    <cfRule type="duplicateValues" dxfId="11081" priority="4251"/>
    <cfRule type="duplicateValues" dxfId="11080" priority="4250"/>
    <cfRule type="duplicateValues" dxfId="11079" priority="4249"/>
    <cfRule type="duplicateValues" dxfId="11078" priority="4248"/>
    <cfRule type="duplicateValues" dxfId="11077" priority="4247"/>
    <cfRule type="duplicateValues" dxfId="11076" priority="4246"/>
    <cfRule type="duplicateValues" dxfId="11075" priority="4245"/>
    <cfRule type="duplicateValues" dxfId="11074" priority="4244"/>
    <cfRule type="duplicateValues" dxfId="11073" priority="4243"/>
    <cfRule type="duplicateValues" dxfId="11072" priority="4229"/>
    <cfRule type="duplicateValues" dxfId="11071" priority="4242"/>
    <cfRule type="duplicateValues" dxfId="11070" priority="4241"/>
    <cfRule type="duplicateValues" dxfId="11069" priority="4240"/>
    <cfRule type="duplicateValues" dxfId="11068" priority="4239"/>
    <cfRule type="duplicateValues" dxfId="11067" priority="4238"/>
    <cfRule type="duplicateValues" dxfId="11066" priority="4237"/>
    <cfRule type="duplicateValues" dxfId="11065" priority="4236"/>
    <cfRule type="duplicateValues" dxfId="11064" priority="4235"/>
    <cfRule type="duplicateValues" dxfId="11063" priority="4234"/>
    <cfRule type="duplicateValues" dxfId="11062" priority="4233"/>
    <cfRule type="duplicateValues" dxfId="11061" priority="4232"/>
    <cfRule type="duplicateValues" dxfId="11060" priority="4231"/>
    <cfRule type="duplicateValues" dxfId="11059" priority="4230"/>
    <cfRule type="duplicateValues" dxfId="11058" priority="4297"/>
    <cfRule type="duplicateValues" dxfId="11057" priority="4228"/>
    <cfRule type="duplicateValues" dxfId="11056" priority="4227"/>
    <cfRule type="duplicateValues" dxfId="11055" priority="4226"/>
    <cfRule type="duplicateValues" dxfId="11054" priority="4225"/>
    <cfRule type="duplicateValues" dxfId="11053" priority="4224"/>
    <cfRule type="duplicateValues" dxfId="11052" priority="4223"/>
    <cfRule type="duplicateValues" dxfId="11051" priority="4222"/>
    <cfRule type="duplicateValues" dxfId="11050" priority="4221"/>
    <cfRule type="duplicateValues" dxfId="11049" priority="4220"/>
    <cfRule type="duplicateValues" dxfId="11048" priority="4219"/>
    <cfRule type="duplicateValues" dxfId="11047" priority="4218"/>
    <cfRule type="duplicateValues" dxfId="11046" priority="4217"/>
    <cfRule type="duplicateValues" dxfId="11045" priority="4296"/>
    <cfRule type="duplicateValues" dxfId="11044" priority="4295"/>
    <cfRule type="duplicateValues" dxfId="11043" priority="4294"/>
    <cfRule type="duplicateValues" dxfId="11042" priority="4293"/>
    <cfRule type="duplicateValues" dxfId="11041" priority="4292"/>
    <cfRule type="duplicateValues" dxfId="11040" priority="4291"/>
    <cfRule type="duplicateValues" dxfId="11039" priority="4290"/>
    <cfRule type="duplicateValues" dxfId="11038" priority="4289"/>
    <cfRule type="duplicateValues" dxfId="11037" priority="4288"/>
    <cfRule type="duplicateValues" dxfId="11036" priority="4287"/>
    <cfRule type="duplicateValues" dxfId="11035" priority="4286"/>
    <cfRule type="duplicateValues" dxfId="11034" priority="4285"/>
    <cfRule type="duplicateValues" dxfId="11033" priority="4284"/>
    <cfRule type="duplicateValues" dxfId="11032" priority="4283"/>
    <cfRule type="duplicateValues" dxfId="11031" priority="4282"/>
    <cfRule type="duplicateValues" dxfId="11030" priority="4281"/>
    <cfRule type="duplicateValues" dxfId="11029" priority="4280"/>
    <cfRule type="duplicateValues" dxfId="11028" priority="4279"/>
    <cfRule type="duplicateValues" dxfId="11027" priority="4278"/>
    <cfRule type="duplicateValues" dxfId="11026" priority="4277"/>
    <cfRule type="duplicateValues" dxfId="11025" priority="4276"/>
    <cfRule type="duplicateValues" dxfId="11024" priority="4275"/>
    <cfRule type="duplicateValues" dxfId="11023" priority="4274"/>
    <cfRule type="duplicateValues" dxfId="11022" priority="4273"/>
    <cfRule type="duplicateValues" dxfId="11021" priority="4272"/>
    <cfRule type="duplicateValues" dxfId="11020" priority="4271"/>
    <cfRule type="duplicateValues" dxfId="11019" priority="4270"/>
    <cfRule type="duplicateValues" dxfId="11018" priority="4269"/>
    <cfRule type="duplicateValues" dxfId="11017" priority="4268"/>
    <cfRule type="duplicateValues" dxfId="11016" priority="4267"/>
    <cfRule type="duplicateValues" dxfId="11015" priority="4266"/>
    <cfRule type="duplicateValues" dxfId="11014" priority="4265"/>
    <cfRule type="duplicateValues" dxfId="11013" priority="4264"/>
    <cfRule type="duplicateValues" dxfId="11012" priority="4263"/>
    <cfRule type="duplicateValues" dxfId="11011" priority="4262"/>
    <cfRule type="duplicateValues" dxfId="11010" priority="4261"/>
  </conditionalFormatting>
  <conditionalFormatting sqref="B320:B424 B1:B62 B64:B316">
    <cfRule type="duplicateValues" dxfId="11009" priority="15778"/>
  </conditionalFormatting>
  <conditionalFormatting sqref="B320:B424 B1:B316">
    <cfRule type="duplicateValues" dxfId="11008" priority="15782"/>
    <cfRule type="duplicateValues" dxfId="11007" priority="15783"/>
  </conditionalFormatting>
  <conditionalFormatting sqref="B320:B424 B273:B316 B255:B270 B1:B62 B64:B243">
    <cfRule type="duplicateValues" dxfId="11006" priority="15788"/>
  </conditionalFormatting>
  <conditionalFormatting sqref="B320:B424 B305:B316 B273:B302 B255:B269 B62 B60 B1:B39 B64:B234">
    <cfRule type="duplicateValues" dxfId="11005" priority="15794"/>
  </conditionalFormatting>
  <conditionalFormatting sqref="B320:B424 B305:B316 B273:B302 B255:B269 B193 B62 B60 B1:B39 B64:B191">
    <cfRule type="duplicateValues" dxfId="11004" priority="15803"/>
  </conditionalFormatting>
  <conditionalFormatting sqref="B325:B329">
    <cfRule type="duplicateValues" dxfId="11003" priority="4190"/>
    <cfRule type="duplicateValues" dxfId="11002" priority="4189"/>
    <cfRule type="duplicateValues" dxfId="11001" priority="4188"/>
    <cfRule type="duplicateValues" dxfId="11000" priority="4187"/>
    <cfRule type="duplicateValues" dxfId="10999" priority="4169"/>
    <cfRule type="duplicateValues" dxfId="10998" priority="4170"/>
    <cfRule type="duplicateValues" dxfId="10997" priority="4171"/>
    <cfRule type="duplicateValues" dxfId="10996" priority="4172"/>
    <cfRule type="duplicateValues" dxfId="10995" priority="4141"/>
    <cfRule type="duplicateValues" dxfId="10994" priority="4173"/>
    <cfRule type="duplicateValues" dxfId="10993" priority="4174"/>
    <cfRule type="duplicateValues" dxfId="10992" priority="4216"/>
    <cfRule type="duplicateValues" dxfId="10991" priority="4215"/>
    <cfRule type="duplicateValues" dxfId="10990" priority="4214"/>
    <cfRule type="duplicateValues" dxfId="10989" priority="4213"/>
    <cfRule type="duplicateValues" dxfId="10988" priority="4212"/>
    <cfRule type="duplicateValues" dxfId="10987" priority="4211"/>
    <cfRule type="duplicateValues" dxfId="10986" priority="4210"/>
    <cfRule type="duplicateValues" dxfId="10985" priority="4209"/>
    <cfRule type="duplicateValues" dxfId="10984" priority="4208"/>
    <cfRule type="duplicateValues" dxfId="10983" priority="4186"/>
    <cfRule type="duplicateValues" dxfId="10982" priority="4207"/>
    <cfRule type="duplicateValues" dxfId="10981" priority="4206"/>
    <cfRule type="duplicateValues" dxfId="10980" priority="4184"/>
    <cfRule type="duplicateValues" dxfId="10979" priority="4205"/>
    <cfRule type="duplicateValues" dxfId="10978" priority="4204"/>
    <cfRule type="duplicateValues" dxfId="10977" priority="4203"/>
    <cfRule type="duplicateValues" dxfId="10976" priority="4202"/>
    <cfRule type="duplicateValues" dxfId="10975" priority="4201"/>
    <cfRule type="duplicateValues" dxfId="10974" priority="4200"/>
    <cfRule type="duplicateValues" dxfId="10973" priority="4199"/>
    <cfRule type="duplicateValues" dxfId="10972" priority="4198"/>
    <cfRule type="duplicateValues" dxfId="10971" priority="4197"/>
    <cfRule type="duplicateValues" dxfId="10970" priority="4196"/>
    <cfRule type="duplicateValues" dxfId="10969" priority="4195"/>
    <cfRule type="duplicateValues" dxfId="10968" priority="4194"/>
    <cfRule type="duplicateValues" dxfId="10967" priority="4193"/>
    <cfRule type="duplicateValues" dxfId="10966" priority="4192"/>
    <cfRule type="duplicateValues" dxfId="10965" priority="4191"/>
    <cfRule type="duplicateValues" dxfId="10964" priority="4175"/>
    <cfRule type="duplicateValues" dxfId="10963" priority="4185"/>
    <cfRule type="duplicateValues" dxfId="10962" priority="4180"/>
    <cfRule type="duplicateValues" dxfId="10961" priority="4181"/>
    <cfRule type="duplicateValues" dxfId="10960" priority="4182"/>
    <cfRule type="duplicateValues" dxfId="10959" priority="4161"/>
    <cfRule type="duplicateValues" dxfId="10958" priority="4162"/>
    <cfRule type="duplicateValues" dxfId="10957" priority="4163"/>
    <cfRule type="duplicateValues" dxfId="10956" priority="4164"/>
    <cfRule type="duplicateValues" dxfId="10955" priority="4165"/>
    <cfRule type="duplicateValues" dxfId="10954" priority="4166"/>
    <cfRule type="duplicateValues" dxfId="10953" priority="4167"/>
    <cfRule type="duplicateValues" dxfId="10952" priority="4168"/>
    <cfRule type="duplicateValues" dxfId="10951" priority="4183"/>
    <cfRule type="duplicateValues" dxfId="10950" priority="4160"/>
    <cfRule type="duplicateValues" dxfId="10949" priority="4159"/>
    <cfRule type="duplicateValues" dxfId="10948" priority="4158"/>
    <cfRule type="duplicateValues" dxfId="10947" priority="4157"/>
    <cfRule type="duplicateValues" dxfId="10946" priority="4156"/>
    <cfRule type="duplicateValues" dxfId="10945" priority="4155"/>
    <cfRule type="duplicateValues" dxfId="10944" priority="4154"/>
    <cfRule type="duplicateValues" dxfId="10943" priority="4153"/>
    <cfRule type="duplicateValues" dxfId="10942" priority="4152"/>
    <cfRule type="duplicateValues" dxfId="10941" priority="4151"/>
    <cfRule type="duplicateValues" dxfId="10940" priority="4150"/>
    <cfRule type="duplicateValues" dxfId="10939" priority="4149"/>
    <cfRule type="duplicateValues" dxfId="10938" priority="4148"/>
    <cfRule type="duplicateValues" dxfId="10937" priority="4147"/>
    <cfRule type="duplicateValues" dxfId="10936" priority="4176"/>
    <cfRule type="duplicateValues" dxfId="10935" priority="4146"/>
    <cfRule type="duplicateValues" dxfId="10934" priority="4145"/>
    <cfRule type="duplicateValues" dxfId="10933" priority="4144"/>
    <cfRule type="duplicateValues" dxfId="10932" priority="4143"/>
    <cfRule type="duplicateValues" dxfId="10931" priority="4142"/>
    <cfRule type="duplicateValues" dxfId="10930" priority="4140"/>
    <cfRule type="duplicateValues" dxfId="10929" priority="4139"/>
    <cfRule type="duplicateValues" dxfId="10928" priority="4138"/>
    <cfRule type="duplicateValues" dxfId="10927" priority="4137"/>
    <cfRule type="duplicateValues" dxfId="10926" priority="4136"/>
    <cfRule type="duplicateValues" dxfId="10925" priority="4177"/>
    <cfRule type="duplicateValues" dxfId="10924" priority="4178"/>
    <cfRule type="duplicateValues" dxfId="10923" priority="4179"/>
  </conditionalFormatting>
  <conditionalFormatting sqref="B330">
    <cfRule type="duplicateValues" dxfId="10922" priority="4074"/>
    <cfRule type="duplicateValues" dxfId="10921" priority="4094"/>
    <cfRule type="duplicateValues" dxfId="10920" priority="4093"/>
    <cfRule type="duplicateValues" dxfId="10919" priority="4092"/>
    <cfRule type="duplicateValues" dxfId="10918" priority="4091"/>
    <cfRule type="duplicateValues" dxfId="10917" priority="4090"/>
    <cfRule type="duplicateValues" dxfId="10916" priority="4089"/>
    <cfRule type="duplicateValues" dxfId="10915" priority="4088"/>
    <cfRule type="duplicateValues" dxfId="10914" priority="4087"/>
    <cfRule type="duplicateValues" dxfId="10913" priority="4086"/>
    <cfRule type="duplicateValues" dxfId="10912" priority="4085"/>
    <cfRule type="duplicateValues" dxfId="10911" priority="4084"/>
    <cfRule type="duplicateValues" dxfId="10910" priority="4083"/>
    <cfRule type="duplicateValues" dxfId="10909" priority="4082"/>
    <cfRule type="duplicateValues" dxfId="10908" priority="4081"/>
    <cfRule type="duplicateValues" dxfId="10907" priority="4080"/>
    <cfRule type="duplicateValues" dxfId="10906" priority="4079"/>
    <cfRule type="duplicateValues" dxfId="10905" priority="4078"/>
    <cfRule type="duplicateValues" dxfId="10904" priority="4077"/>
    <cfRule type="duplicateValues" dxfId="10903" priority="4076"/>
    <cfRule type="duplicateValues" dxfId="10902" priority="4075"/>
    <cfRule type="duplicateValues" dxfId="10901" priority="4073"/>
    <cfRule type="duplicateValues" dxfId="10900" priority="4072"/>
    <cfRule type="duplicateValues" dxfId="10899" priority="4071"/>
    <cfRule type="duplicateValues" dxfId="10898" priority="4070"/>
    <cfRule type="duplicateValues" dxfId="10897" priority="4069"/>
    <cfRule type="duplicateValues" dxfId="10896" priority="4068"/>
    <cfRule type="duplicateValues" dxfId="10895" priority="4067"/>
    <cfRule type="duplicateValues" dxfId="10894" priority="4066"/>
    <cfRule type="duplicateValues" dxfId="10893" priority="4065"/>
    <cfRule type="duplicateValues" dxfId="10892" priority="4064"/>
    <cfRule type="duplicateValues" dxfId="10891" priority="4063"/>
    <cfRule type="duplicateValues" dxfId="10890" priority="4062"/>
    <cfRule type="duplicateValues" dxfId="10889" priority="4061"/>
    <cfRule type="duplicateValues" dxfId="10888" priority="4060"/>
    <cfRule type="duplicateValues" dxfId="10887" priority="4059"/>
    <cfRule type="duplicateValues" dxfId="10886" priority="4058"/>
    <cfRule type="duplicateValues" dxfId="10885" priority="4057"/>
    <cfRule type="duplicateValues" dxfId="10884" priority="4056"/>
    <cfRule type="duplicateValues" dxfId="10883" priority="4055"/>
    <cfRule type="duplicateValues" dxfId="10882" priority="4054"/>
    <cfRule type="duplicateValues" dxfId="10881" priority="4053"/>
    <cfRule type="duplicateValues" dxfId="10880" priority="4052"/>
    <cfRule type="duplicateValues" dxfId="10879" priority="4132"/>
    <cfRule type="duplicateValues" dxfId="10878" priority="4131"/>
    <cfRule type="duplicateValues" dxfId="10877" priority="4130"/>
    <cfRule type="duplicateValues" dxfId="10876" priority="4129"/>
    <cfRule type="duplicateValues" dxfId="10875" priority="4128"/>
    <cfRule type="duplicateValues" dxfId="10874" priority="4127"/>
    <cfRule type="duplicateValues" dxfId="10873" priority="4126"/>
    <cfRule type="duplicateValues" dxfId="10872" priority="4125"/>
    <cfRule type="duplicateValues" dxfId="10871" priority="4124"/>
    <cfRule type="duplicateValues" dxfId="10870" priority="4123"/>
    <cfRule type="duplicateValues" dxfId="10869" priority="4122"/>
    <cfRule type="duplicateValues" dxfId="10868" priority="4121"/>
    <cfRule type="duplicateValues" dxfId="10867" priority="4120"/>
    <cfRule type="duplicateValues" dxfId="10866" priority="4119"/>
    <cfRule type="duplicateValues" dxfId="10865" priority="4118"/>
    <cfRule type="duplicateValues" dxfId="10864" priority="4117"/>
    <cfRule type="duplicateValues" dxfId="10863" priority="4116"/>
    <cfRule type="duplicateValues" dxfId="10862" priority="4115"/>
    <cfRule type="duplicateValues" dxfId="10861" priority="4114"/>
    <cfRule type="duplicateValues" dxfId="10860" priority="4113"/>
    <cfRule type="duplicateValues" dxfId="10859" priority="4112"/>
    <cfRule type="duplicateValues" dxfId="10858" priority="4111"/>
    <cfRule type="duplicateValues" dxfId="10857" priority="4110"/>
    <cfRule type="duplicateValues" dxfId="10856" priority="4109"/>
    <cfRule type="duplicateValues" dxfId="10855" priority="4108"/>
    <cfRule type="duplicateValues" dxfId="10854" priority="4107"/>
    <cfRule type="duplicateValues" dxfId="10853" priority="4106"/>
    <cfRule type="duplicateValues" dxfId="10852" priority="4105"/>
    <cfRule type="duplicateValues" dxfId="10851" priority="4104"/>
    <cfRule type="duplicateValues" dxfId="10850" priority="4103"/>
    <cfRule type="duplicateValues" dxfId="10849" priority="4102"/>
    <cfRule type="duplicateValues" dxfId="10848" priority="4101"/>
    <cfRule type="duplicateValues" dxfId="10847" priority="4100"/>
    <cfRule type="duplicateValues" dxfId="10846" priority="4099"/>
    <cfRule type="duplicateValues" dxfId="10845" priority="4098"/>
    <cfRule type="duplicateValues" dxfId="10844" priority="4097"/>
    <cfRule type="duplicateValues" dxfId="10843" priority="4096"/>
    <cfRule type="duplicateValues" dxfId="10842" priority="4095"/>
  </conditionalFormatting>
  <conditionalFormatting sqref="B331:B332">
    <cfRule type="duplicateValues" dxfId="10841" priority="3984"/>
    <cfRule type="duplicateValues" dxfId="10840" priority="3983"/>
    <cfRule type="duplicateValues" dxfId="10839" priority="3982"/>
    <cfRule type="duplicateValues" dxfId="10838" priority="3981"/>
    <cfRule type="duplicateValues" dxfId="10837" priority="3980"/>
    <cfRule type="duplicateValues" dxfId="10836" priority="3979"/>
    <cfRule type="duplicateValues" dxfId="10835" priority="3978"/>
    <cfRule type="duplicateValues" dxfId="10834" priority="3977"/>
    <cfRule type="duplicateValues" dxfId="10833" priority="3976"/>
    <cfRule type="duplicateValues" dxfId="10832" priority="3975"/>
    <cfRule type="duplicateValues" dxfId="10831" priority="3974"/>
    <cfRule type="duplicateValues" dxfId="10830" priority="3973"/>
    <cfRule type="duplicateValues" dxfId="10829" priority="3972"/>
    <cfRule type="duplicateValues" dxfId="10828" priority="3971"/>
    <cfRule type="duplicateValues" dxfId="10827" priority="3970"/>
    <cfRule type="duplicateValues" dxfId="10826" priority="3969"/>
    <cfRule type="duplicateValues" dxfId="10825" priority="3968"/>
    <cfRule type="duplicateValues" dxfId="10824" priority="3967"/>
    <cfRule type="duplicateValues" dxfId="10823" priority="3966"/>
    <cfRule type="duplicateValues" dxfId="10822" priority="3965"/>
    <cfRule type="duplicateValues" dxfId="10821" priority="3964"/>
    <cfRule type="duplicateValues" dxfId="10820" priority="3963"/>
    <cfRule type="duplicateValues" dxfId="10819" priority="3962"/>
    <cfRule type="duplicateValues" dxfId="10818" priority="3961"/>
    <cfRule type="duplicateValues" dxfId="10817" priority="3960"/>
    <cfRule type="duplicateValues" dxfId="10816" priority="3959"/>
    <cfRule type="duplicateValues" dxfId="10815" priority="4047"/>
    <cfRule type="duplicateValues" dxfId="10814" priority="4051"/>
    <cfRule type="duplicateValues" dxfId="10813" priority="4050"/>
    <cfRule type="duplicateValues" dxfId="10812" priority="4049"/>
    <cfRule type="duplicateValues" dxfId="10811" priority="4048"/>
    <cfRule type="duplicateValues" dxfId="10810" priority="4046"/>
    <cfRule type="duplicateValues" dxfId="10809" priority="4045"/>
    <cfRule type="duplicateValues" dxfId="10808" priority="4044"/>
    <cfRule type="duplicateValues" dxfId="10807" priority="4043"/>
    <cfRule type="duplicateValues" dxfId="10806" priority="4042"/>
    <cfRule type="duplicateValues" dxfId="10805" priority="4041"/>
    <cfRule type="duplicateValues" dxfId="10804" priority="4040"/>
    <cfRule type="duplicateValues" dxfId="10803" priority="4039"/>
    <cfRule type="duplicateValues" dxfId="10802" priority="4038"/>
    <cfRule type="duplicateValues" dxfId="10801" priority="4037"/>
    <cfRule type="duplicateValues" dxfId="10800" priority="4036"/>
    <cfRule type="duplicateValues" dxfId="10799" priority="4035"/>
    <cfRule type="duplicateValues" dxfId="10798" priority="4034"/>
    <cfRule type="duplicateValues" dxfId="10797" priority="4033"/>
    <cfRule type="duplicateValues" dxfId="10796" priority="4032"/>
    <cfRule type="duplicateValues" dxfId="10795" priority="4031"/>
    <cfRule type="duplicateValues" dxfId="10794" priority="4030"/>
    <cfRule type="duplicateValues" dxfId="10793" priority="4029"/>
    <cfRule type="duplicateValues" dxfId="10792" priority="4028"/>
    <cfRule type="duplicateValues" dxfId="10791" priority="4027"/>
    <cfRule type="duplicateValues" dxfId="10790" priority="4026"/>
    <cfRule type="duplicateValues" dxfId="10789" priority="4025"/>
    <cfRule type="duplicateValues" dxfId="10788" priority="4024"/>
    <cfRule type="duplicateValues" dxfId="10787" priority="4023"/>
    <cfRule type="duplicateValues" dxfId="10786" priority="4022"/>
    <cfRule type="duplicateValues" dxfId="10785" priority="4021"/>
    <cfRule type="duplicateValues" dxfId="10784" priority="4020"/>
    <cfRule type="duplicateValues" dxfId="10783" priority="4019"/>
    <cfRule type="duplicateValues" dxfId="10782" priority="4018"/>
    <cfRule type="duplicateValues" dxfId="10781" priority="4017"/>
    <cfRule type="duplicateValues" dxfId="10780" priority="4016"/>
    <cfRule type="duplicateValues" dxfId="10779" priority="4015"/>
    <cfRule type="duplicateValues" dxfId="10778" priority="4014"/>
    <cfRule type="duplicateValues" dxfId="10777" priority="4013"/>
    <cfRule type="duplicateValues" dxfId="10776" priority="4012"/>
    <cfRule type="duplicateValues" dxfId="10775" priority="4011"/>
    <cfRule type="duplicateValues" dxfId="10774" priority="4010"/>
    <cfRule type="duplicateValues" dxfId="10773" priority="4009"/>
    <cfRule type="duplicateValues" dxfId="10772" priority="4008"/>
    <cfRule type="duplicateValues" dxfId="10771" priority="4007"/>
    <cfRule type="duplicateValues" dxfId="10770" priority="4006"/>
    <cfRule type="duplicateValues" dxfId="10769" priority="4005"/>
    <cfRule type="duplicateValues" dxfId="10768" priority="4004"/>
    <cfRule type="duplicateValues" dxfId="10767" priority="4003"/>
    <cfRule type="duplicateValues" dxfId="10766" priority="4002"/>
    <cfRule type="duplicateValues" dxfId="10765" priority="4001"/>
    <cfRule type="duplicateValues" dxfId="10764" priority="4000"/>
    <cfRule type="duplicateValues" dxfId="10763" priority="3999"/>
    <cfRule type="duplicateValues" dxfId="10762" priority="3998"/>
    <cfRule type="duplicateValues" dxfId="10761" priority="3997"/>
    <cfRule type="duplicateValues" dxfId="10760" priority="3996"/>
    <cfRule type="duplicateValues" dxfId="10759" priority="3995"/>
    <cfRule type="duplicateValues" dxfId="10758" priority="3994"/>
    <cfRule type="duplicateValues" dxfId="10757" priority="3993"/>
    <cfRule type="duplicateValues" dxfId="10756" priority="3992"/>
    <cfRule type="duplicateValues" dxfId="10755" priority="3991"/>
    <cfRule type="duplicateValues" dxfId="10754" priority="3990"/>
    <cfRule type="duplicateValues" dxfId="10753" priority="3989"/>
    <cfRule type="duplicateValues" dxfId="10752" priority="3988"/>
    <cfRule type="duplicateValues" dxfId="10751" priority="3987"/>
    <cfRule type="duplicateValues" dxfId="10750" priority="3986"/>
    <cfRule type="duplicateValues" dxfId="10749" priority="3985"/>
  </conditionalFormatting>
  <conditionalFormatting sqref="B333">
    <cfRule type="duplicateValues" dxfId="10748" priority="3839"/>
    <cfRule type="duplicateValues" dxfId="10747" priority="3838"/>
    <cfRule type="duplicateValues" dxfId="10746" priority="3837"/>
    <cfRule type="duplicateValues" dxfId="10745" priority="3836"/>
    <cfRule type="duplicateValues" dxfId="10744" priority="3835"/>
    <cfRule type="duplicateValues" dxfId="10743" priority="3907"/>
    <cfRule type="duplicateValues" dxfId="10742" priority="3908"/>
    <cfRule type="duplicateValues" dxfId="10741" priority="3909"/>
    <cfRule type="duplicateValues" dxfId="10740" priority="3910"/>
    <cfRule type="duplicateValues" dxfId="10739" priority="3911"/>
    <cfRule type="duplicateValues" dxfId="10738" priority="3912"/>
    <cfRule type="duplicateValues" dxfId="10737" priority="3913"/>
    <cfRule type="duplicateValues" dxfId="10736" priority="3914"/>
    <cfRule type="duplicateValues" dxfId="10735" priority="3915"/>
    <cfRule type="duplicateValues" dxfId="10734" priority="3916"/>
    <cfRule type="duplicateValues" dxfId="10733" priority="3917"/>
    <cfRule type="duplicateValues" dxfId="10732" priority="3918"/>
    <cfRule type="duplicateValues" dxfId="10731" priority="3919"/>
    <cfRule type="duplicateValues" dxfId="10730" priority="3920"/>
    <cfRule type="duplicateValues" dxfId="10729" priority="3921"/>
    <cfRule type="duplicateValues" dxfId="10728" priority="3922"/>
    <cfRule type="duplicateValues" dxfId="10727" priority="3923"/>
    <cfRule type="duplicateValues" dxfId="10726" priority="3924"/>
    <cfRule type="duplicateValues" dxfId="10725" priority="3925"/>
    <cfRule type="duplicateValues" dxfId="10724" priority="3926"/>
    <cfRule type="duplicateValues" dxfId="10723" priority="3927"/>
    <cfRule type="duplicateValues" dxfId="10722" priority="3928"/>
    <cfRule type="duplicateValues" dxfId="10721" priority="3930"/>
    <cfRule type="duplicateValues" dxfId="10720" priority="3931"/>
    <cfRule type="duplicateValues" dxfId="10719" priority="3932"/>
    <cfRule type="duplicateValues" dxfId="10718" priority="3933"/>
    <cfRule type="duplicateValues" dxfId="10717" priority="3934"/>
    <cfRule type="duplicateValues" dxfId="10716" priority="3935"/>
    <cfRule type="duplicateValues" dxfId="10715" priority="3936"/>
    <cfRule type="duplicateValues" dxfId="10714" priority="3937"/>
    <cfRule type="duplicateValues" dxfId="10713" priority="3938"/>
    <cfRule type="duplicateValues" dxfId="10712" priority="3939"/>
    <cfRule type="duplicateValues" dxfId="10711" priority="3940"/>
    <cfRule type="duplicateValues" dxfId="10710" priority="3929"/>
    <cfRule type="duplicateValues" dxfId="10709" priority="3941"/>
    <cfRule type="duplicateValues" dxfId="10708" priority="3942"/>
    <cfRule type="duplicateValues" dxfId="10707" priority="3943"/>
    <cfRule type="duplicateValues" dxfId="10706" priority="3944"/>
    <cfRule type="duplicateValues" dxfId="10705" priority="3945"/>
    <cfRule type="duplicateValues" dxfId="10704" priority="3946"/>
    <cfRule type="duplicateValues" dxfId="10703" priority="3948"/>
    <cfRule type="duplicateValues" dxfId="10702" priority="3949"/>
    <cfRule type="duplicateValues" dxfId="10701" priority="3950"/>
    <cfRule type="duplicateValues" dxfId="10700" priority="3951"/>
    <cfRule type="duplicateValues" dxfId="10699" priority="3952"/>
    <cfRule type="duplicateValues" dxfId="10698" priority="3953"/>
    <cfRule type="duplicateValues" dxfId="10697" priority="3954"/>
    <cfRule type="duplicateValues" dxfId="10696" priority="3955"/>
    <cfRule type="duplicateValues" dxfId="10695" priority="3905"/>
    <cfRule type="duplicateValues" dxfId="10694" priority="3904"/>
    <cfRule type="duplicateValues" dxfId="10693" priority="3903"/>
    <cfRule type="duplicateValues" dxfId="10692" priority="3902"/>
    <cfRule type="duplicateValues" dxfId="10691" priority="3901"/>
    <cfRule type="duplicateValues" dxfId="10690" priority="3900"/>
    <cfRule type="duplicateValues" dxfId="10689" priority="3899"/>
    <cfRule type="duplicateValues" dxfId="10688" priority="3898"/>
    <cfRule type="duplicateValues" dxfId="10687" priority="3897"/>
    <cfRule type="duplicateValues" dxfId="10686" priority="3896"/>
    <cfRule type="duplicateValues" dxfId="10685" priority="3895"/>
    <cfRule type="duplicateValues" dxfId="10684" priority="3894"/>
    <cfRule type="duplicateValues" dxfId="10683" priority="3893"/>
    <cfRule type="duplicateValues" dxfId="10682" priority="3892"/>
    <cfRule type="duplicateValues" dxfId="10681" priority="3891"/>
    <cfRule type="duplicateValues" dxfId="10680" priority="3890"/>
    <cfRule type="duplicateValues" dxfId="10679" priority="3889"/>
    <cfRule type="duplicateValues" dxfId="10678" priority="3888"/>
    <cfRule type="duplicateValues" dxfId="10677" priority="3887"/>
    <cfRule type="duplicateValues" dxfId="10676" priority="3886"/>
    <cfRule type="duplicateValues" dxfId="10675" priority="3906"/>
    <cfRule type="duplicateValues" dxfId="10674" priority="3885"/>
    <cfRule type="duplicateValues" dxfId="10673" priority="3884"/>
    <cfRule type="duplicateValues" dxfId="10672" priority="3883"/>
    <cfRule type="duplicateValues" dxfId="10671" priority="3882"/>
    <cfRule type="duplicateValues" dxfId="10670" priority="3881"/>
    <cfRule type="duplicateValues" dxfId="10669" priority="3880"/>
    <cfRule type="duplicateValues" dxfId="10668" priority="3879"/>
    <cfRule type="duplicateValues" dxfId="10667" priority="3878"/>
    <cfRule type="duplicateValues" dxfId="10666" priority="3877"/>
    <cfRule type="duplicateValues" dxfId="10665" priority="3876"/>
    <cfRule type="duplicateValues" dxfId="10664" priority="3875"/>
    <cfRule type="duplicateValues" dxfId="10663" priority="3874"/>
    <cfRule type="duplicateValues" dxfId="10662" priority="3873"/>
    <cfRule type="duplicateValues" dxfId="10661" priority="3872"/>
    <cfRule type="duplicateValues" dxfId="10660" priority="3871"/>
    <cfRule type="duplicateValues" dxfId="10659" priority="3870"/>
    <cfRule type="duplicateValues" dxfId="10658" priority="3869"/>
    <cfRule type="duplicateValues" dxfId="10657" priority="3868"/>
    <cfRule type="duplicateValues" dxfId="10656" priority="3867"/>
    <cfRule type="duplicateValues" dxfId="10655" priority="3866"/>
    <cfRule type="duplicateValues" dxfId="10654" priority="3865"/>
    <cfRule type="duplicateValues" dxfId="10653" priority="3864"/>
    <cfRule type="duplicateValues" dxfId="10652" priority="3863"/>
    <cfRule type="duplicateValues" dxfId="10651" priority="3862"/>
    <cfRule type="duplicateValues" dxfId="10650" priority="3861"/>
    <cfRule type="duplicateValues" dxfId="10649" priority="3860"/>
    <cfRule type="duplicateValues" dxfId="10648" priority="3859"/>
    <cfRule type="duplicateValues" dxfId="10647" priority="3858"/>
    <cfRule type="duplicateValues" dxfId="10646" priority="3857"/>
    <cfRule type="duplicateValues" dxfId="10645" priority="3856"/>
    <cfRule type="duplicateValues" dxfId="10644" priority="3855"/>
    <cfRule type="duplicateValues" dxfId="10643" priority="3854"/>
    <cfRule type="duplicateValues" dxfId="10642" priority="3853"/>
    <cfRule type="duplicateValues" dxfId="10641" priority="3852"/>
    <cfRule type="duplicateValues" dxfId="10640" priority="3851"/>
    <cfRule type="duplicateValues" dxfId="10639" priority="3850"/>
    <cfRule type="duplicateValues" dxfId="10638" priority="3849"/>
    <cfRule type="duplicateValues" dxfId="10637" priority="3848"/>
    <cfRule type="duplicateValues" dxfId="10636" priority="3847"/>
    <cfRule type="duplicateValues" dxfId="10635" priority="3846"/>
    <cfRule type="duplicateValues" dxfId="10634" priority="3845"/>
    <cfRule type="duplicateValues" dxfId="10633" priority="3844"/>
    <cfRule type="duplicateValues" dxfId="10632" priority="3843"/>
    <cfRule type="duplicateValues" dxfId="10631" priority="3842"/>
    <cfRule type="duplicateValues" dxfId="10630" priority="3841"/>
    <cfRule type="duplicateValues" dxfId="10629" priority="3840"/>
    <cfRule type="duplicateValues" dxfId="10628" priority="3947"/>
  </conditionalFormatting>
  <conditionalFormatting sqref="B334">
    <cfRule type="duplicateValues" dxfId="10627" priority="3771"/>
    <cfRule type="duplicateValues" dxfId="10626" priority="3772"/>
    <cfRule type="duplicateValues" dxfId="10625" priority="3773"/>
    <cfRule type="duplicateValues" dxfId="10624" priority="3774"/>
    <cfRule type="duplicateValues" dxfId="10623" priority="3775"/>
    <cfRule type="duplicateValues" dxfId="10622" priority="3776"/>
    <cfRule type="duplicateValues" dxfId="10621" priority="3777"/>
    <cfRule type="duplicateValues" dxfId="10620" priority="3778"/>
    <cfRule type="duplicateValues" dxfId="10619" priority="3779"/>
    <cfRule type="duplicateValues" dxfId="10618" priority="3780"/>
    <cfRule type="duplicateValues" dxfId="10617" priority="3781"/>
    <cfRule type="duplicateValues" dxfId="10616" priority="3782"/>
    <cfRule type="duplicateValues" dxfId="10615" priority="3783"/>
    <cfRule type="duplicateValues" dxfId="10614" priority="3784"/>
    <cfRule type="duplicateValues" dxfId="10613" priority="3785"/>
    <cfRule type="duplicateValues" dxfId="10612" priority="3786"/>
    <cfRule type="duplicateValues" dxfId="10611" priority="3787"/>
    <cfRule type="duplicateValues" dxfId="10610" priority="3788"/>
    <cfRule type="duplicateValues" dxfId="10609" priority="3789"/>
    <cfRule type="duplicateValues" dxfId="10608" priority="3790"/>
    <cfRule type="duplicateValues" dxfId="10607" priority="3791"/>
    <cfRule type="duplicateValues" dxfId="10606" priority="3792"/>
    <cfRule type="duplicateValues" dxfId="10605" priority="3793"/>
    <cfRule type="duplicateValues" dxfId="10604" priority="3794"/>
    <cfRule type="duplicateValues" dxfId="10603" priority="3795"/>
    <cfRule type="duplicateValues" dxfId="10602" priority="3796"/>
    <cfRule type="duplicateValues" dxfId="10601" priority="3797"/>
    <cfRule type="duplicateValues" dxfId="10600" priority="3798"/>
    <cfRule type="duplicateValues" dxfId="10599" priority="3799"/>
    <cfRule type="duplicateValues" dxfId="10598" priority="3800"/>
    <cfRule type="duplicateValues" dxfId="10597" priority="3801"/>
    <cfRule type="duplicateValues" dxfId="10596" priority="3802"/>
    <cfRule type="duplicateValues" dxfId="10595" priority="3803"/>
    <cfRule type="duplicateValues" dxfId="10594" priority="3804"/>
    <cfRule type="duplicateValues" dxfId="10593" priority="3805"/>
    <cfRule type="duplicateValues" dxfId="10592" priority="3806"/>
    <cfRule type="duplicateValues" dxfId="10591" priority="3807"/>
    <cfRule type="duplicateValues" dxfId="10590" priority="3808"/>
    <cfRule type="duplicateValues" dxfId="10589" priority="3809"/>
    <cfRule type="duplicateValues" dxfId="10588" priority="3810"/>
    <cfRule type="duplicateValues" dxfId="10587" priority="3811"/>
    <cfRule type="duplicateValues" dxfId="10586" priority="3812"/>
    <cfRule type="duplicateValues" dxfId="10585" priority="3813"/>
    <cfRule type="duplicateValues" dxfId="10584" priority="3814"/>
    <cfRule type="duplicateValues" dxfId="10583" priority="3815"/>
    <cfRule type="duplicateValues" dxfId="10582" priority="3816"/>
    <cfRule type="duplicateValues" dxfId="10581" priority="3817"/>
    <cfRule type="duplicateValues" dxfId="10580" priority="3818"/>
    <cfRule type="duplicateValues" dxfId="10579" priority="3819"/>
    <cfRule type="duplicateValues" dxfId="10578" priority="3820"/>
    <cfRule type="duplicateValues" dxfId="10577" priority="3821"/>
    <cfRule type="duplicateValues" dxfId="10576" priority="3822"/>
    <cfRule type="duplicateValues" dxfId="10575" priority="3823"/>
    <cfRule type="duplicateValues" dxfId="10574" priority="3824"/>
    <cfRule type="duplicateValues" dxfId="10573" priority="3825"/>
    <cfRule type="duplicateValues" dxfId="10572" priority="3826"/>
    <cfRule type="duplicateValues" dxfId="10571" priority="3827"/>
    <cfRule type="duplicateValues" dxfId="10570" priority="3828"/>
    <cfRule type="duplicateValues" dxfId="10569" priority="3829"/>
    <cfRule type="duplicateValues" dxfId="10568" priority="3830"/>
    <cfRule type="duplicateValues" dxfId="10567" priority="3831"/>
    <cfRule type="duplicateValues" dxfId="10566" priority="3832"/>
    <cfRule type="duplicateValues" dxfId="10565" priority="3833"/>
    <cfRule type="duplicateValues" dxfId="10564" priority="3834"/>
    <cfRule type="duplicateValues" dxfId="10563" priority="3714"/>
    <cfRule type="duplicateValues" dxfId="10562" priority="3715"/>
    <cfRule type="duplicateValues" dxfId="10561" priority="3716"/>
    <cfRule type="duplicateValues" dxfId="10560" priority="3717"/>
    <cfRule type="duplicateValues" dxfId="10559" priority="3718"/>
    <cfRule type="duplicateValues" dxfId="10558" priority="3719"/>
    <cfRule type="duplicateValues" dxfId="10557" priority="3720"/>
    <cfRule type="duplicateValues" dxfId="10556" priority="3721"/>
    <cfRule type="duplicateValues" dxfId="10555" priority="3722"/>
    <cfRule type="duplicateValues" dxfId="10554" priority="3723"/>
    <cfRule type="duplicateValues" dxfId="10553" priority="3724"/>
    <cfRule type="duplicateValues" dxfId="10552" priority="3725"/>
    <cfRule type="duplicateValues" dxfId="10551" priority="3726"/>
    <cfRule type="duplicateValues" dxfId="10550" priority="3727"/>
    <cfRule type="duplicateValues" dxfId="10549" priority="3728"/>
    <cfRule type="duplicateValues" dxfId="10548" priority="3729"/>
    <cfRule type="duplicateValues" dxfId="10547" priority="3730"/>
    <cfRule type="duplicateValues" dxfId="10546" priority="3731"/>
    <cfRule type="duplicateValues" dxfId="10545" priority="3732"/>
    <cfRule type="duplicateValues" dxfId="10544" priority="3733"/>
    <cfRule type="duplicateValues" dxfId="10543" priority="3734"/>
    <cfRule type="duplicateValues" dxfId="10542" priority="3735"/>
    <cfRule type="duplicateValues" dxfId="10541" priority="3736"/>
    <cfRule type="duplicateValues" dxfId="10540" priority="3737"/>
    <cfRule type="duplicateValues" dxfId="10539" priority="3738"/>
    <cfRule type="duplicateValues" dxfId="10538" priority="3739"/>
    <cfRule type="duplicateValues" dxfId="10537" priority="3740"/>
    <cfRule type="duplicateValues" dxfId="10536" priority="3741"/>
    <cfRule type="duplicateValues" dxfId="10535" priority="3742"/>
    <cfRule type="duplicateValues" dxfId="10534" priority="3743"/>
    <cfRule type="duplicateValues" dxfId="10533" priority="3744"/>
    <cfRule type="duplicateValues" dxfId="10532" priority="3745"/>
    <cfRule type="duplicateValues" dxfId="10531" priority="3746"/>
    <cfRule type="duplicateValues" dxfId="10530" priority="3747"/>
    <cfRule type="duplicateValues" dxfId="10529" priority="3748"/>
    <cfRule type="duplicateValues" dxfId="10528" priority="3749"/>
    <cfRule type="duplicateValues" dxfId="10527" priority="3750"/>
    <cfRule type="duplicateValues" dxfId="10526" priority="3751"/>
    <cfRule type="duplicateValues" dxfId="10525" priority="3752"/>
    <cfRule type="duplicateValues" dxfId="10524" priority="3753"/>
    <cfRule type="duplicateValues" dxfId="10523" priority="3754"/>
    <cfRule type="duplicateValues" dxfId="10522" priority="3755"/>
    <cfRule type="duplicateValues" dxfId="10521" priority="3756"/>
    <cfRule type="duplicateValues" dxfId="10520" priority="3757"/>
    <cfRule type="duplicateValues" dxfId="10519" priority="3758"/>
    <cfRule type="duplicateValues" dxfId="10518" priority="3759"/>
    <cfRule type="duplicateValues" dxfId="10517" priority="3760"/>
    <cfRule type="duplicateValues" dxfId="10516" priority="3761"/>
    <cfRule type="duplicateValues" dxfId="10515" priority="3762"/>
    <cfRule type="duplicateValues" dxfId="10514" priority="3763"/>
    <cfRule type="duplicateValues" dxfId="10513" priority="3764"/>
    <cfRule type="duplicateValues" dxfId="10512" priority="3765"/>
    <cfRule type="duplicateValues" dxfId="10511" priority="3766"/>
    <cfRule type="duplicateValues" dxfId="10510" priority="3767"/>
    <cfRule type="duplicateValues" dxfId="10509" priority="3768"/>
    <cfRule type="duplicateValues" dxfId="10508" priority="3769"/>
    <cfRule type="duplicateValues" dxfId="10507" priority="3770"/>
  </conditionalFormatting>
  <conditionalFormatting sqref="B339">
    <cfRule type="duplicateValues" dxfId="10506" priority="3575"/>
    <cfRule type="duplicateValues" dxfId="10505" priority="3576"/>
    <cfRule type="duplicateValues" dxfId="10504" priority="3577"/>
    <cfRule type="duplicateValues" dxfId="10503" priority="3579"/>
    <cfRule type="duplicateValues" dxfId="10502" priority="3580"/>
    <cfRule type="duplicateValues" dxfId="10501" priority="3581"/>
    <cfRule type="duplicateValues" dxfId="10500" priority="3582"/>
    <cfRule type="duplicateValues" dxfId="10499" priority="3583"/>
    <cfRule type="duplicateValues" dxfId="10498" priority="3584"/>
    <cfRule type="duplicateValues" dxfId="10497" priority="3585"/>
    <cfRule type="duplicateValues" dxfId="10496" priority="3578"/>
    <cfRule type="duplicateValues" dxfId="10495" priority="3586"/>
  </conditionalFormatting>
  <conditionalFormatting sqref="B340:B345 B335:B338">
    <cfRule type="duplicateValues" dxfId="10494" priority="3708"/>
    <cfRule type="duplicateValues" dxfId="10493" priority="3709"/>
    <cfRule type="duplicateValues" dxfId="10492" priority="3710"/>
    <cfRule type="duplicateValues" dxfId="10491" priority="3711"/>
    <cfRule type="duplicateValues" dxfId="10490" priority="3712"/>
    <cfRule type="duplicateValues" dxfId="10489" priority="3713"/>
  </conditionalFormatting>
  <conditionalFormatting sqref="B346:B352">
    <cfRule type="duplicateValues" dxfId="10488" priority="3501"/>
    <cfRule type="duplicateValues" dxfId="10487" priority="3502"/>
    <cfRule type="duplicateValues" dxfId="10486" priority="3503"/>
    <cfRule type="duplicateValues" dxfId="10485" priority="3504"/>
    <cfRule type="duplicateValues" dxfId="10484" priority="3505"/>
    <cfRule type="duplicateValues" dxfId="10483" priority="3506"/>
    <cfRule type="duplicateValues" dxfId="10482" priority="3507"/>
    <cfRule type="duplicateValues" dxfId="10481" priority="3508"/>
    <cfRule type="duplicateValues" dxfId="10480" priority="3509"/>
    <cfRule type="duplicateValues" dxfId="10479" priority="3510"/>
    <cfRule type="duplicateValues" dxfId="10478" priority="3511"/>
    <cfRule type="duplicateValues" dxfId="10477" priority="3512"/>
    <cfRule type="duplicateValues" dxfId="10476" priority="3513"/>
    <cfRule type="duplicateValues" dxfId="10475" priority="3514"/>
    <cfRule type="duplicateValues" dxfId="10474" priority="3515"/>
    <cfRule type="duplicateValues" dxfId="10473" priority="3516"/>
    <cfRule type="duplicateValues" dxfId="10472" priority="3517"/>
    <cfRule type="duplicateValues" dxfId="10471" priority="3518"/>
    <cfRule type="duplicateValues" dxfId="10470" priority="3519"/>
    <cfRule type="duplicateValues" dxfId="10469" priority="3520"/>
    <cfRule type="duplicateValues" dxfId="10468" priority="3521"/>
    <cfRule type="duplicateValues" dxfId="10467" priority="3522"/>
    <cfRule type="duplicateValues" dxfId="10466" priority="3523"/>
    <cfRule type="duplicateValues" dxfId="10465" priority="3524"/>
    <cfRule type="duplicateValues" dxfId="10464" priority="3525"/>
    <cfRule type="duplicateValues" dxfId="10463" priority="3526"/>
    <cfRule type="duplicateValues" dxfId="10462" priority="3527"/>
    <cfRule type="duplicateValues" dxfId="10461" priority="3528"/>
    <cfRule type="duplicateValues" dxfId="10460" priority="3529"/>
    <cfRule type="duplicateValues" dxfId="10459" priority="3530"/>
    <cfRule type="duplicateValues" dxfId="10458" priority="3531"/>
    <cfRule type="duplicateValues" dxfId="10457" priority="3532"/>
    <cfRule type="duplicateValues" dxfId="10456" priority="3533"/>
    <cfRule type="duplicateValues" dxfId="10455" priority="3534"/>
    <cfRule type="duplicateValues" dxfId="10454" priority="3535"/>
    <cfRule type="duplicateValues" dxfId="10453" priority="3536"/>
    <cfRule type="duplicateValues" dxfId="10452" priority="3537"/>
    <cfRule type="duplicateValues" dxfId="10451" priority="3538"/>
    <cfRule type="duplicateValues" dxfId="10450" priority="3539"/>
    <cfRule type="duplicateValues" dxfId="10449" priority="3540"/>
    <cfRule type="duplicateValues" dxfId="10448" priority="3541"/>
    <cfRule type="duplicateValues" dxfId="10447" priority="3542"/>
    <cfRule type="duplicateValues" dxfId="10446" priority="3543"/>
    <cfRule type="duplicateValues" dxfId="10445" priority="3544"/>
    <cfRule type="duplicateValues" dxfId="10444" priority="3545"/>
    <cfRule type="duplicateValues" dxfId="10443" priority="3546"/>
    <cfRule type="duplicateValues" dxfId="10442" priority="3547"/>
    <cfRule type="duplicateValues" dxfId="10441" priority="3548"/>
    <cfRule type="duplicateValues" dxfId="10440" priority="3549"/>
    <cfRule type="duplicateValues" dxfId="10439" priority="3550"/>
    <cfRule type="duplicateValues" dxfId="10438" priority="3551"/>
    <cfRule type="duplicateValues" dxfId="10437" priority="3552"/>
    <cfRule type="duplicateValues" dxfId="10436" priority="3553"/>
    <cfRule type="duplicateValues" dxfId="10435" priority="3554"/>
    <cfRule type="duplicateValues" dxfId="10434" priority="3555"/>
    <cfRule type="duplicateValues" dxfId="10433" priority="3556"/>
    <cfRule type="duplicateValues" dxfId="10432" priority="3557"/>
    <cfRule type="duplicateValues" dxfId="10431" priority="3558"/>
    <cfRule type="duplicateValues" dxfId="10430" priority="3559"/>
    <cfRule type="duplicateValues" dxfId="10429" priority="3560"/>
    <cfRule type="duplicateValues" dxfId="10428" priority="3561"/>
    <cfRule type="duplicateValues" dxfId="10427" priority="3562"/>
    <cfRule type="duplicateValues" dxfId="10426" priority="3563"/>
    <cfRule type="duplicateValues" dxfId="10425" priority="3564"/>
    <cfRule type="duplicateValues" dxfId="10424" priority="3565"/>
    <cfRule type="duplicateValues" dxfId="10423" priority="3566"/>
    <cfRule type="duplicateValues" dxfId="10422" priority="3567"/>
    <cfRule type="duplicateValues" dxfId="10421" priority="3568"/>
    <cfRule type="duplicateValues" dxfId="10420" priority="3569"/>
    <cfRule type="duplicateValues" dxfId="10419" priority="3570"/>
    <cfRule type="duplicateValues" dxfId="10418" priority="3571"/>
    <cfRule type="duplicateValues" dxfId="10417" priority="3572"/>
    <cfRule type="duplicateValues" dxfId="10416" priority="3573"/>
    <cfRule type="duplicateValues" dxfId="10415" priority="3574"/>
    <cfRule type="duplicateValues" dxfId="10414" priority="3458"/>
    <cfRule type="duplicateValues" dxfId="10413" priority="3459"/>
    <cfRule type="duplicateValues" dxfId="10412" priority="3460"/>
    <cfRule type="duplicateValues" dxfId="10411" priority="3461"/>
    <cfRule type="duplicateValues" dxfId="10410" priority="3462"/>
    <cfRule type="duplicateValues" dxfId="10409" priority="3463"/>
    <cfRule type="duplicateValues" dxfId="10408" priority="3464"/>
    <cfRule type="duplicateValues" dxfId="10407" priority="3465"/>
    <cfRule type="duplicateValues" dxfId="10406" priority="3466"/>
    <cfRule type="duplicateValues" dxfId="10405" priority="3468"/>
    <cfRule type="duplicateValues" dxfId="10404" priority="3469"/>
    <cfRule type="duplicateValues" dxfId="10403" priority="3470"/>
    <cfRule type="duplicateValues" dxfId="10402" priority="3471"/>
    <cfRule type="duplicateValues" dxfId="10401" priority="3472"/>
    <cfRule type="duplicateValues" dxfId="10400" priority="3473"/>
    <cfRule type="duplicateValues" dxfId="10399" priority="3474"/>
    <cfRule type="duplicateValues" dxfId="10398" priority="3475"/>
    <cfRule type="duplicateValues" dxfId="10397" priority="3476"/>
    <cfRule type="duplicateValues" dxfId="10396" priority="3477"/>
    <cfRule type="duplicateValues" dxfId="10395" priority="3478"/>
    <cfRule type="duplicateValues" dxfId="10394" priority="3479"/>
    <cfRule type="duplicateValues" dxfId="10393" priority="3480"/>
    <cfRule type="duplicateValues" dxfId="10392" priority="3481"/>
    <cfRule type="duplicateValues" dxfId="10391" priority="3482"/>
    <cfRule type="duplicateValues" dxfId="10390" priority="3483"/>
    <cfRule type="duplicateValues" dxfId="10389" priority="3484"/>
    <cfRule type="duplicateValues" dxfId="10388" priority="3485"/>
    <cfRule type="duplicateValues" dxfId="10387" priority="3486"/>
    <cfRule type="duplicateValues" dxfId="10386" priority="3487"/>
    <cfRule type="duplicateValues" dxfId="10385" priority="3488"/>
    <cfRule type="duplicateValues" dxfId="10384" priority="3489"/>
    <cfRule type="duplicateValues" dxfId="10383" priority="3490"/>
    <cfRule type="duplicateValues" dxfId="10382" priority="3491"/>
    <cfRule type="duplicateValues" dxfId="10381" priority="3492"/>
    <cfRule type="duplicateValues" dxfId="10380" priority="3493"/>
    <cfRule type="duplicateValues" dxfId="10379" priority="3494"/>
    <cfRule type="duplicateValues" dxfId="10378" priority="3495"/>
    <cfRule type="duplicateValues" dxfId="10377" priority="3496"/>
    <cfRule type="duplicateValues" dxfId="10376" priority="3497"/>
    <cfRule type="duplicateValues" dxfId="10375" priority="3498"/>
    <cfRule type="duplicateValues" dxfId="10374" priority="3499"/>
    <cfRule type="duplicateValues" dxfId="10373" priority="3500"/>
    <cfRule type="duplicateValues" dxfId="10372" priority="3467"/>
    <cfRule type="duplicateValues" dxfId="10371" priority="3454"/>
    <cfRule type="duplicateValues" dxfId="10370" priority="3455"/>
    <cfRule type="duplicateValues" dxfId="10369" priority="3456"/>
    <cfRule type="duplicateValues" dxfId="10368" priority="3457"/>
  </conditionalFormatting>
  <conditionalFormatting sqref="B348">
    <cfRule type="duplicateValues" dxfId="10367" priority="3452"/>
    <cfRule type="duplicateValues" dxfId="10366" priority="3448"/>
    <cfRule type="duplicateValues" dxfId="10365" priority="3449"/>
    <cfRule type="duplicateValues" dxfId="10364" priority="3450"/>
    <cfRule type="duplicateValues" dxfId="10363" priority="3451"/>
    <cfRule type="duplicateValues" dxfId="10362" priority="3453"/>
  </conditionalFormatting>
  <conditionalFormatting sqref="B353:B357">
    <cfRule type="duplicateValues" dxfId="10361" priority="3331"/>
    <cfRule type="duplicateValues" dxfId="10360" priority="3332"/>
    <cfRule type="duplicateValues" dxfId="10359" priority="3333"/>
    <cfRule type="duplicateValues" dxfId="10358" priority="3334"/>
    <cfRule type="duplicateValues" dxfId="10357" priority="3335"/>
    <cfRule type="duplicateValues" dxfId="10356" priority="3336"/>
    <cfRule type="duplicateValues" dxfId="10355" priority="3337"/>
    <cfRule type="duplicateValues" dxfId="10354" priority="3338"/>
    <cfRule type="duplicateValues" dxfId="10353" priority="3339"/>
    <cfRule type="duplicateValues" dxfId="10352" priority="3340"/>
    <cfRule type="duplicateValues" dxfId="10351" priority="3341"/>
    <cfRule type="duplicateValues" dxfId="10350" priority="3342"/>
    <cfRule type="duplicateValues" dxfId="10349" priority="3343"/>
    <cfRule type="duplicateValues" dxfId="10348" priority="3344"/>
    <cfRule type="duplicateValues" dxfId="10347" priority="3345"/>
    <cfRule type="duplicateValues" dxfId="10346" priority="3346"/>
    <cfRule type="duplicateValues" dxfId="10345" priority="3347"/>
    <cfRule type="duplicateValues" dxfId="10344" priority="3348"/>
    <cfRule type="duplicateValues" dxfId="10343" priority="3349"/>
    <cfRule type="duplicateValues" dxfId="10342" priority="3350"/>
    <cfRule type="duplicateValues" dxfId="10341" priority="3351"/>
    <cfRule type="duplicateValues" dxfId="10340" priority="3352"/>
    <cfRule type="duplicateValues" dxfId="10339" priority="3353"/>
    <cfRule type="duplicateValues" dxfId="10338" priority="3354"/>
    <cfRule type="duplicateValues" dxfId="10337" priority="3355"/>
    <cfRule type="duplicateValues" dxfId="10336" priority="3356"/>
    <cfRule type="duplicateValues" dxfId="10335" priority="3357"/>
    <cfRule type="duplicateValues" dxfId="10334" priority="3358"/>
    <cfRule type="duplicateValues" dxfId="10333" priority="3359"/>
    <cfRule type="duplicateValues" dxfId="10332" priority="3360"/>
    <cfRule type="duplicateValues" dxfId="10331" priority="3361"/>
    <cfRule type="duplicateValues" dxfId="10330" priority="3362"/>
    <cfRule type="duplicateValues" dxfId="10329" priority="3363"/>
    <cfRule type="duplicateValues" dxfId="10328" priority="3364"/>
    <cfRule type="duplicateValues" dxfId="10327" priority="3365"/>
    <cfRule type="duplicateValues" dxfId="10326" priority="3366"/>
    <cfRule type="duplicateValues" dxfId="10325" priority="3415"/>
    <cfRule type="duplicateValues" dxfId="10324" priority="3416"/>
    <cfRule type="duplicateValues" dxfId="10323" priority="3417"/>
    <cfRule type="duplicateValues" dxfId="10322" priority="3418"/>
    <cfRule type="duplicateValues" dxfId="10321" priority="3419"/>
    <cfRule type="duplicateValues" dxfId="10320" priority="3420"/>
    <cfRule type="duplicateValues" dxfId="10319" priority="3421"/>
    <cfRule type="duplicateValues" dxfId="10318" priority="3423"/>
    <cfRule type="duplicateValues" dxfId="10317" priority="3424"/>
    <cfRule type="duplicateValues" dxfId="10316" priority="3425"/>
    <cfRule type="duplicateValues" dxfId="10315" priority="3426"/>
    <cfRule type="duplicateValues" dxfId="10314" priority="3427"/>
    <cfRule type="duplicateValues" dxfId="10313" priority="3428"/>
    <cfRule type="duplicateValues" dxfId="10312" priority="3429"/>
    <cfRule type="duplicateValues" dxfId="10311" priority="3430"/>
    <cfRule type="duplicateValues" dxfId="10310" priority="3431"/>
    <cfRule type="duplicateValues" dxfId="10309" priority="3432"/>
    <cfRule type="duplicateValues" dxfId="10308" priority="3433"/>
    <cfRule type="duplicateValues" dxfId="10307" priority="3368"/>
    <cfRule type="duplicateValues" dxfId="10306" priority="3435"/>
    <cfRule type="duplicateValues" dxfId="10305" priority="3436"/>
    <cfRule type="duplicateValues" dxfId="10304" priority="3422"/>
    <cfRule type="duplicateValues" dxfId="10303" priority="3438"/>
    <cfRule type="duplicateValues" dxfId="10302" priority="3439"/>
    <cfRule type="duplicateValues" dxfId="10301" priority="3440"/>
    <cfRule type="duplicateValues" dxfId="10300" priority="3441"/>
    <cfRule type="duplicateValues" dxfId="10299" priority="3442"/>
    <cfRule type="duplicateValues" dxfId="10298" priority="3443"/>
    <cfRule type="duplicateValues" dxfId="10297" priority="3444"/>
    <cfRule type="duplicateValues" dxfId="10296" priority="3445"/>
    <cfRule type="duplicateValues" dxfId="10295" priority="3446"/>
    <cfRule type="duplicateValues" dxfId="10294" priority="3447"/>
    <cfRule type="duplicateValues" dxfId="10293" priority="3327"/>
    <cfRule type="duplicateValues" dxfId="10292" priority="3390"/>
    <cfRule type="duplicateValues" dxfId="10291" priority="3328"/>
    <cfRule type="duplicateValues" dxfId="10290" priority="3329"/>
    <cfRule type="duplicateValues" dxfId="10289" priority="3437"/>
    <cfRule type="duplicateValues" dxfId="10288" priority="3330"/>
    <cfRule type="duplicateValues" dxfId="10287" priority="3369"/>
    <cfRule type="duplicateValues" dxfId="10286" priority="3370"/>
    <cfRule type="duplicateValues" dxfId="10285" priority="3371"/>
    <cfRule type="duplicateValues" dxfId="10284" priority="3372"/>
    <cfRule type="duplicateValues" dxfId="10283" priority="3373"/>
    <cfRule type="duplicateValues" dxfId="10282" priority="3374"/>
    <cfRule type="duplicateValues" dxfId="10281" priority="3375"/>
    <cfRule type="duplicateValues" dxfId="10280" priority="3376"/>
    <cfRule type="duplicateValues" dxfId="10279" priority="3377"/>
    <cfRule type="duplicateValues" dxfId="10278" priority="3378"/>
    <cfRule type="duplicateValues" dxfId="10277" priority="3379"/>
    <cfRule type="duplicateValues" dxfId="10276" priority="3380"/>
    <cfRule type="duplicateValues" dxfId="10275" priority="3381"/>
    <cfRule type="duplicateValues" dxfId="10274" priority="3367"/>
    <cfRule type="duplicateValues" dxfId="10273" priority="3382"/>
    <cfRule type="duplicateValues" dxfId="10272" priority="3383"/>
    <cfRule type="duplicateValues" dxfId="10271" priority="3384"/>
    <cfRule type="duplicateValues" dxfId="10270" priority="3385"/>
    <cfRule type="duplicateValues" dxfId="10269" priority="3386"/>
    <cfRule type="duplicateValues" dxfId="10268" priority="3387"/>
    <cfRule type="duplicateValues" dxfId="10267" priority="3388"/>
    <cfRule type="duplicateValues" dxfId="10266" priority="3389"/>
    <cfRule type="duplicateValues" dxfId="10265" priority="3391"/>
    <cfRule type="duplicateValues" dxfId="10264" priority="3392"/>
    <cfRule type="duplicateValues" dxfId="10263" priority="3393"/>
    <cfRule type="duplicateValues" dxfId="10262" priority="3394"/>
    <cfRule type="duplicateValues" dxfId="10261" priority="3395"/>
    <cfRule type="duplicateValues" dxfId="10260" priority="3396"/>
    <cfRule type="duplicateValues" dxfId="10259" priority="3397"/>
    <cfRule type="duplicateValues" dxfId="10258" priority="3398"/>
    <cfRule type="duplicateValues" dxfId="10257" priority="3399"/>
    <cfRule type="duplicateValues" dxfId="10256" priority="3400"/>
    <cfRule type="duplicateValues" dxfId="10255" priority="3401"/>
    <cfRule type="duplicateValues" dxfId="10254" priority="3402"/>
    <cfRule type="duplicateValues" dxfId="10253" priority="3403"/>
    <cfRule type="duplicateValues" dxfId="10252" priority="3404"/>
    <cfRule type="duplicateValues" dxfId="10251" priority="3405"/>
    <cfRule type="duplicateValues" dxfId="10250" priority="3406"/>
    <cfRule type="duplicateValues" dxfId="10249" priority="3407"/>
    <cfRule type="duplicateValues" dxfId="10248" priority="3408"/>
    <cfRule type="duplicateValues" dxfId="10247" priority="3409"/>
    <cfRule type="duplicateValues" dxfId="10246" priority="3410"/>
    <cfRule type="duplicateValues" dxfId="10245" priority="3411"/>
    <cfRule type="duplicateValues" dxfId="10244" priority="3412"/>
    <cfRule type="duplicateValues" dxfId="10243" priority="3413"/>
    <cfRule type="duplicateValues" dxfId="10242" priority="3414"/>
    <cfRule type="duplicateValues" dxfId="10241" priority="3434"/>
  </conditionalFormatting>
  <conditionalFormatting sqref="B354:B362">
    <cfRule type="duplicateValues" dxfId="10240" priority="3302"/>
    <cfRule type="duplicateValues" dxfId="10239" priority="3235"/>
    <cfRule type="duplicateValues" dxfId="10238" priority="3236"/>
    <cfRule type="duplicateValues" dxfId="10237" priority="3237"/>
    <cfRule type="duplicateValues" dxfId="10236" priority="3238"/>
    <cfRule type="duplicateValues" dxfId="10235" priority="3239"/>
    <cfRule type="duplicateValues" dxfId="10234" priority="3240"/>
    <cfRule type="duplicateValues" dxfId="10233" priority="3241"/>
    <cfRule type="duplicateValues" dxfId="10232" priority="3242"/>
    <cfRule type="duplicateValues" dxfId="10231" priority="3243"/>
    <cfRule type="duplicateValues" dxfId="10230" priority="3244"/>
    <cfRule type="duplicateValues" dxfId="10229" priority="3245"/>
    <cfRule type="duplicateValues" dxfId="10228" priority="3246"/>
    <cfRule type="duplicateValues" dxfId="10227" priority="3247"/>
    <cfRule type="duplicateValues" dxfId="10226" priority="3248"/>
    <cfRule type="duplicateValues" dxfId="10225" priority="3249"/>
    <cfRule type="duplicateValues" dxfId="10224" priority="3250"/>
    <cfRule type="duplicateValues" dxfId="10223" priority="3251"/>
    <cfRule type="duplicateValues" dxfId="10222" priority="3252"/>
    <cfRule type="duplicateValues" dxfId="10221" priority="3253"/>
    <cfRule type="duplicateValues" dxfId="10220" priority="3254"/>
    <cfRule type="duplicateValues" dxfId="10219" priority="3255"/>
    <cfRule type="duplicateValues" dxfId="10218" priority="3256"/>
    <cfRule type="duplicateValues" dxfId="10217" priority="3257"/>
    <cfRule type="duplicateValues" dxfId="10216" priority="3258"/>
    <cfRule type="duplicateValues" dxfId="10215" priority="3259"/>
    <cfRule type="duplicateValues" dxfId="10214" priority="3260"/>
    <cfRule type="duplicateValues" dxfId="10213" priority="3261"/>
    <cfRule type="duplicateValues" dxfId="10212" priority="3262"/>
    <cfRule type="duplicateValues" dxfId="10211" priority="3263"/>
    <cfRule type="duplicateValues" dxfId="10210" priority="3264"/>
    <cfRule type="duplicateValues" dxfId="10209" priority="3265"/>
    <cfRule type="duplicateValues" dxfId="10208" priority="3266"/>
    <cfRule type="duplicateValues" dxfId="10207" priority="3267"/>
    <cfRule type="duplicateValues" dxfId="10206" priority="3268"/>
    <cfRule type="duplicateValues" dxfId="10205" priority="3269"/>
    <cfRule type="duplicateValues" dxfId="10204" priority="3270"/>
    <cfRule type="duplicateValues" dxfId="10203" priority="3271"/>
    <cfRule type="duplicateValues" dxfId="10202" priority="3272"/>
    <cfRule type="duplicateValues" dxfId="10201" priority="3273"/>
    <cfRule type="duplicateValues" dxfId="10200" priority="3274"/>
    <cfRule type="duplicateValues" dxfId="10199" priority="3275"/>
    <cfRule type="duplicateValues" dxfId="10198" priority="3276"/>
    <cfRule type="duplicateValues" dxfId="10197" priority="3277"/>
    <cfRule type="duplicateValues" dxfId="10196" priority="3278"/>
    <cfRule type="duplicateValues" dxfId="10195" priority="3279"/>
    <cfRule type="duplicateValues" dxfId="10194" priority="3280"/>
    <cfRule type="duplicateValues" dxfId="10193" priority="3281"/>
    <cfRule type="duplicateValues" dxfId="10192" priority="3282"/>
    <cfRule type="duplicateValues" dxfId="10191" priority="3283"/>
    <cfRule type="duplicateValues" dxfId="10190" priority="3284"/>
    <cfRule type="duplicateValues" dxfId="10189" priority="3285"/>
    <cfRule type="duplicateValues" dxfId="10188" priority="3286"/>
    <cfRule type="duplicateValues" dxfId="10187" priority="3287"/>
    <cfRule type="duplicateValues" dxfId="10186" priority="3288"/>
    <cfRule type="duplicateValues" dxfId="10185" priority="3289"/>
    <cfRule type="duplicateValues" dxfId="10184" priority="3290"/>
    <cfRule type="duplicateValues" dxfId="10183" priority="3291"/>
    <cfRule type="duplicateValues" dxfId="10182" priority="3292"/>
    <cfRule type="duplicateValues" dxfId="10181" priority="3293"/>
    <cfRule type="duplicateValues" dxfId="10180" priority="3294"/>
    <cfRule type="duplicateValues" dxfId="10179" priority="3295"/>
    <cfRule type="duplicateValues" dxfId="10178" priority="3296"/>
    <cfRule type="duplicateValues" dxfId="10177" priority="3297"/>
    <cfRule type="duplicateValues" dxfId="10176" priority="3298"/>
    <cfRule type="duplicateValues" dxfId="10175" priority="3299"/>
    <cfRule type="duplicateValues" dxfId="10174" priority="3300"/>
    <cfRule type="duplicateValues" dxfId="10173" priority="3301"/>
    <cfRule type="duplicateValues" dxfId="10172" priority="3326"/>
    <cfRule type="duplicateValues" dxfId="10171" priority="3325"/>
    <cfRule type="duplicateValues" dxfId="10170" priority="3324"/>
    <cfRule type="duplicateValues" dxfId="10169" priority="3323"/>
    <cfRule type="duplicateValues" dxfId="10168" priority="3322"/>
    <cfRule type="duplicateValues" dxfId="10167" priority="3321"/>
    <cfRule type="duplicateValues" dxfId="10166" priority="3320"/>
    <cfRule type="duplicateValues" dxfId="10165" priority="3319"/>
    <cfRule type="duplicateValues" dxfId="10164" priority="3318"/>
    <cfRule type="duplicateValues" dxfId="10163" priority="3317"/>
    <cfRule type="duplicateValues" dxfId="10162" priority="3316"/>
    <cfRule type="duplicateValues" dxfId="10161" priority="3315"/>
    <cfRule type="duplicateValues" dxfId="10160" priority="3314"/>
    <cfRule type="duplicateValues" dxfId="10159" priority="3313"/>
    <cfRule type="duplicateValues" dxfId="10158" priority="3312"/>
    <cfRule type="duplicateValues" dxfId="10157" priority="3311"/>
    <cfRule type="duplicateValues" dxfId="10156" priority="3310"/>
    <cfRule type="duplicateValues" dxfId="10155" priority="3309"/>
    <cfRule type="duplicateValues" dxfId="10154" priority="3308"/>
    <cfRule type="duplicateValues" dxfId="10153" priority="3307"/>
    <cfRule type="duplicateValues" dxfId="10152" priority="3306"/>
    <cfRule type="duplicateValues" dxfId="10151" priority="3305"/>
    <cfRule type="duplicateValues" dxfId="10150" priority="3304"/>
    <cfRule type="duplicateValues" dxfId="10149" priority="3303"/>
    <cfRule type="duplicateValues" dxfId="10148" priority="3206"/>
    <cfRule type="duplicateValues" dxfId="10147" priority="3207"/>
    <cfRule type="duplicateValues" dxfId="10146" priority="3208"/>
    <cfRule type="duplicateValues" dxfId="10145" priority="3209"/>
    <cfRule type="duplicateValues" dxfId="10144" priority="3210"/>
    <cfRule type="duplicateValues" dxfId="10143" priority="3211"/>
    <cfRule type="duplicateValues" dxfId="10142" priority="3212"/>
    <cfRule type="duplicateValues" dxfId="10141" priority="3213"/>
    <cfRule type="duplicateValues" dxfId="10140" priority="3214"/>
    <cfRule type="duplicateValues" dxfId="10139" priority="3215"/>
    <cfRule type="duplicateValues" dxfId="10138" priority="3216"/>
    <cfRule type="duplicateValues" dxfId="10137" priority="3217"/>
    <cfRule type="duplicateValues" dxfId="10136" priority="3218"/>
    <cfRule type="duplicateValues" dxfId="10135" priority="3219"/>
    <cfRule type="duplicateValues" dxfId="10134" priority="3220"/>
    <cfRule type="duplicateValues" dxfId="10133" priority="3221"/>
    <cfRule type="duplicateValues" dxfId="10132" priority="3222"/>
    <cfRule type="duplicateValues" dxfId="10131" priority="3223"/>
    <cfRule type="duplicateValues" dxfId="10130" priority="3224"/>
    <cfRule type="duplicateValues" dxfId="10129" priority="3225"/>
    <cfRule type="duplicateValues" dxfId="10128" priority="3226"/>
    <cfRule type="duplicateValues" dxfId="10127" priority="3227"/>
    <cfRule type="duplicateValues" dxfId="10126" priority="3228"/>
    <cfRule type="duplicateValues" dxfId="10125" priority="3229"/>
    <cfRule type="duplicateValues" dxfId="10124" priority="3230"/>
    <cfRule type="duplicateValues" dxfId="10123" priority="3231"/>
    <cfRule type="duplicateValues" dxfId="10122" priority="3232"/>
    <cfRule type="duplicateValues" dxfId="10121" priority="3233"/>
    <cfRule type="duplicateValues" dxfId="10120" priority="3234"/>
  </conditionalFormatting>
  <conditionalFormatting sqref="B363">
    <cfRule type="duplicateValues" dxfId="10119" priority="3183"/>
    <cfRule type="duplicateValues" dxfId="10118" priority="3182"/>
    <cfRule type="duplicateValues" dxfId="10117" priority="3181"/>
    <cfRule type="duplicateValues" dxfId="10116" priority="3180"/>
    <cfRule type="duplicateValues" dxfId="10115" priority="3179"/>
    <cfRule type="duplicateValues" dxfId="10114" priority="3178"/>
    <cfRule type="duplicateValues" dxfId="10113" priority="3177"/>
    <cfRule type="duplicateValues" dxfId="10112" priority="3176"/>
    <cfRule type="duplicateValues" dxfId="10111" priority="3175"/>
    <cfRule type="duplicateValues" dxfId="10110" priority="3174"/>
    <cfRule type="duplicateValues" dxfId="10109" priority="3173"/>
    <cfRule type="duplicateValues" dxfId="10108" priority="3172"/>
    <cfRule type="duplicateValues" dxfId="10107" priority="3171"/>
    <cfRule type="duplicateValues" dxfId="10106" priority="3170"/>
    <cfRule type="duplicateValues" dxfId="10105" priority="3169"/>
    <cfRule type="duplicateValues" dxfId="10104" priority="3168"/>
    <cfRule type="duplicateValues" dxfId="10103" priority="3167"/>
    <cfRule type="duplicateValues" dxfId="10102" priority="3166"/>
    <cfRule type="duplicateValues" dxfId="10101" priority="3165"/>
    <cfRule type="duplicateValues" dxfId="10100" priority="3164"/>
    <cfRule type="duplicateValues" dxfId="10099" priority="3163"/>
    <cfRule type="duplicateValues" dxfId="10098" priority="3162"/>
    <cfRule type="duplicateValues" dxfId="10097" priority="3161"/>
    <cfRule type="duplicateValues" dxfId="10096" priority="3160"/>
    <cfRule type="duplicateValues" dxfId="10095" priority="3159"/>
    <cfRule type="duplicateValues" dxfId="10094" priority="3158"/>
    <cfRule type="duplicateValues" dxfId="10093" priority="3157"/>
    <cfRule type="duplicateValues" dxfId="10092" priority="3156"/>
    <cfRule type="duplicateValues" dxfId="10091" priority="3155"/>
    <cfRule type="duplicateValues" dxfId="10090" priority="3154"/>
    <cfRule type="duplicateValues" dxfId="10089" priority="3153"/>
    <cfRule type="duplicateValues" dxfId="10088" priority="3152"/>
    <cfRule type="duplicateValues" dxfId="10087" priority="3151"/>
    <cfRule type="duplicateValues" dxfId="10086" priority="3150"/>
    <cfRule type="duplicateValues" dxfId="10085" priority="3149"/>
    <cfRule type="duplicateValues" dxfId="10084" priority="3148"/>
    <cfRule type="duplicateValues" dxfId="10083" priority="3147"/>
    <cfRule type="duplicateValues" dxfId="10082" priority="3146"/>
    <cfRule type="duplicateValues" dxfId="10081" priority="3145"/>
    <cfRule type="duplicateValues" dxfId="10080" priority="3144"/>
    <cfRule type="duplicateValues" dxfId="10079" priority="3143"/>
    <cfRule type="duplicateValues" dxfId="10078" priority="3142"/>
    <cfRule type="duplicateValues" dxfId="10077" priority="3141"/>
    <cfRule type="duplicateValues" dxfId="10076" priority="3140"/>
    <cfRule type="duplicateValues" dxfId="10075" priority="3139"/>
    <cfRule type="duplicateValues" dxfId="10074" priority="3092"/>
    <cfRule type="duplicateValues" dxfId="10073" priority="3138"/>
    <cfRule type="duplicateValues" dxfId="10072" priority="3137"/>
    <cfRule type="duplicateValues" dxfId="10071" priority="3136"/>
    <cfRule type="duplicateValues" dxfId="10070" priority="3135"/>
    <cfRule type="duplicateValues" dxfId="10069" priority="3134"/>
    <cfRule type="duplicateValues" dxfId="10068" priority="3133"/>
    <cfRule type="duplicateValues" dxfId="10067" priority="3132"/>
    <cfRule type="duplicateValues" dxfId="10066" priority="3130"/>
    <cfRule type="duplicateValues" dxfId="10065" priority="3129"/>
    <cfRule type="duplicateValues" dxfId="10064" priority="3128"/>
    <cfRule type="duplicateValues" dxfId="10063" priority="3127"/>
    <cfRule type="duplicateValues" dxfId="10062" priority="3126"/>
    <cfRule type="duplicateValues" dxfId="10061" priority="3125"/>
    <cfRule type="duplicateValues" dxfId="10060" priority="3124"/>
    <cfRule type="duplicateValues" dxfId="10059" priority="3123"/>
    <cfRule type="duplicateValues" dxfId="10058" priority="3122"/>
    <cfRule type="duplicateValues" dxfId="10057" priority="3121"/>
    <cfRule type="duplicateValues" dxfId="10056" priority="3120"/>
    <cfRule type="duplicateValues" dxfId="10055" priority="3119"/>
    <cfRule type="duplicateValues" dxfId="10054" priority="3118"/>
    <cfRule type="duplicateValues" dxfId="10053" priority="3117"/>
    <cfRule type="duplicateValues" dxfId="10052" priority="3116"/>
    <cfRule type="duplicateValues" dxfId="10051" priority="3115"/>
    <cfRule type="duplicateValues" dxfId="10050" priority="3114"/>
    <cfRule type="duplicateValues" dxfId="10049" priority="3113"/>
    <cfRule type="duplicateValues" dxfId="10048" priority="3112"/>
    <cfRule type="duplicateValues" dxfId="10047" priority="3111"/>
    <cfRule type="duplicateValues" dxfId="10046" priority="3110"/>
    <cfRule type="duplicateValues" dxfId="10045" priority="3109"/>
    <cfRule type="duplicateValues" dxfId="10044" priority="3108"/>
    <cfRule type="duplicateValues" dxfId="10043" priority="3107"/>
    <cfRule type="duplicateValues" dxfId="10042" priority="3106"/>
    <cfRule type="duplicateValues" dxfId="10041" priority="3105"/>
    <cfRule type="duplicateValues" dxfId="10040" priority="3104"/>
    <cfRule type="duplicateValues" dxfId="10039" priority="3103"/>
    <cfRule type="duplicateValues" dxfId="10038" priority="3102"/>
    <cfRule type="duplicateValues" dxfId="10037" priority="3101"/>
    <cfRule type="duplicateValues" dxfId="10036" priority="3100"/>
    <cfRule type="duplicateValues" dxfId="10035" priority="3099"/>
    <cfRule type="duplicateValues" dxfId="10034" priority="3098"/>
    <cfRule type="duplicateValues" dxfId="10033" priority="3097"/>
    <cfRule type="duplicateValues" dxfId="10032" priority="3096"/>
    <cfRule type="duplicateValues" dxfId="10031" priority="3095"/>
    <cfRule type="duplicateValues" dxfId="10030" priority="3094"/>
    <cfRule type="duplicateValues" dxfId="10029" priority="3093"/>
    <cfRule type="duplicateValues" dxfId="10028" priority="3091"/>
    <cfRule type="duplicateValues" dxfId="10027" priority="3090"/>
    <cfRule type="duplicateValues" dxfId="10026" priority="3089"/>
    <cfRule type="duplicateValues" dxfId="10025" priority="3088"/>
    <cfRule type="duplicateValues" dxfId="10024" priority="3087"/>
    <cfRule type="duplicateValues" dxfId="10023" priority="3086"/>
    <cfRule type="duplicateValues" dxfId="10022" priority="3085"/>
    <cfRule type="duplicateValues" dxfId="10021" priority="3184"/>
    <cfRule type="duplicateValues" dxfId="10020" priority="3205"/>
    <cfRule type="duplicateValues" dxfId="10019" priority="3204"/>
    <cfRule type="duplicateValues" dxfId="10018" priority="3203"/>
    <cfRule type="duplicateValues" dxfId="10017" priority="3202"/>
    <cfRule type="duplicateValues" dxfId="10016" priority="3201"/>
    <cfRule type="duplicateValues" dxfId="10015" priority="3200"/>
    <cfRule type="duplicateValues" dxfId="10014" priority="3199"/>
    <cfRule type="duplicateValues" dxfId="10013" priority="3198"/>
    <cfRule type="duplicateValues" dxfId="10012" priority="3197"/>
    <cfRule type="duplicateValues" dxfId="10011" priority="3196"/>
    <cfRule type="duplicateValues" dxfId="10010" priority="3195"/>
    <cfRule type="duplicateValues" dxfId="10009" priority="3194"/>
    <cfRule type="duplicateValues" dxfId="10008" priority="3193"/>
    <cfRule type="duplicateValues" dxfId="10007" priority="3192"/>
    <cfRule type="duplicateValues" dxfId="10006" priority="3131"/>
    <cfRule type="duplicateValues" dxfId="10005" priority="3191"/>
    <cfRule type="duplicateValues" dxfId="10004" priority="3190"/>
    <cfRule type="duplicateValues" dxfId="10003" priority="3189"/>
    <cfRule type="duplicateValues" dxfId="10002" priority="3188"/>
    <cfRule type="duplicateValues" dxfId="10001" priority="3187"/>
    <cfRule type="duplicateValues" dxfId="10000" priority="3186"/>
    <cfRule type="duplicateValues" dxfId="9999" priority="3185"/>
  </conditionalFormatting>
  <conditionalFormatting sqref="B364">
    <cfRule type="duplicateValues" dxfId="9998" priority="3060"/>
    <cfRule type="duplicateValues" dxfId="9997" priority="3059"/>
    <cfRule type="duplicateValues" dxfId="9996" priority="3058"/>
    <cfRule type="duplicateValues" dxfId="9995" priority="3057"/>
    <cfRule type="duplicateValues" dxfId="9994" priority="3056"/>
    <cfRule type="duplicateValues" dxfId="9993" priority="3055"/>
    <cfRule type="duplicateValues" dxfId="9992" priority="3054"/>
    <cfRule type="duplicateValues" dxfId="9991" priority="3053"/>
    <cfRule type="duplicateValues" dxfId="9990" priority="3052"/>
    <cfRule type="duplicateValues" dxfId="9989" priority="3051"/>
    <cfRule type="duplicateValues" dxfId="9988" priority="3050"/>
    <cfRule type="duplicateValues" dxfId="9987" priority="3049"/>
    <cfRule type="duplicateValues" dxfId="9986" priority="3048"/>
    <cfRule type="duplicateValues" dxfId="9985" priority="3047"/>
    <cfRule type="duplicateValues" dxfId="9984" priority="3046"/>
    <cfRule type="duplicateValues" dxfId="9983" priority="3045"/>
    <cfRule type="duplicateValues" dxfId="9982" priority="3044"/>
    <cfRule type="duplicateValues" dxfId="9981" priority="3043"/>
    <cfRule type="duplicateValues" dxfId="9980" priority="3042"/>
    <cfRule type="duplicateValues" dxfId="9979" priority="3041"/>
    <cfRule type="duplicateValues" dxfId="9978" priority="3040"/>
    <cfRule type="duplicateValues" dxfId="9977" priority="3039"/>
    <cfRule type="duplicateValues" dxfId="9976" priority="3038"/>
    <cfRule type="duplicateValues" dxfId="9975" priority="3037"/>
    <cfRule type="duplicateValues" dxfId="9974" priority="3036"/>
    <cfRule type="duplicateValues" dxfId="9973" priority="3035"/>
    <cfRule type="duplicateValues" dxfId="9972" priority="3034"/>
    <cfRule type="duplicateValues" dxfId="9971" priority="3033"/>
    <cfRule type="duplicateValues" dxfId="9970" priority="3032"/>
    <cfRule type="duplicateValues" dxfId="9969" priority="3031"/>
    <cfRule type="duplicateValues" dxfId="9968" priority="3030"/>
    <cfRule type="duplicateValues" dxfId="9967" priority="3029"/>
    <cfRule type="duplicateValues" dxfId="9966" priority="3028"/>
    <cfRule type="duplicateValues" dxfId="9965" priority="3027"/>
    <cfRule type="duplicateValues" dxfId="9964" priority="3026"/>
    <cfRule type="duplicateValues" dxfId="9963" priority="3025"/>
    <cfRule type="duplicateValues" dxfId="9962" priority="3024"/>
    <cfRule type="duplicateValues" dxfId="9961" priority="3023"/>
    <cfRule type="duplicateValues" dxfId="9960" priority="3022"/>
    <cfRule type="duplicateValues" dxfId="9959" priority="3021"/>
    <cfRule type="duplicateValues" dxfId="9958" priority="3020"/>
    <cfRule type="duplicateValues" dxfId="9957" priority="3019"/>
    <cfRule type="duplicateValues" dxfId="9956" priority="3018"/>
    <cfRule type="duplicateValues" dxfId="9955" priority="3017"/>
    <cfRule type="duplicateValues" dxfId="9954" priority="3016"/>
    <cfRule type="duplicateValues" dxfId="9953" priority="3015"/>
    <cfRule type="duplicateValues" dxfId="9952" priority="3014"/>
    <cfRule type="duplicateValues" dxfId="9951" priority="3013"/>
    <cfRule type="duplicateValues" dxfId="9950" priority="3012"/>
    <cfRule type="duplicateValues" dxfId="9949" priority="3011"/>
    <cfRule type="duplicateValues" dxfId="9948" priority="3010"/>
    <cfRule type="duplicateValues" dxfId="9947" priority="3009"/>
    <cfRule type="duplicateValues" dxfId="9946" priority="3008"/>
    <cfRule type="duplicateValues" dxfId="9945" priority="3007"/>
    <cfRule type="duplicateValues" dxfId="9944" priority="3006"/>
    <cfRule type="duplicateValues" dxfId="9943" priority="3005"/>
    <cfRule type="duplicateValues" dxfId="9942" priority="3004"/>
    <cfRule type="duplicateValues" dxfId="9941" priority="3003"/>
    <cfRule type="duplicateValues" dxfId="9940" priority="3002"/>
    <cfRule type="duplicateValues" dxfId="9939" priority="3001"/>
    <cfRule type="duplicateValues" dxfId="9938" priority="3084"/>
    <cfRule type="duplicateValues" dxfId="9937" priority="2999"/>
    <cfRule type="duplicateValues" dxfId="9936" priority="2998"/>
    <cfRule type="duplicateValues" dxfId="9935" priority="2997"/>
    <cfRule type="duplicateValues" dxfId="9934" priority="2996"/>
    <cfRule type="duplicateValues" dxfId="9933" priority="2995"/>
    <cfRule type="duplicateValues" dxfId="9932" priority="2994"/>
    <cfRule type="duplicateValues" dxfId="9931" priority="2993"/>
    <cfRule type="duplicateValues" dxfId="9930" priority="2992"/>
    <cfRule type="duplicateValues" dxfId="9929" priority="2991"/>
    <cfRule type="duplicateValues" dxfId="9928" priority="2990"/>
    <cfRule type="duplicateValues" dxfId="9927" priority="2989"/>
    <cfRule type="duplicateValues" dxfId="9926" priority="2988"/>
    <cfRule type="duplicateValues" dxfId="9925" priority="2987"/>
    <cfRule type="duplicateValues" dxfId="9924" priority="2986"/>
    <cfRule type="duplicateValues" dxfId="9923" priority="2985"/>
    <cfRule type="duplicateValues" dxfId="9922" priority="2984"/>
    <cfRule type="duplicateValues" dxfId="9921" priority="2983"/>
    <cfRule type="duplicateValues" dxfId="9920" priority="2982"/>
    <cfRule type="duplicateValues" dxfId="9919" priority="2981"/>
    <cfRule type="duplicateValues" dxfId="9918" priority="2980"/>
    <cfRule type="duplicateValues" dxfId="9917" priority="2979"/>
    <cfRule type="duplicateValues" dxfId="9916" priority="2978"/>
    <cfRule type="duplicateValues" dxfId="9915" priority="2977"/>
    <cfRule type="duplicateValues" dxfId="9914" priority="2976"/>
    <cfRule type="duplicateValues" dxfId="9913" priority="2975"/>
    <cfRule type="duplicateValues" dxfId="9912" priority="2974"/>
    <cfRule type="duplicateValues" dxfId="9911" priority="2973"/>
    <cfRule type="duplicateValues" dxfId="9910" priority="2972"/>
    <cfRule type="duplicateValues" dxfId="9909" priority="2971"/>
    <cfRule type="duplicateValues" dxfId="9908" priority="3000"/>
    <cfRule type="duplicateValues" dxfId="9907" priority="2969"/>
    <cfRule type="duplicateValues" dxfId="9906" priority="2968"/>
    <cfRule type="duplicateValues" dxfId="9905" priority="3080"/>
    <cfRule type="duplicateValues" dxfId="9904" priority="2967"/>
    <cfRule type="duplicateValues" dxfId="9903" priority="2966"/>
    <cfRule type="duplicateValues" dxfId="9902" priority="2965"/>
    <cfRule type="duplicateValues" dxfId="9901" priority="2964"/>
    <cfRule type="duplicateValues" dxfId="9900" priority="3083"/>
    <cfRule type="duplicateValues" dxfId="9899" priority="3082"/>
    <cfRule type="duplicateValues" dxfId="9898" priority="3081"/>
    <cfRule type="duplicateValues" dxfId="9897" priority="3079"/>
    <cfRule type="duplicateValues" dxfId="9896" priority="3078"/>
    <cfRule type="duplicateValues" dxfId="9895" priority="3077"/>
    <cfRule type="duplicateValues" dxfId="9894" priority="3076"/>
    <cfRule type="duplicateValues" dxfId="9893" priority="3075"/>
    <cfRule type="duplicateValues" dxfId="9892" priority="3074"/>
    <cfRule type="duplicateValues" dxfId="9891" priority="3073"/>
    <cfRule type="duplicateValues" dxfId="9890" priority="3072"/>
    <cfRule type="duplicateValues" dxfId="9889" priority="3071"/>
    <cfRule type="duplicateValues" dxfId="9888" priority="3070"/>
    <cfRule type="duplicateValues" dxfId="9887" priority="3069"/>
    <cfRule type="duplicateValues" dxfId="9886" priority="3068"/>
    <cfRule type="duplicateValues" dxfId="9885" priority="3067"/>
    <cfRule type="duplicateValues" dxfId="9884" priority="3066"/>
    <cfRule type="duplicateValues" dxfId="9883" priority="3065"/>
    <cfRule type="duplicateValues" dxfId="9882" priority="3064"/>
    <cfRule type="duplicateValues" dxfId="9881" priority="3063"/>
    <cfRule type="duplicateValues" dxfId="9880" priority="3062"/>
    <cfRule type="duplicateValues" dxfId="9879" priority="3061"/>
    <cfRule type="duplicateValues" dxfId="9878" priority="2970"/>
  </conditionalFormatting>
  <conditionalFormatting sqref="B365:B366">
    <cfRule type="duplicateValues" dxfId="9877" priority="2910"/>
    <cfRule type="duplicateValues" dxfId="9876" priority="2911"/>
    <cfRule type="duplicateValues" dxfId="9875" priority="2912"/>
    <cfRule type="duplicateValues" dxfId="9874" priority="2913"/>
    <cfRule type="duplicateValues" dxfId="9873" priority="2914"/>
    <cfRule type="duplicateValues" dxfId="9872" priority="2915"/>
    <cfRule type="duplicateValues" dxfId="9871" priority="2916"/>
    <cfRule type="duplicateValues" dxfId="9870" priority="2917"/>
    <cfRule type="duplicateValues" dxfId="9869" priority="2918"/>
    <cfRule type="duplicateValues" dxfId="9868" priority="2919"/>
    <cfRule type="duplicateValues" dxfId="9867" priority="2920"/>
    <cfRule type="duplicateValues" dxfId="9866" priority="2921"/>
    <cfRule type="duplicateValues" dxfId="9865" priority="2922"/>
    <cfRule type="duplicateValues" dxfId="9864" priority="2923"/>
    <cfRule type="duplicateValues" dxfId="9863" priority="2924"/>
    <cfRule type="duplicateValues" dxfId="9862" priority="2925"/>
    <cfRule type="duplicateValues" dxfId="9861" priority="2926"/>
    <cfRule type="duplicateValues" dxfId="9860" priority="2927"/>
    <cfRule type="duplicateValues" dxfId="9859" priority="2928"/>
    <cfRule type="duplicateValues" dxfId="9858" priority="2929"/>
    <cfRule type="duplicateValues" dxfId="9857" priority="2930"/>
    <cfRule type="duplicateValues" dxfId="9856" priority="2931"/>
    <cfRule type="duplicateValues" dxfId="9855" priority="2932"/>
    <cfRule type="duplicateValues" dxfId="9854" priority="2933"/>
    <cfRule type="duplicateValues" dxfId="9853" priority="2934"/>
    <cfRule type="duplicateValues" dxfId="9852" priority="2936"/>
    <cfRule type="duplicateValues" dxfId="9851" priority="2937"/>
    <cfRule type="duplicateValues" dxfId="9850" priority="2849"/>
    <cfRule type="duplicateValues" dxfId="9849" priority="2938"/>
    <cfRule type="duplicateValues" dxfId="9848" priority="2939"/>
    <cfRule type="duplicateValues" dxfId="9847" priority="2940"/>
    <cfRule type="duplicateValues" dxfId="9846" priority="2941"/>
    <cfRule type="duplicateValues" dxfId="9845" priority="2895"/>
    <cfRule type="duplicateValues" dxfId="9844" priority="2850"/>
    <cfRule type="duplicateValues" dxfId="9843" priority="2851"/>
    <cfRule type="duplicateValues" dxfId="9842" priority="2852"/>
    <cfRule type="duplicateValues" dxfId="9841" priority="2853"/>
    <cfRule type="duplicateValues" dxfId="9840" priority="2854"/>
    <cfRule type="duplicateValues" dxfId="9839" priority="2855"/>
    <cfRule type="duplicateValues" dxfId="9838" priority="2856"/>
    <cfRule type="duplicateValues" dxfId="9837" priority="2857"/>
    <cfRule type="duplicateValues" dxfId="9836" priority="2858"/>
    <cfRule type="duplicateValues" dxfId="9835" priority="2859"/>
    <cfRule type="duplicateValues" dxfId="9834" priority="2860"/>
    <cfRule type="duplicateValues" dxfId="9833" priority="2861"/>
    <cfRule type="duplicateValues" dxfId="9832" priority="2862"/>
    <cfRule type="duplicateValues" dxfId="9831" priority="2863"/>
    <cfRule type="duplicateValues" dxfId="9830" priority="2864"/>
    <cfRule type="duplicateValues" dxfId="9829" priority="2865"/>
    <cfRule type="duplicateValues" dxfId="9828" priority="2866"/>
    <cfRule type="duplicateValues" dxfId="9827" priority="2867"/>
    <cfRule type="duplicateValues" dxfId="9826" priority="2868"/>
    <cfRule type="duplicateValues" dxfId="9825" priority="2869"/>
    <cfRule type="duplicateValues" dxfId="9824" priority="2870"/>
    <cfRule type="duplicateValues" dxfId="9823" priority="2871"/>
    <cfRule type="duplicateValues" dxfId="9822" priority="2872"/>
    <cfRule type="duplicateValues" dxfId="9821" priority="2873"/>
    <cfRule type="duplicateValues" dxfId="9820" priority="2874"/>
    <cfRule type="duplicateValues" dxfId="9819" priority="2875"/>
    <cfRule type="duplicateValues" dxfId="9818" priority="2876"/>
    <cfRule type="duplicateValues" dxfId="9817" priority="2877"/>
    <cfRule type="duplicateValues" dxfId="9816" priority="2878"/>
    <cfRule type="duplicateValues" dxfId="9815" priority="2879"/>
    <cfRule type="duplicateValues" dxfId="9814" priority="2880"/>
    <cfRule type="duplicateValues" dxfId="9813" priority="2881"/>
    <cfRule type="duplicateValues" dxfId="9812" priority="2882"/>
    <cfRule type="duplicateValues" dxfId="9811" priority="2883"/>
    <cfRule type="duplicateValues" dxfId="9810" priority="2884"/>
    <cfRule type="duplicateValues" dxfId="9809" priority="2885"/>
    <cfRule type="duplicateValues" dxfId="9808" priority="2886"/>
    <cfRule type="duplicateValues" dxfId="9807" priority="2963"/>
    <cfRule type="duplicateValues" dxfId="9806" priority="2962"/>
    <cfRule type="duplicateValues" dxfId="9805" priority="2961"/>
    <cfRule type="duplicateValues" dxfId="9804" priority="2960"/>
    <cfRule type="duplicateValues" dxfId="9803" priority="2959"/>
    <cfRule type="duplicateValues" dxfId="9802" priority="2958"/>
    <cfRule type="duplicateValues" dxfId="9801" priority="2957"/>
    <cfRule type="duplicateValues" dxfId="9800" priority="2956"/>
    <cfRule type="duplicateValues" dxfId="9799" priority="2955"/>
    <cfRule type="duplicateValues" dxfId="9798" priority="2954"/>
    <cfRule type="duplicateValues" dxfId="9797" priority="2953"/>
    <cfRule type="duplicateValues" dxfId="9796" priority="2952"/>
    <cfRule type="duplicateValues" dxfId="9795" priority="2951"/>
    <cfRule type="duplicateValues" dxfId="9794" priority="2950"/>
    <cfRule type="duplicateValues" dxfId="9793" priority="2949"/>
    <cfRule type="duplicateValues" dxfId="9792" priority="2948"/>
    <cfRule type="duplicateValues" dxfId="9791" priority="2947"/>
    <cfRule type="duplicateValues" dxfId="9790" priority="2946"/>
    <cfRule type="duplicateValues" dxfId="9789" priority="2945"/>
    <cfRule type="duplicateValues" dxfId="9788" priority="2944"/>
    <cfRule type="duplicateValues" dxfId="9787" priority="2942"/>
    <cfRule type="duplicateValues" dxfId="9786" priority="2887"/>
    <cfRule type="duplicateValues" dxfId="9785" priority="2888"/>
    <cfRule type="duplicateValues" dxfId="9784" priority="2889"/>
    <cfRule type="duplicateValues" dxfId="9783" priority="2890"/>
    <cfRule type="duplicateValues" dxfId="9782" priority="2891"/>
    <cfRule type="duplicateValues" dxfId="9781" priority="2892"/>
    <cfRule type="duplicateValues" dxfId="9780" priority="2893"/>
    <cfRule type="duplicateValues" dxfId="9779" priority="2894"/>
    <cfRule type="duplicateValues" dxfId="9778" priority="2896"/>
    <cfRule type="duplicateValues" dxfId="9777" priority="2897"/>
    <cfRule type="duplicateValues" dxfId="9776" priority="2898"/>
    <cfRule type="duplicateValues" dxfId="9775" priority="2899"/>
    <cfRule type="duplicateValues" dxfId="9774" priority="2900"/>
    <cfRule type="duplicateValues" dxfId="9773" priority="2901"/>
    <cfRule type="duplicateValues" dxfId="9772" priority="2902"/>
    <cfRule type="duplicateValues" dxfId="9771" priority="2903"/>
    <cfRule type="duplicateValues" dxfId="9770" priority="2904"/>
    <cfRule type="duplicateValues" dxfId="9769" priority="2905"/>
    <cfRule type="duplicateValues" dxfId="9768" priority="2906"/>
    <cfRule type="duplicateValues" dxfId="9767" priority="2935"/>
    <cfRule type="duplicateValues" dxfId="9766" priority="2943"/>
    <cfRule type="duplicateValues" dxfId="9765" priority="2907"/>
    <cfRule type="duplicateValues" dxfId="9764" priority="2908"/>
    <cfRule type="duplicateValues" dxfId="9763" priority="2909"/>
    <cfRule type="duplicateValues" dxfId="9762" priority="2848"/>
    <cfRule type="duplicateValues" dxfId="9761" priority="2847"/>
    <cfRule type="duplicateValues" dxfId="9760" priority="2846"/>
    <cfRule type="duplicateValues" dxfId="9759" priority="2845"/>
    <cfRule type="duplicateValues" dxfId="9758" priority="2844"/>
    <cfRule type="duplicateValues" dxfId="9757" priority="2843"/>
  </conditionalFormatting>
  <conditionalFormatting sqref="B367">
    <cfRule type="duplicateValues" dxfId="9756" priority="2744"/>
    <cfRule type="duplicateValues" dxfId="9755" priority="2842"/>
    <cfRule type="duplicateValues" dxfId="9754" priority="2841"/>
    <cfRule type="duplicateValues" dxfId="9753" priority="2840"/>
    <cfRule type="duplicateValues" dxfId="9752" priority="2839"/>
    <cfRule type="duplicateValues" dxfId="9751" priority="2838"/>
    <cfRule type="duplicateValues" dxfId="9750" priority="2837"/>
    <cfRule type="duplicateValues" dxfId="9749" priority="2836"/>
    <cfRule type="duplicateValues" dxfId="9748" priority="2835"/>
    <cfRule type="duplicateValues" dxfId="9747" priority="2834"/>
    <cfRule type="duplicateValues" dxfId="9746" priority="2833"/>
    <cfRule type="duplicateValues" dxfId="9745" priority="2832"/>
    <cfRule type="duplicateValues" dxfId="9744" priority="2831"/>
    <cfRule type="duplicateValues" dxfId="9743" priority="2830"/>
    <cfRule type="duplicateValues" dxfId="9742" priority="2829"/>
    <cfRule type="duplicateValues" dxfId="9741" priority="2828"/>
    <cfRule type="duplicateValues" dxfId="9740" priority="2827"/>
    <cfRule type="duplicateValues" dxfId="9739" priority="2826"/>
    <cfRule type="duplicateValues" dxfId="9738" priority="2825"/>
    <cfRule type="duplicateValues" dxfId="9737" priority="2824"/>
    <cfRule type="duplicateValues" dxfId="9736" priority="2823"/>
    <cfRule type="duplicateValues" dxfId="9735" priority="2822"/>
    <cfRule type="duplicateValues" dxfId="9734" priority="2821"/>
    <cfRule type="duplicateValues" dxfId="9733" priority="2820"/>
    <cfRule type="duplicateValues" dxfId="9732" priority="2819"/>
    <cfRule type="duplicateValues" dxfId="9731" priority="2818"/>
    <cfRule type="duplicateValues" dxfId="9730" priority="2817"/>
    <cfRule type="duplicateValues" dxfId="9729" priority="2816"/>
    <cfRule type="duplicateValues" dxfId="9728" priority="2815"/>
    <cfRule type="duplicateValues" dxfId="9727" priority="2814"/>
    <cfRule type="duplicateValues" dxfId="9726" priority="2813"/>
    <cfRule type="duplicateValues" dxfId="9725" priority="2812"/>
    <cfRule type="duplicateValues" dxfId="9724" priority="2811"/>
    <cfRule type="duplicateValues" dxfId="9723" priority="2810"/>
    <cfRule type="duplicateValues" dxfId="9722" priority="2809"/>
    <cfRule type="duplicateValues" dxfId="9721" priority="2808"/>
    <cfRule type="duplicateValues" dxfId="9720" priority="2807"/>
    <cfRule type="duplicateValues" dxfId="9719" priority="2806"/>
    <cfRule type="duplicateValues" dxfId="9718" priority="2805"/>
    <cfRule type="duplicateValues" dxfId="9717" priority="2804"/>
    <cfRule type="duplicateValues" dxfId="9716" priority="2803"/>
    <cfRule type="duplicateValues" dxfId="9715" priority="2802"/>
    <cfRule type="duplicateValues" dxfId="9714" priority="2801"/>
    <cfRule type="duplicateValues" dxfId="9713" priority="2800"/>
    <cfRule type="duplicateValues" dxfId="9712" priority="2799"/>
    <cfRule type="duplicateValues" dxfId="9711" priority="2798"/>
    <cfRule type="duplicateValues" dxfId="9710" priority="2797"/>
    <cfRule type="duplicateValues" dxfId="9709" priority="2796"/>
    <cfRule type="duplicateValues" dxfId="9708" priority="2795"/>
    <cfRule type="duplicateValues" dxfId="9707" priority="2794"/>
    <cfRule type="duplicateValues" dxfId="9706" priority="2793"/>
    <cfRule type="duplicateValues" dxfId="9705" priority="2792"/>
    <cfRule type="duplicateValues" dxfId="9704" priority="2791"/>
    <cfRule type="duplicateValues" dxfId="9703" priority="2790"/>
    <cfRule type="duplicateValues" dxfId="9702" priority="2789"/>
    <cfRule type="duplicateValues" dxfId="9701" priority="2788"/>
    <cfRule type="duplicateValues" dxfId="9700" priority="2787"/>
    <cfRule type="duplicateValues" dxfId="9699" priority="2786"/>
    <cfRule type="duplicateValues" dxfId="9698" priority="2785"/>
    <cfRule type="duplicateValues" dxfId="9697" priority="2784"/>
    <cfRule type="duplicateValues" dxfId="9696" priority="2783"/>
    <cfRule type="duplicateValues" dxfId="9695" priority="2782"/>
    <cfRule type="duplicateValues" dxfId="9694" priority="2781"/>
    <cfRule type="duplicateValues" dxfId="9693" priority="2780"/>
    <cfRule type="duplicateValues" dxfId="9692" priority="2779"/>
    <cfRule type="duplicateValues" dxfId="9691" priority="2778"/>
    <cfRule type="duplicateValues" dxfId="9690" priority="2777"/>
    <cfRule type="duplicateValues" dxfId="9689" priority="2776"/>
    <cfRule type="duplicateValues" dxfId="9688" priority="2775"/>
    <cfRule type="duplicateValues" dxfId="9687" priority="2774"/>
    <cfRule type="duplicateValues" dxfId="9686" priority="2773"/>
    <cfRule type="duplicateValues" dxfId="9685" priority="2772"/>
    <cfRule type="duplicateValues" dxfId="9684" priority="2771"/>
    <cfRule type="duplicateValues" dxfId="9683" priority="2770"/>
    <cfRule type="duplicateValues" dxfId="9682" priority="2769"/>
    <cfRule type="duplicateValues" dxfId="9681" priority="2768"/>
    <cfRule type="duplicateValues" dxfId="9680" priority="2767"/>
    <cfRule type="duplicateValues" dxfId="9679" priority="2766"/>
    <cfRule type="duplicateValues" dxfId="9678" priority="2765"/>
    <cfRule type="duplicateValues" dxfId="9677" priority="2764"/>
    <cfRule type="duplicateValues" dxfId="9676" priority="2763"/>
    <cfRule type="duplicateValues" dxfId="9675" priority="2762"/>
    <cfRule type="duplicateValues" dxfId="9674" priority="2761"/>
    <cfRule type="duplicateValues" dxfId="9673" priority="2760"/>
    <cfRule type="duplicateValues" dxfId="9672" priority="2759"/>
    <cfRule type="duplicateValues" dxfId="9671" priority="2758"/>
    <cfRule type="duplicateValues" dxfId="9670" priority="2757"/>
    <cfRule type="duplicateValues" dxfId="9669" priority="2756"/>
    <cfRule type="duplicateValues" dxfId="9668" priority="2755"/>
    <cfRule type="duplicateValues" dxfId="9667" priority="2754"/>
    <cfRule type="duplicateValues" dxfId="9666" priority="2753"/>
    <cfRule type="duplicateValues" dxfId="9665" priority="2752"/>
    <cfRule type="duplicateValues" dxfId="9664" priority="2751"/>
    <cfRule type="duplicateValues" dxfId="9663" priority="2750"/>
    <cfRule type="duplicateValues" dxfId="9662" priority="2749"/>
    <cfRule type="duplicateValues" dxfId="9661" priority="2748"/>
    <cfRule type="duplicateValues" dxfId="9660" priority="2747"/>
    <cfRule type="duplicateValues" dxfId="9659" priority="2746"/>
    <cfRule type="duplicateValues" dxfId="9658" priority="2745"/>
    <cfRule type="duplicateValues" dxfId="9657" priority="2743"/>
    <cfRule type="duplicateValues" dxfId="9656" priority="2742"/>
    <cfRule type="duplicateValues" dxfId="9655" priority="2741"/>
    <cfRule type="duplicateValues" dxfId="9654" priority="2740"/>
    <cfRule type="duplicateValues" dxfId="9653" priority="2739"/>
    <cfRule type="duplicateValues" dxfId="9652" priority="2738"/>
    <cfRule type="duplicateValues" dxfId="9651" priority="2737"/>
    <cfRule type="duplicateValues" dxfId="9650" priority="2736"/>
    <cfRule type="duplicateValues" dxfId="9649" priority="2735"/>
    <cfRule type="duplicateValues" dxfId="9648" priority="2734"/>
    <cfRule type="duplicateValues" dxfId="9647" priority="2733"/>
    <cfRule type="duplicateValues" dxfId="9646" priority="2732"/>
    <cfRule type="duplicateValues" dxfId="9645" priority="2731"/>
    <cfRule type="duplicateValues" dxfId="9644" priority="2730"/>
    <cfRule type="duplicateValues" dxfId="9643" priority="2729"/>
    <cfRule type="duplicateValues" dxfId="9642" priority="2728"/>
    <cfRule type="duplicateValues" dxfId="9641" priority="2727"/>
    <cfRule type="duplicateValues" dxfId="9640" priority="2726"/>
    <cfRule type="duplicateValues" dxfId="9639" priority="2725"/>
    <cfRule type="duplicateValues" dxfId="9638" priority="2724"/>
    <cfRule type="duplicateValues" dxfId="9637" priority="2723"/>
    <cfRule type="duplicateValues" dxfId="9636" priority="2722"/>
  </conditionalFormatting>
  <conditionalFormatting sqref="B368:B369">
    <cfRule type="duplicateValues" dxfId="9635" priority="2623"/>
    <cfRule type="duplicateValues" dxfId="9634" priority="2704"/>
    <cfRule type="duplicateValues" dxfId="9633" priority="2705"/>
    <cfRule type="duplicateValues" dxfId="9632" priority="2706"/>
    <cfRule type="duplicateValues" dxfId="9631" priority="2707"/>
    <cfRule type="duplicateValues" dxfId="9630" priority="2708"/>
    <cfRule type="duplicateValues" dxfId="9629" priority="2709"/>
    <cfRule type="duplicateValues" dxfId="9628" priority="2710"/>
    <cfRule type="duplicateValues" dxfId="9627" priority="2711"/>
    <cfRule type="duplicateValues" dxfId="9626" priority="2712"/>
    <cfRule type="duplicateValues" dxfId="9625" priority="2713"/>
    <cfRule type="duplicateValues" dxfId="9624" priority="2714"/>
    <cfRule type="duplicateValues" dxfId="9623" priority="2715"/>
    <cfRule type="duplicateValues" dxfId="9622" priority="2716"/>
    <cfRule type="duplicateValues" dxfId="9621" priority="2717"/>
    <cfRule type="duplicateValues" dxfId="9620" priority="2718"/>
    <cfRule type="duplicateValues" dxfId="9619" priority="2719"/>
    <cfRule type="duplicateValues" dxfId="9618" priority="2720"/>
    <cfRule type="duplicateValues" dxfId="9617" priority="2601"/>
    <cfRule type="duplicateValues" dxfId="9616" priority="2602"/>
    <cfRule type="duplicateValues" dxfId="9615" priority="2603"/>
    <cfRule type="duplicateValues" dxfId="9614" priority="2604"/>
    <cfRule type="duplicateValues" dxfId="9613" priority="2605"/>
    <cfRule type="duplicateValues" dxfId="9612" priority="2606"/>
    <cfRule type="duplicateValues" dxfId="9611" priority="2607"/>
    <cfRule type="duplicateValues" dxfId="9610" priority="2608"/>
    <cfRule type="duplicateValues" dxfId="9609" priority="2609"/>
    <cfRule type="duplicateValues" dxfId="9608" priority="2610"/>
    <cfRule type="duplicateValues" dxfId="9607" priority="2611"/>
    <cfRule type="duplicateValues" dxfId="9606" priority="2612"/>
    <cfRule type="duplicateValues" dxfId="9605" priority="2613"/>
    <cfRule type="duplicateValues" dxfId="9604" priority="2614"/>
    <cfRule type="duplicateValues" dxfId="9603" priority="2615"/>
    <cfRule type="duplicateValues" dxfId="9602" priority="2616"/>
    <cfRule type="duplicateValues" dxfId="9601" priority="2617"/>
    <cfRule type="duplicateValues" dxfId="9600" priority="2618"/>
    <cfRule type="duplicateValues" dxfId="9599" priority="2619"/>
    <cfRule type="duplicateValues" dxfId="9598" priority="2620"/>
    <cfRule type="duplicateValues" dxfId="9597" priority="2621"/>
    <cfRule type="duplicateValues" dxfId="9596" priority="2622"/>
    <cfRule type="duplicateValues" dxfId="9595" priority="2663"/>
    <cfRule type="duplicateValues" dxfId="9594" priority="2624"/>
    <cfRule type="duplicateValues" dxfId="9593" priority="2625"/>
    <cfRule type="duplicateValues" dxfId="9592" priority="2626"/>
    <cfRule type="duplicateValues" dxfId="9591" priority="2627"/>
    <cfRule type="duplicateValues" dxfId="9590" priority="2628"/>
    <cfRule type="duplicateValues" dxfId="9589" priority="2629"/>
    <cfRule type="duplicateValues" dxfId="9588" priority="2630"/>
    <cfRule type="duplicateValues" dxfId="9587" priority="2631"/>
    <cfRule type="duplicateValues" dxfId="9586" priority="2632"/>
    <cfRule type="duplicateValues" dxfId="9585" priority="2633"/>
    <cfRule type="duplicateValues" dxfId="9584" priority="2634"/>
    <cfRule type="duplicateValues" dxfId="9583" priority="2636"/>
    <cfRule type="duplicateValues" dxfId="9582" priority="2637"/>
    <cfRule type="duplicateValues" dxfId="9581" priority="2638"/>
    <cfRule type="duplicateValues" dxfId="9580" priority="2639"/>
    <cfRule type="duplicateValues" dxfId="9579" priority="2640"/>
    <cfRule type="duplicateValues" dxfId="9578" priority="2641"/>
    <cfRule type="duplicateValues" dxfId="9577" priority="2642"/>
    <cfRule type="duplicateValues" dxfId="9576" priority="2643"/>
    <cfRule type="duplicateValues" dxfId="9575" priority="2644"/>
    <cfRule type="duplicateValues" dxfId="9574" priority="2645"/>
    <cfRule type="duplicateValues" dxfId="9573" priority="2646"/>
    <cfRule type="duplicateValues" dxfId="9572" priority="2647"/>
    <cfRule type="duplicateValues" dxfId="9571" priority="2648"/>
    <cfRule type="duplicateValues" dxfId="9570" priority="2649"/>
    <cfRule type="duplicateValues" dxfId="9569" priority="2650"/>
    <cfRule type="duplicateValues" dxfId="9568" priority="2651"/>
    <cfRule type="duplicateValues" dxfId="9567" priority="2652"/>
    <cfRule type="duplicateValues" dxfId="9566" priority="2653"/>
    <cfRule type="duplicateValues" dxfId="9565" priority="2654"/>
    <cfRule type="duplicateValues" dxfId="9564" priority="2655"/>
    <cfRule type="duplicateValues" dxfId="9563" priority="2656"/>
    <cfRule type="duplicateValues" dxfId="9562" priority="2657"/>
    <cfRule type="duplicateValues" dxfId="9561" priority="2658"/>
    <cfRule type="duplicateValues" dxfId="9560" priority="2659"/>
    <cfRule type="duplicateValues" dxfId="9559" priority="2660"/>
    <cfRule type="duplicateValues" dxfId="9558" priority="2635"/>
    <cfRule type="duplicateValues" dxfId="9557" priority="2661"/>
    <cfRule type="duplicateValues" dxfId="9556" priority="2662"/>
    <cfRule type="duplicateValues" dxfId="9555" priority="2721"/>
    <cfRule type="duplicateValues" dxfId="9554" priority="2664"/>
    <cfRule type="duplicateValues" dxfId="9553" priority="2665"/>
    <cfRule type="duplicateValues" dxfId="9552" priority="2666"/>
    <cfRule type="duplicateValues" dxfId="9551" priority="2667"/>
    <cfRule type="duplicateValues" dxfId="9550" priority="2668"/>
    <cfRule type="duplicateValues" dxfId="9549" priority="2669"/>
    <cfRule type="duplicateValues" dxfId="9548" priority="2670"/>
    <cfRule type="duplicateValues" dxfId="9547" priority="2671"/>
    <cfRule type="duplicateValues" dxfId="9546" priority="2672"/>
    <cfRule type="duplicateValues" dxfId="9545" priority="2673"/>
    <cfRule type="duplicateValues" dxfId="9544" priority="2674"/>
    <cfRule type="duplicateValues" dxfId="9543" priority="2675"/>
    <cfRule type="duplicateValues" dxfId="9542" priority="2676"/>
    <cfRule type="duplicateValues" dxfId="9541" priority="2677"/>
    <cfRule type="duplicateValues" dxfId="9540" priority="2678"/>
    <cfRule type="duplicateValues" dxfId="9539" priority="2679"/>
    <cfRule type="duplicateValues" dxfId="9538" priority="2680"/>
    <cfRule type="duplicateValues" dxfId="9537" priority="2681"/>
    <cfRule type="duplicateValues" dxfId="9536" priority="2682"/>
    <cfRule type="duplicateValues" dxfId="9535" priority="2683"/>
    <cfRule type="duplicateValues" dxfId="9534" priority="2684"/>
    <cfRule type="duplicateValues" dxfId="9533" priority="2685"/>
    <cfRule type="duplicateValues" dxfId="9532" priority="2686"/>
    <cfRule type="duplicateValues" dxfId="9531" priority="2687"/>
    <cfRule type="duplicateValues" dxfId="9530" priority="2688"/>
    <cfRule type="duplicateValues" dxfId="9529" priority="2689"/>
    <cfRule type="duplicateValues" dxfId="9528" priority="2690"/>
    <cfRule type="duplicateValues" dxfId="9527" priority="2691"/>
    <cfRule type="duplicateValues" dxfId="9526" priority="2692"/>
    <cfRule type="duplicateValues" dxfId="9525" priority="2693"/>
    <cfRule type="duplicateValues" dxfId="9524" priority="2694"/>
    <cfRule type="duplicateValues" dxfId="9523" priority="2695"/>
    <cfRule type="duplicateValues" dxfId="9522" priority="2696"/>
    <cfRule type="duplicateValues" dxfId="9521" priority="2697"/>
    <cfRule type="duplicateValues" dxfId="9520" priority="2698"/>
    <cfRule type="duplicateValues" dxfId="9519" priority="2699"/>
    <cfRule type="duplicateValues" dxfId="9518" priority="2700"/>
    <cfRule type="duplicateValues" dxfId="9517" priority="2701"/>
    <cfRule type="duplicateValues" dxfId="9516" priority="2702"/>
    <cfRule type="duplicateValues" dxfId="9515" priority="2703"/>
  </conditionalFormatting>
  <conditionalFormatting sqref="B370:B377">
    <cfRule type="duplicateValues" dxfId="9514" priority="2584"/>
    <cfRule type="duplicateValues" dxfId="9513" priority="2573"/>
    <cfRule type="duplicateValues" dxfId="9512" priority="2572"/>
    <cfRule type="duplicateValues" dxfId="9511" priority="2571"/>
    <cfRule type="duplicateValues" dxfId="9510" priority="2585"/>
    <cfRule type="duplicateValues" dxfId="9509" priority="2586"/>
    <cfRule type="duplicateValues" dxfId="9508" priority="2587"/>
    <cfRule type="duplicateValues" dxfId="9507" priority="2588"/>
    <cfRule type="duplicateValues" dxfId="9506" priority="2589"/>
    <cfRule type="duplicateValues" dxfId="9505" priority="2590"/>
    <cfRule type="duplicateValues" dxfId="9504" priority="2591"/>
    <cfRule type="duplicateValues" dxfId="9503" priority="2592"/>
    <cfRule type="duplicateValues" dxfId="9502" priority="2593"/>
    <cfRule type="duplicateValues" dxfId="9501" priority="2594"/>
    <cfRule type="duplicateValues" dxfId="9500" priority="2595"/>
    <cfRule type="duplicateValues" dxfId="9499" priority="2596"/>
    <cfRule type="duplicateValues" dxfId="9498" priority="2597"/>
    <cfRule type="duplicateValues" dxfId="9497" priority="2583"/>
    <cfRule type="duplicateValues" dxfId="9496" priority="2563"/>
    <cfRule type="duplicateValues" dxfId="9495" priority="2562"/>
    <cfRule type="duplicateValues" dxfId="9494" priority="2561"/>
    <cfRule type="duplicateValues" dxfId="9493" priority="2560"/>
    <cfRule type="duplicateValues" dxfId="9492" priority="2559"/>
    <cfRule type="duplicateValues" dxfId="9491" priority="2558"/>
    <cfRule type="duplicateValues" dxfId="9490" priority="2557"/>
    <cfRule type="duplicateValues" dxfId="9489" priority="2556"/>
    <cfRule type="duplicateValues" dxfId="9488" priority="2555"/>
    <cfRule type="duplicateValues" dxfId="9487" priority="2554"/>
    <cfRule type="duplicateValues" dxfId="9486" priority="2553"/>
    <cfRule type="duplicateValues" dxfId="9485" priority="2552"/>
    <cfRule type="duplicateValues" dxfId="9484" priority="2551"/>
    <cfRule type="duplicateValues" dxfId="9483" priority="2550"/>
    <cfRule type="duplicateValues" dxfId="9482" priority="2549"/>
    <cfRule type="duplicateValues" dxfId="9481" priority="2548"/>
    <cfRule type="duplicateValues" dxfId="9480" priority="2547"/>
    <cfRule type="duplicateValues" dxfId="9479" priority="2570"/>
    <cfRule type="duplicateValues" dxfId="9478" priority="2569"/>
    <cfRule type="duplicateValues" dxfId="9477" priority="2568"/>
    <cfRule type="duplicateValues" dxfId="9476" priority="2567"/>
    <cfRule type="duplicateValues" dxfId="9475" priority="2566"/>
    <cfRule type="duplicateValues" dxfId="9474" priority="2565"/>
    <cfRule type="duplicateValues" dxfId="9473" priority="2564"/>
    <cfRule type="duplicateValues" dxfId="9472" priority="2522"/>
    <cfRule type="duplicateValues" dxfId="9471" priority="2544"/>
    <cfRule type="duplicateValues" dxfId="9470" priority="2546"/>
    <cfRule type="duplicateValues" dxfId="9469" priority="2545"/>
    <cfRule type="duplicateValues" dxfId="9468" priority="2477"/>
    <cfRule type="duplicateValues" dxfId="9467" priority="2478"/>
    <cfRule type="duplicateValues" dxfId="9466" priority="2479"/>
    <cfRule type="duplicateValues" dxfId="9465" priority="2480"/>
    <cfRule type="duplicateValues" dxfId="9464" priority="2481"/>
    <cfRule type="duplicateValues" dxfId="9463" priority="2482"/>
    <cfRule type="duplicateValues" dxfId="9462" priority="2483"/>
    <cfRule type="duplicateValues" dxfId="9461" priority="2484"/>
    <cfRule type="duplicateValues" dxfId="9460" priority="2485"/>
    <cfRule type="duplicateValues" dxfId="9459" priority="2486"/>
    <cfRule type="duplicateValues" dxfId="9458" priority="2487"/>
    <cfRule type="duplicateValues" dxfId="9457" priority="2488"/>
    <cfRule type="duplicateValues" dxfId="9456" priority="2489"/>
    <cfRule type="duplicateValues" dxfId="9455" priority="2490"/>
    <cfRule type="duplicateValues" dxfId="9454" priority="2491"/>
    <cfRule type="duplicateValues" dxfId="9453" priority="2492"/>
    <cfRule type="duplicateValues" dxfId="9452" priority="2493"/>
    <cfRule type="duplicateValues" dxfId="9451" priority="2494"/>
    <cfRule type="duplicateValues" dxfId="9450" priority="2495"/>
    <cfRule type="duplicateValues" dxfId="9449" priority="2496"/>
    <cfRule type="duplicateValues" dxfId="9448" priority="2497"/>
    <cfRule type="duplicateValues" dxfId="9447" priority="2498"/>
    <cfRule type="duplicateValues" dxfId="9446" priority="2499"/>
    <cfRule type="duplicateValues" dxfId="9445" priority="2500"/>
    <cfRule type="duplicateValues" dxfId="9444" priority="2501"/>
    <cfRule type="duplicateValues" dxfId="9443" priority="2502"/>
    <cfRule type="duplicateValues" dxfId="9442" priority="2503"/>
    <cfRule type="duplicateValues" dxfId="9441" priority="2504"/>
    <cfRule type="duplicateValues" dxfId="9440" priority="2505"/>
    <cfRule type="duplicateValues" dxfId="9439" priority="2506"/>
    <cfRule type="duplicateValues" dxfId="9438" priority="2507"/>
    <cfRule type="duplicateValues" dxfId="9437" priority="2508"/>
    <cfRule type="duplicateValues" dxfId="9436" priority="2509"/>
    <cfRule type="duplicateValues" dxfId="9435" priority="2510"/>
    <cfRule type="duplicateValues" dxfId="9434" priority="2511"/>
    <cfRule type="duplicateValues" dxfId="9433" priority="2512"/>
    <cfRule type="duplicateValues" dxfId="9432" priority="2513"/>
    <cfRule type="duplicateValues" dxfId="9431" priority="2514"/>
    <cfRule type="duplicateValues" dxfId="9430" priority="2515"/>
    <cfRule type="duplicateValues" dxfId="9429" priority="2516"/>
    <cfRule type="duplicateValues" dxfId="9428" priority="2517"/>
    <cfRule type="duplicateValues" dxfId="9427" priority="2518"/>
    <cfRule type="duplicateValues" dxfId="9426" priority="2519"/>
    <cfRule type="duplicateValues" dxfId="9425" priority="2520"/>
    <cfRule type="duplicateValues" dxfId="9424" priority="2521"/>
    <cfRule type="duplicateValues" dxfId="9423" priority="2523"/>
    <cfRule type="duplicateValues" dxfId="9422" priority="2524"/>
    <cfRule type="duplicateValues" dxfId="9421" priority="2525"/>
    <cfRule type="duplicateValues" dxfId="9420" priority="2526"/>
    <cfRule type="duplicateValues" dxfId="9419" priority="2527"/>
    <cfRule type="duplicateValues" dxfId="9418" priority="2528"/>
    <cfRule type="duplicateValues" dxfId="9417" priority="2529"/>
    <cfRule type="duplicateValues" dxfId="9416" priority="2530"/>
    <cfRule type="duplicateValues" dxfId="9415" priority="2531"/>
    <cfRule type="duplicateValues" dxfId="9414" priority="2532"/>
    <cfRule type="duplicateValues" dxfId="9413" priority="2533"/>
    <cfRule type="duplicateValues" dxfId="9412" priority="2534"/>
    <cfRule type="duplicateValues" dxfId="9411" priority="2535"/>
    <cfRule type="duplicateValues" dxfId="9410" priority="2536"/>
    <cfRule type="duplicateValues" dxfId="9409" priority="2537"/>
    <cfRule type="duplicateValues" dxfId="9408" priority="2538"/>
    <cfRule type="duplicateValues" dxfId="9407" priority="2539"/>
    <cfRule type="duplicateValues" dxfId="9406" priority="2540"/>
    <cfRule type="duplicateValues" dxfId="9405" priority="2541"/>
    <cfRule type="duplicateValues" dxfId="9404" priority="2542"/>
    <cfRule type="duplicateValues" dxfId="9403" priority="2543"/>
    <cfRule type="duplicateValues" dxfId="9402" priority="2582"/>
    <cfRule type="duplicateValues" dxfId="9401" priority="2581"/>
    <cfRule type="duplicateValues" dxfId="9400" priority="2580"/>
    <cfRule type="duplicateValues" dxfId="9399" priority="2579"/>
    <cfRule type="duplicateValues" dxfId="9398" priority="2578"/>
    <cfRule type="duplicateValues" dxfId="9397" priority="2577"/>
    <cfRule type="duplicateValues" dxfId="9396" priority="2576"/>
    <cfRule type="duplicateValues" dxfId="9395" priority="2575"/>
    <cfRule type="duplicateValues" dxfId="9394" priority="2574"/>
  </conditionalFormatting>
  <conditionalFormatting sqref="B378:B380">
    <cfRule type="duplicateValues" dxfId="9393" priority="2402"/>
    <cfRule type="duplicateValues" dxfId="9392" priority="2399"/>
    <cfRule type="duplicateValues" dxfId="9391" priority="2400"/>
    <cfRule type="duplicateValues" dxfId="9390" priority="2379"/>
    <cfRule type="duplicateValues" dxfId="9389" priority="2380"/>
    <cfRule type="duplicateValues" dxfId="9388" priority="2381"/>
    <cfRule type="duplicateValues" dxfId="9387" priority="2382"/>
    <cfRule type="duplicateValues" dxfId="9386" priority="2383"/>
    <cfRule type="duplicateValues" dxfId="9385" priority="2384"/>
    <cfRule type="duplicateValues" dxfId="9384" priority="2385"/>
    <cfRule type="duplicateValues" dxfId="9383" priority="2412"/>
    <cfRule type="duplicateValues" dxfId="9382" priority="2403"/>
    <cfRule type="duplicateValues" dxfId="9381" priority="2404"/>
    <cfRule type="duplicateValues" dxfId="9380" priority="2405"/>
    <cfRule type="duplicateValues" dxfId="9379" priority="2406"/>
    <cfRule type="duplicateValues" dxfId="9378" priority="2407"/>
    <cfRule type="duplicateValues" dxfId="9377" priority="2408"/>
    <cfRule type="duplicateValues" dxfId="9376" priority="2409"/>
    <cfRule type="duplicateValues" dxfId="9375" priority="2410"/>
    <cfRule type="duplicateValues" dxfId="9374" priority="2411"/>
    <cfRule type="duplicateValues" dxfId="9373" priority="2401"/>
    <cfRule type="duplicateValues" dxfId="9372" priority="2413"/>
    <cfRule type="duplicateValues" dxfId="9371" priority="2414"/>
    <cfRule type="duplicateValues" dxfId="9370" priority="2415"/>
    <cfRule type="duplicateValues" dxfId="9369" priority="2416"/>
    <cfRule type="duplicateValues" dxfId="9368" priority="2417"/>
    <cfRule type="duplicateValues" dxfId="9367" priority="2418"/>
    <cfRule type="duplicateValues" dxfId="9366" priority="2419"/>
    <cfRule type="duplicateValues" dxfId="9365" priority="2420"/>
    <cfRule type="duplicateValues" dxfId="9364" priority="2421"/>
    <cfRule type="duplicateValues" dxfId="9363" priority="2422"/>
    <cfRule type="duplicateValues" dxfId="9362" priority="2423"/>
    <cfRule type="duplicateValues" dxfId="9361" priority="2424"/>
    <cfRule type="duplicateValues" dxfId="9360" priority="2425"/>
    <cfRule type="duplicateValues" dxfId="9359" priority="2426"/>
    <cfRule type="duplicateValues" dxfId="9358" priority="2427"/>
    <cfRule type="duplicateValues" dxfId="9357" priority="2428"/>
    <cfRule type="duplicateValues" dxfId="9356" priority="2429"/>
    <cfRule type="duplicateValues" dxfId="9355" priority="2430"/>
    <cfRule type="duplicateValues" dxfId="9354" priority="2431"/>
    <cfRule type="duplicateValues" dxfId="9353" priority="2432"/>
    <cfRule type="duplicateValues" dxfId="9352" priority="2433"/>
    <cfRule type="duplicateValues" dxfId="9351" priority="2434"/>
    <cfRule type="duplicateValues" dxfId="9350" priority="2386"/>
    <cfRule type="duplicateValues" dxfId="9349" priority="2435"/>
    <cfRule type="duplicateValues" dxfId="9348" priority="2436"/>
    <cfRule type="duplicateValues" dxfId="9347" priority="2437"/>
    <cfRule type="duplicateValues" dxfId="9346" priority="2438"/>
    <cfRule type="duplicateValues" dxfId="9345" priority="2439"/>
    <cfRule type="duplicateValues" dxfId="9344" priority="2440"/>
    <cfRule type="duplicateValues" dxfId="9343" priority="2441"/>
    <cfRule type="duplicateValues" dxfId="9342" priority="2442"/>
    <cfRule type="duplicateValues" dxfId="9341" priority="2443"/>
    <cfRule type="duplicateValues" dxfId="9340" priority="2444"/>
    <cfRule type="duplicateValues" dxfId="9339" priority="2445"/>
    <cfRule type="duplicateValues" dxfId="9338" priority="2446"/>
    <cfRule type="duplicateValues" dxfId="9337" priority="2447"/>
    <cfRule type="duplicateValues" dxfId="9336" priority="2448"/>
    <cfRule type="duplicateValues" dxfId="9335" priority="2449"/>
    <cfRule type="duplicateValues" dxfId="9334" priority="2450"/>
    <cfRule type="duplicateValues" dxfId="9333" priority="2451"/>
    <cfRule type="duplicateValues" dxfId="9332" priority="2452"/>
    <cfRule type="duplicateValues" dxfId="9331" priority="2453"/>
    <cfRule type="duplicateValues" dxfId="9330" priority="2387"/>
    <cfRule type="duplicateValues" dxfId="9329" priority="2388"/>
    <cfRule type="duplicateValues" dxfId="9328" priority="2389"/>
    <cfRule type="duplicateValues" dxfId="9327" priority="2454"/>
    <cfRule type="duplicateValues" dxfId="9326" priority="2455"/>
    <cfRule type="duplicateValues" dxfId="9325" priority="2456"/>
    <cfRule type="duplicateValues" dxfId="9324" priority="2457"/>
    <cfRule type="duplicateValues" dxfId="9323" priority="2458"/>
    <cfRule type="duplicateValues" dxfId="9322" priority="2459"/>
    <cfRule type="duplicateValues" dxfId="9321" priority="2390"/>
    <cfRule type="duplicateValues" dxfId="9320" priority="2391"/>
    <cfRule type="duplicateValues" dxfId="9319" priority="2392"/>
    <cfRule type="duplicateValues" dxfId="9318" priority="2393"/>
    <cfRule type="duplicateValues" dxfId="9317" priority="2394"/>
    <cfRule type="duplicateValues" dxfId="9316" priority="2395"/>
    <cfRule type="duplicateValues" dxfId="9315" priority="2396"/>
    <cfRule type="duplicateValues" dxfId="9314" priority="2397"/>
    <cfRule type="duplicateValues" dxfId="9313" priority="2398"/>
  </conditionalFormatting>
  <conditionalFormatting sqref="B378:B411 B364:B367 B320:B330 B305:B313 B273:B276 B255:B269 B1">
    <cfRule type="duplicateValues" dxfId="9312" priority="7584"/>
    <cfRule type="duplicateValues" dxfId="9311" priority="7583"/>
    <cfRule type="duplicateValues" dxfId="9310" priority="7585"/>
  </conditionalFormatting>
  <conditionalFormatting sqref="B378:B411 B364:B367 B320:B330 B305:B313 B273:B276 B255:B269">
    <cfRule type="duplicateValues" dxfId="9309" priority="5912"/>
    <cfRule type="duplicateValues" dxfId="9308" priority="5913"/>
    <cfRule type="duplicateValues" dxfId="9307" priority="5914"/>
  </conditionalFormatting>
  <conditionalFormatting sqref="B378:B413 B364:B367 B320:B330 B305:B313 B273:B276 B255:B269 B1">
    <cfRule type="duplicateValues" dxfId="9306" priority="7580"/>
    <cfRule type="duplicateValues" dxfId="9305" priority="7581"/>
    <cfRule type="duplicateValues" dxfId="9304" priority="7582"/>
  </conditionalFormatting>
  <conditionalFormatting sqref="B378:B413 B364:B367 B320:B330 B305:B313 B273:B276 B255:B269 B62 B60 B1:B39 B64:B133">
    <cfRule type="duplicateValues" dxfId="9303" priority="7586"/>
    <cfRule type="duplicateValues" dxfId="9302" priority="7587"/>
    <cfRule type="duplicateValues" dxfId="9301" priority="7588"/>
  </conditionalFormatting>
  <conditionalFormatting sqref="B381:B382">
    <cfRule type="duplicateValues" dxfId="9300" priority="2268"/>
    <cfRule type="duplicateValues" dxfId="9299" priority="2269"/>
    <cfRule type="duplicateValues" dxfId="9298" priority="2270"/>
    <cfRule type="duplicateValues" dxfId="9297" priority="2271"/>
    <cfRule type="duplicateValues" dxfId="9296" priority="2272"/>
    <cfRule type="duplicateValues" dxfId="9295" priority="2273"/>
    <cfRule type="duplicateValues" dxfId="9294" priority="2377"/>
    <cfRule type="duplicateValues" dxfId="9293" priority="2274"/>
    <cfRule type="duplicateValues" dxfId="9292" priority="2275"/>
    <cfRule type="duplicateValues" dxfId="9291" priority="2276"/>
    <cfRule type="duplicateValues" dxfId="9290" priority="2277"/>
    <cfRule type="duplicateValues" dxfId="9289" priority="2278"/>
    <cfRule type="duplicateValues" dxfId="9288" priority="2279"/>
    <cfRule type="duplicateValues" dxfId="9287" priority="2280"/>
    <cfRule type="duplicateValues" dxfId="9286" priority="2281"/>
    <cfRule type="duplicateValues" dxfId="9285" priority="2282"/>
    <cfRule type="duplicateValues" dxfId="9284" priority="2283"/>
    <cfRule type="duplicateValues" dxfId="9283" priority="2284"/>
    <cfRule type="duplicateValues" dxfId="9282" priority="2285"/>
    <cfRule type="duplicateValues" dxfId="9281" priority="2286"/>
    <cfRule type="duplicateValues" dxfId="9280" priority="2287"/>
    <cfRule type="duplicateValues" dxfId="9279" priority="2288"/>
    <cfRule type="duplicateValues" dxfId="9278" priority="2289"/>
    <cfRule type="duplicateValues" dxfId="9277" priority="2290"/>
    <cfRule type="duplicateValues" dxfId="9276" priority="2291"/>
    <cfRule type="duplicateValues" dxfId="9275" priority="2292"/>
    <cfRule type="duplicateValues" dxfId="9274" priority="2293"/>
    <cfRule type="duplicateValues" dxfId="9273" priority="2294"/>
    <cfRule type="duplicateValues" dxfId="9272" priority="2295"/>
    <cfRule type="duplicateValues" dxfId="9271" priority="2296"/>
    <cfRule type="duplicateValues" dxfId="9270" priority="2305"/>
    <cfRule type="duplicateValues" dxfId="9269" priority="2297"/>
    <cfRule type="duplicateValues" dxfId="9268" priority="2298"/>
    <cfRule type="duplicateValues" dxfId="9267" priority="2300"/>
    <cfRule type="duplicateValues" dxfId="9266" priority="2301"/>
    <cfRule type="duplicateValues" dxfId="9265" priority="2302"/>
    <cfRule type="duplicateValues" dxfId="9264" priority="2303"/>
    <cfRule type="duplicateValues" dxfId="9263" priority="2304"/>
    <cfRule type="duplicateValues" dxfId="9262" priority="2306"/>
    <cfRule type="duplicateValues" dxfId="9261" priority="2307"/>
    <cfRule type="duplicateValues" dxfId="9260" priority="2308"/>
    <cfRule type="duplicateValues" dxfId="9259" priority="2309"/>
    <cfRule type="duplicateValues" dxfId="9258" priority="2310"/>
    <cfRule type="duplicateValues" dxfId="9257" priority="2311"/>
    <cfRule type="duplicateValues" dxfId="9256" priority="2312"/>
    <cfRule type="duplicateValues" dxfId="9255" priority="2313"/>
    <cfRule type="duplicateValues" dxfId="9254" priority="2314"/>
    <cfRule type="duplicateValues" dxfId="9253" priority="2315"/>
    <cfRule type="duplicateValues" dxfId="9252" priority="2316"/>
    <cfRule type="duplicateValues" dxfId="9251" priority="2317"/>
    <cfRule type="duplicateValues" dxfId="9250" priority="2318"/>
    <cfRule type="duplicateValues" dxfId="9249" priority="2319"/>
    <cfRule type="duplicateValues" dxfId="9248" priority="2320"/>
    <cfRule type="duplicateValues" dxfId="9247" priority="2321"/>
    <cfRule type="duplicateValues" dxfId="9246" priority="2322"/>
    <cfRule type="duplicateValues" dxfId="9245" priority="2323"/>
    <cfRule type="duplicateValues" dxfId="9244" priority="2324"/>
    <cfRule type="duplicateValues" dxfId="9243" priority="2325"/>
    <cfRule type="duplicateValues" dxfId="9242" priority="2326"/>
    <cfRule type="duplicateValues" dxfId="9241" priority="2327"/>
    <cfRule type="duplicateValues" dxfId="9240" priority="2328"/>
    <cfRule type="duplicateValues" dxfId="9239" priority="2329"/>
    <cfRule type="duplicateValues" dxfId="9238" priority="2330"/>
    <cfRule type="duplicateValues" dxfId="9237" priority="2331"/>
    <cfRule type="duplicateValues" dxfId="9236" priority="2332"/>
    <cfRule type="duplicateValues" dxfId="9235" priority="2333"/>
    <cfRule type="duplicateValues" dxfId="9234" priority="2334"/>
    <cfRule type="duplicateValues" dxfId="9233" priority="2335"/>
    <cfRule type="duplicateValues" dxfId="9232" priority="2336"/>
    <cfRule type="duplicateValues" dxfId="9231" priority="2337"/>
    <cfRule type="duplicateValues" dxfId="9230" priority="2338"/>
    <cfRule type="duplicateValues" dxfId="9229" priority="2339"/>
    <cfRule type="duplicateValues" dxfId="9228" priority="2340"/>
    <cfRule type="duplicateValues" dxfId="9227" priority="2345"/>
    <cfRule type="duplicateValues" dxfId="9226" priority="2344"/>
    <cfRule type="duplicateValues" dxfId="9225" priority="2363"/>
    <cfRule type="duplicateValues" dxfId="9224" priority="2343"/>
    <cfRule type="duplicateValues" dxfId="9223" priority="2342"/>
    <cfRule type="duplicateValues" dxfId="9222" priority="2360"/>
    <cfRule type="duplicateValues" dxfId="9221" priority="2359"/>
    <cfRule type="duplicateValues" dxfId="9220" priority="2358"/>
    <cfRule type="duplicateValues" dxfId="9219" priority="2341"/>
    <cfRule type="duplicateValues" dxfId="9218" priority="2357"/>
    <cfRule type="duplicateValues" dxfId="9217" priority="2356"/>
    <cfRule type="duplicateValues" dxfId="9216" priority="2355"/>
    <cfRule type="duplicateValues" dxfId="9215" priority="2354"/>
    <cfRule type="duplicateValues" dxfId="9214" priority="2353"/>
    <cfRule type="duplicateValues" dxfId="9213" priority="2352"/>
    <cfRule type="duplicateValues" dxfId="9212" priority="2351"/>
    <cfRule type="duplicateValues" dxfId="9211" priority="2350"/>
    <cfRule type="duplicateValues" dxfId="9210" priority="2349"/>
    <cfRule type="duplicateValues" dxfId="9209" priority="2348"/>
    <cfRule type="duplicateValues" dxfId="9208" priority="2347"/>
    <cfRule type="duplicateValues" dxfId="9207" priority="2346"/>
    <cfRule type="duplicateValues" dxfId="9206" priority="2261"/>
    <cfRule type="duplicateValues" dxfId="9205" priority="2260"/>
    <cfRule type="duplicateValues" dxfId="9204" priority="2259"/>
    <cfRule type="duplicateValues" dxfId="9203" priority="2258"/>
    <cfRule type="duplicateValues" dxfId="9202" priority="2262"/>
    <cfRule type="duplicateValues" dxfId="9201" priority="2263"/>
    <cfRule type="duplicateValues" dxfId="9200" priority="2264"/>
    <cfRule type="duplicateValues" dxfId="9199" priority="2265"/>
    <cfRule type="duplicateValues" dxfId="9198" priority="2266"/>
    <cfRule type="duplicateValues" dxfId="9197" priority="2267"/>
    <cfRule type="duplicateValues" dxfId="9196" priority="2299"/>
    <cfRule type="duplicateValues" dxfId="9195" priority="2378"/>
    <cfRule type="duplicateValues" dxfId="9194" priority="2376"/>
    <cfRule type="duplicateValues" dxfId="9193" priority="2375"/>
    <cfRule type="duplicateValues" dxfId="9192" priority="2374"/>
    <cfRule type="duplicateValues" dxfId="9191" priority="2373"/>
    <cfRule type="duplicateValues" dxfId="9190" priority="2372"/>
    <cfRule type="duplicateValues" dxfId="9189" priority="2371"/>
    <cfRule type="duplicateValues" dxfId="9188" priority="2370"/>
    <cfRule type="duplicateValues" dxfId="9187" priority="2369"/>
    <cfRule type="duplicateValues" dxfId="9186" priority="2368"/>
    <cfRule type="duplicateValues" dxfId="9185" priority="2367"/>
    <cfRule type="duplicateValues" dxfId="9184" priority="2366"/>
    <cfRule type="duplicateValues" dxfId="9183" priority="2365"/>
    <cfRule type="duplicateValues" dxfId="9182" priority="2364"/>
    <cfRule type="duplicateValues" dxfId="9181" priority="2362"/>
    <cfRule type="duplicateValues" dxfId="9180" priority="2361"/>
  </conditionalFormatting>
  <conditionalFormatting sqref="B383:B390">
    <cfRule type="duplicateValues" dxfId="9179" priority="2204"/>
    <cfRule type="duplicateValues" dxfId="9178" priority="2206"/>
    <cfRule type="duplicateValues" dxfId="9177" priority="2207"/>
    <cfRule type="duplicateValues" dxfId="9176" priority="2208"/>
    <cfRule type="duplicateValues" dxfId="9175" priority="2209"/>
    <cfRule type="duplicateValues" dxfId="9174" priority="2210"/>
    <cfRule type="duplicateValues" dxfId="9173" priority="2211"/>
    <cfRule type="duplicateValues" dxfId="9172" priority="2212"/>
    <cfRule type="duplicateValues" dxfId="9171" priority="2213"/>
    <cfRule type="duplicateValues" dxfId="9170" priority="2214"/>
    <cfRule type="duplicateValues" dxfId="9169" priority="2215"/>
    <cfRule type="duplicateValues" dxfId="9168" priority="2216"/>
    <cfRule type="duplicateValues" dxfId="9167" priority="2217"/>
    <cfRule type="duplicateValues" dxfId="9166" priority="2218"/>
    <cfRule type="duplicateValues" dxfId="9165" priority="2219"/>
    <cfRule type="duplicateValues" dxfId="9164" priority="2220"/>
    <cfRule type="duplicateValues" dxfId="9163" priority="2221"/>
    <cfRule type="duplicateValues" dxfId="9162" priority="2233"/>
    <cfRule type="duplicateValues" dxfId="9161" priority="2205"/>
    <cfRule type="duplicateValues" dxfId="9160" priority="2177"/>
    <cfRule type="duplicateValues" dxfId="9159" priority="2178"/>
    <cfRule type="duplicateValues" dxfId="9158" priority="2179"/>
    <cfRule type="duplicateValues" dxfId="9157" priority="2180"/>
    <cfRule type="duplicateValues" dxfId="9156" priority="2257"/>
    <cfRule type="duplicateValues" dxfId="9155" priority="2256"/>
    <cfRule type="duplicateValues" dxfId="9154" priority="2255"/>
    <cfRule type="duplicateValues" dxfId="9153" priority="2254"/>
    <cfRule type="duplicateValues" dxfId="9152" priority="2253"/>
    <cfRule type="duplicateValues" dxfId="9151" priority="2252"/>
    <cfRule type="duplicateValues" dxfId="9150" priority="2251"/>
    <cfRule type="duplicateValues" dxfId="9149" priority="2250"/>
    <cfRule type="duplicateValues" dxfId="9148" priority="2249"/>
    <cfRule type="duplicateValues" dxfId="9147" priority="2248"/>
    <cfRule type="duplicateValues" dxfId="9146" priority="2247"/>
    <cfRule type="duplicateValues" dxfId="9145" priority="2246"/>
    <cfRule type="duplicateValues" dxfId="9144" priority="2245"/>
    <cfRule type="duplicateValues" dxfId="9143" priority="2244"/>
    <cfRule type="duplicateValues" dxfId="9142" priority="2243"/>
    <cfRule type="duplicateValues" dxfId="9141" priority="2242"/>
    <cfRule type="duplicateValues" dxfId="9140" priority="2241"/>
    <cfRule type="duplicateValues" dxfId="9139" priority="2240"/>
    <cfRule type="duplicateValues" dxfId="9138" priority="2239"/>
    <cfRule type="duplicateValues" dxfId="9137" priority="2238"/>
    <cfRule type="duplicateValues" dxfId="9136" priority="2237"/>
    <cfRule type="duplicateValues" dxfId="9135" priority="2236"/>
    <cfRule type="duplicateValues" dxfId="9134" priority="2235"/>
    <cfRule type="duplicateValues" dxfId="9133" priority="2234"/>
    <cfRule type="duplicateValues" dxfId="9132" priority="2232"/>
    <cfRule type="duplicateValues" dxfId="9131" priority="2231"/>
    <cfRule type="duplicateValues" dxfId="9130" priority="2230"/>
    <cfRule type="duplicateValues" dxfId="9129" priority="2229"/>
    <cfRule type="duplicateValues" dxfId="9128" priority="2228"/>
    <cfRule type="duplicateValues" dxfId="9127" priority="2227"/>
    <cfRule type="duplicateValues" dxfId="9126" priority="2181"/>
    <cfRule type="duplicateValues" dxfId="9125" priority="2182"/>
    <cfRule type="duplicateValues" dxfId="9124" priority="2183"/>
    <cfRule type="duplicateValues" dxfId="9123" priority="2226"/>
    <cfRule type="duplicateValues" dxfId="9122" priority="2225"/>
    <cfRule type="duplicateValues" dxfId="9121" priority="2224"/>
    <cfRule type="duplicateValues" dxfId="9120" priority="2184"/>
    <cfRule type="duplicateValues" dxfId="9119" priority="2185"/>
    <cfRule type="duplicateValues" dxfId="9118" priority="2186"/>
    <cfRule type="duplicateValues" dxfId="9117" priority="2223"/>
    <cfRule type="duplicateValues" dxfId="9116" priority="2187"/>
    <cfRule type="duplicateValues" dxfId="9115" priority="2188"/>
    <cfRule type="duplicateValues" dxfId="9114" priority="2222"/>
    <cfRule type="duplicateValues" dxfId="9113" priority="2189"/>
    <cfRule type="duplicateValues" dxfId="9112" priority="2190"/>
    <cfRule type="duplicateValues" dxfId="9111" priority="2191"/>
    <cfRule type="duplicateValues" dxfId="9110" priority="2192"/>
    <cfRule type="duplicateValues" dxfId="9109" priority="2193"/>
    <cfRule type="duplicateValues" dxfId="9108" priority="2194"/>
    <cfRule type="duplicateValues" dxfId="9107" priority="2195"/>
    <cfRule type="duplicateValues" dxfId="9106" priority="2196"/>
    <cfRule type="duplicateValues" dxfId="9105" priority="2197"/>
    <cfRule type="duplicateValues" dxfId="9104" priority="2198"/>
    <cfRule type="duplicateValues" dxfId="9103" priority="2199"/>
    <cfRule type="duplicateValues" dxfId="9102" priority="2200"/>
    <cfRule type="duplicateValues" dxfId="9101" priority="2201"/>
    <cfRule type="duplicateValues" dxfId="9100" priority="2202"/>
    <cfRule type="duplicateValues" dxfId="9099" priority="2203"/>
  </conditionalFormatting>
  <conditionalFormatting sqref="B391">
    <cfRule type="duplicateValues" dxfId="9098" priority="2113"/>
    <cfRule type="duplicateValues" dxfId="9097" priority="2112"/>
    <cfRule type="duplicateValues" dxfId="9096" priority="2111"/>
    <cfRule type="duplicateValues" dxfId="9095" priority="2110"/>
    <cfRule type="duplicateValues" dxfId="9094" priority="2109"/>
    <cfRule type="duplicateValues" dxfId="9093" priority="2108"/>
    <cfRule type="duplicateValues" dxfId="9092" priority="2107"/>
    <cfRule type="duplicateValues" dxfId="9091" priority="2106"/>
    <cfRule type="duplicateValues" dxfId="9090" priority="2105"/>
    <cfRule type="duplicateValues" dxfId="9089" priority="2104"/>
    <cfRule type="duplicateValues" dxfId="9088" priority="2103"/>
    <cfRule type="duplicateValues" dxfId="9087" priority="2102"/>
    <cfRule type="duplicateValues" dxfId="9086" priority="2101"/>
    <cfRule type="duplicateValues" dxfId="9085" priority="2100"/>
    <cfRule type="duplicateValues" dxfId="9084" priority="2099"/>
    <cfRule type="duplicateValues" dxfId="9083" priority="2098"/>
    <cfRule type="duplicateValues" dxfId="9082" priority="2175"/>
    <cfRule type="duplicateValues" dxfId="9081" priority="2174"/>
    <cfRule type="duplicateValues" dxfId="9080" priority="2173"/>
    <cfRule type="duplicateValues" dxfId="9079" priority="2172"/>
    <cfRule type="duplicateValues" dxfId="9078" priority="2171"/>
    <cfRule type="duplicateValues" dxfId="9077" priority="2170"/>
    <cfRule type="duplicateValues" dxfId="9076" priority="2169"/>
    <cfRule type="duplicateValues" dxfId="9075" priority="2168"/>
    <cfRule type="duplicateValues" dxfId="9074" priority="2167"/>
    <cfRule type="duplicateValues" dxfId="9073" priority="2166"/>
    <cfRule type="duplicateValues" dxfId="9072" priority="2165"/>
    <cfRule type="duplicateValues" dxfId="9071" priority="2164"/>
    <cfRule type="duplicateValues" dxfId="9070" priority="2163"/>
    <cfRule type="duplicateValues" dxfId="9069" priority="2162"/>
    <cfRule type="duplicateValues" dxfId="9068" priority="2161"/>
    <cfRule type="duplicateValues" dxfId="9067" priority="2160"/>
    <cfRule type="duplicateValues" dxfId="9066" priority="2159"/>
    <cfRule type="duplicateValues" dxfId="9065" priority="2158"/>
    <cfRule type="duplicateValues" dxfId="9064" priority="2157"/>
    <cfRule type="duplicateValues" dxfId="9063" priority="2156"/>
    <cfRule type="duplicateValues" dxfId="9062" priority="2155"/>
    <cfRule type="duplicateValues" dxfId="9061" priority="2154"/>
    <cfRule type="duplicateValues" dxfId="9060" priority="2153"/>
    <cfRule type="duplicateValues" dxfId="9059" priority="2152"/>
    <cfRule type="duplicateValues" dxfId="9058" priority="2151"/>
    <cfRule type="duplicateValues" dxfId="9057" priority="2150"/>
    <cfRule type="duplicateValues" dxfId="9056" priority="2149"/>
    <cfRule type="duplicateValues" dxfId="9055" priority="2148"/>
    <cfRule type="duplicateValues" dxfId="9054" priority="2134"/>
    <cfRule type="duplicateValues" dxfId="9053" priority="2147"/>
    <cfRule type="duplicateValues" dxfId="9052" priority="2146"/>
    <cfRule type="duplicateValues" dxfId="9051" priority="2145"/>
    <cfRule type="duplicateValues" dxfId="9050" priority="2144"/>
    <cfRule type="duplicateValues" dxfId="9049" priority="2143"/>
    <cfRule type="duplicateValues" dxfId="9048" priority="2142"/>
    <cfRule type="duplicateValues" dxfId="9047" priority="2176"/>
    <cfRule type="duplicateValues" dxfId="9046" priority="2141"/>
    <cfRule type="duplicateValues" dxfId="9045" priority="2140"/>
    <cfRule type="duplicateValues" dxfId="9044" priority="2139"/>
    <cfRule type="duplicateValues" dxfId="9043" priority="2138"/>
    <cfRule type="duplicateValues" dxfId="9042" priority="2137"/>
    <cfRule type="duplicateValues" dxfId="9041" priority="2136"/>
    <cfRule type="duplicateValues" dxfId="9040" priority="2135"/>
    <cfRule type="duplicateValues" dxfId="9039" priority="2133"/>
    <cfRule type="duplicateValues" dxfId="9038" priority="2132"/>
    <cfRule type="duplicateValues" dxfId="9037" priority="2131"/>
    <cfRule type="duplicateValues" dxfId="9036" priority="2130"/>
    <cfRule type="duplicateValues" dxfId="9035" priority="2129"/>
    <cfRule type="duplicateValues" dxfId="9034" priority="2128"/>
    <cfRule type="duplicateValues" dxfId="9033" priority="2127"/>
    <cfRule type="duplicateValues" dxfId="9032" priority="2126"/>
    <cfRule type="duplicateValues" dxfId="9031" priority="2125"/>
    <cfRule type="duplicateValues" dxfId="9030" priority="2124"/>
    <cfRule type="duplicateValues" dxfId="9029" priority="2123"/>
    <cfRule type="duplicateValues" dxfId="9028" priority="2122"/>
    <cfRule type="duplicateValues" dxfId="9027" priority="2121"/>
    <cfRule type="duplicateValues" dxfId="9026" priority="2120"/>
    <cfRule type="duplicateValues" dxfId="9025" priority="2119"/>
    <cfRule type="duplicateValues" dxfId="9024" priority="2118"/>
    <cfRule type="duplicateValues" dxfId="9023" priority="2117"/>
    <cfRule type="duplicateValues" dxfId="9022" priority="2116"/>
    <cfRule type="duplicateValues" dxfId="9021" priority="2115"/>
    <cfRule type="duplicateValues" dxfId="9020" priority="2114"/>
    <cfRule type="duplicateValues" dxfId="9019" priority="2096"/>
    <cfRule type="duplicateValues" dxfId="9018" priority="2097"/>
  </conditionalFormatting>
  <conditionalFormatting sqref="B392:B398">
    <cfRule type="duplicateValues" dxfId="9017" priority="2023"/>
    <cfRule type="duplicateValues" dxfId="9016" priority="2024"/>
    <cfRule type="duplicateValues" dxfId="9015" priority="2025"/>
    <cfRule type="duplicateValues" dxfId="9014" priority="2026"/>
    <cfRule type="duplicateValues" dxfId="9013" priority="2027"/>
    <cfRule type="duplicateValues" dxfId="9012" priority="2028"/>
    <cfRule type="duplicateValues" dxfId="9011" priority="2029"/>
    <cfRule type="duplicateValues" dxfId="9010" priority="2030"/>
    <cfRule type="duplicateValues" dxfId="9009" priority="2031"/>
    <cfRule type="duplicateValues" dxfId="9008" priority="2032"/>
    <cfRule type="duplicateValues" dxfId="9007" priority="2033"/>
    <cfRule type="duplicateValues" dxfId="9006" priority="2034"/>
    <cfRule type="duplicateValues" dxfId="9005" priority="2035"/>
    <cfRule type="duplicateValues" dxfId="9004" priority="2036"/>
    <cfRule type="duplicateValues" dxfId="9003" priority="2037"/>
    <cfRule type="duplicateValues" dxfId="9002" priority="2038"/>
    <cfRule type="duplicateValues" dxfId="9001" priority="2039"/>
    <cfRule type="duplicateValues" dxfId="9000" priority="2040"/>
    <cfRule type="duplicateValues" dxfId="8999" priority="2041"/>
    <cfRule type="duplicateValues" dxfId="8998" priority="2042"/>
    <cfRule type="duplicateValues" dxfId="8997" priority="2043"/>
    <cfRule type="duplicateValues" dxfId="8996" priority="2044"/>
    <cfRule type="duplicateValues" dxfId="8995" priority="2045"/>
    <cfRule type="duplicateValues" dxfId="8994" priority="2046"/>
    <cfRule type="duplicateValues" dxfId="8993" priority="2047"/>
    <cfRule type="duplicateValues" dxfId="8992" priority="2048"/>
    <cfRule type="duplicateValues" dxfId="8991" priority="2049"/>
    <cfRule type="duplicateValues" dxfId="8990" priority="2050"/>
    <cfRule type="duplicateValues" dxfId="8989" priority="2051"/>
    <cfRule type="duplicateValues" dxfId="8988" priority="2052"/>
    <cfRule type="duplicateValues" dxfId="8987" priority="2053"/>
    <cfRule type="duplicateValues" dxfId="8986" priority="2054"/>
    <cfRule type="duplicateValues" dxfId="8985" priority="2055"/>
    <cfRule type="duplicateValues" dxfId="8984" priority="2056"/>
    <cfRule type="duplicateValues" dxfId="8983" priority="2057"/>
    <cfRule type="duplicateValues" dxfId="8982" priority="2058"/>
    <cfRule type="duplicateValues" dxfId="8981" priority="2059"/>
    <cfRule type="duplicateValues" dxfId="8980" priority="2060"/>
    <cfRule type="duplicateValues" dxfId="8979" priority="2061"/>
    <cfRule type="duplicateValues" dxfId="8978" priority="2062"/>
    <cfRule type="duplicateValues" dxfId="8977" priority="2064"/>
    <cfRule type="duplicateValues" dxfId="8976" priority="2065"/>
    <cfRule type="duplicateValues" dxfId="8975" priority="2066"/>
    <cfRule type="duplicateValues" dxfId="8974" priority="2067"/>
    <cfRule type="duplicateValues" dxfId="8973" priority="2068"/>
    <cfRule type="duplicateValues" dxfId="8972" priority="2069"/>
    <cfRule type="duplicateValues" dxfId="8971" priority="2070"/>
    <cfRule type="duplicateValues" dxfId="8970" priority="2071"/>
    <cfRule type="duplicateValues" dxfId="8969" priority="2072"/>
    <cfRule type="duplicateValues" dxfId="8968" priority="2073"/>
    <cfRule type="duplicateValues" dxfId="8967" priority="2074"/>
    <cfRule type="duplicateValues" dxfId="8966" priority="2075"/>
    <cfRule type="duplicateValues" dxfId="8965" priority="2076"/>
    <cfRule type="duplicateValues" dxfId="8964" priority="2077"/>
    <cfRule type="duplicateValues" dxfId="8963" priority="2078"/>
    <cfRule type="duplicateValues" dxfId="8962" priority="2079"/>
    <cfRule type="duplicateValues" dxfId="8961" priority="2080"/>
    <cfRule type="duplicateValues" dxfId="8960" priority="2081"/>
    <cfRule type="duplicateValues" dxfId="8959" priority="2082"/>
    <cfRule type="duplicateValues" dxfId="8958" priority="2083"/>
    <cfRule type="duplicateValues" dxfId="8957" priority="2084"/>
    <cfRule type="duplicateValues" dxfId="8956" priority="2085"/>
    <cfRule type="duplicateValues" dxfId="8955" priority="2086"/>
    <cfRule type="duplicateValues" dxfId="8954" priority="2087"/>
    <cfRule type="duplicateValues" dxfId="8953" priority="2088"/>
    <cfRule type="duplicateValues" dxfId="8952" priority="2089"/>
    <cfRule type="duplicateValues" dxfId="8951" priority="2090"/>
    <cfRule type="duplicateValues" dxfId="8950" priority="2091"/>
    <cfRule type="duplicateValues" dxfId="8949" priority="2092"/>
    <cfRule type="duplicateValues" dxfId="8948" priority="2093"/>
    <cfRule type="duplicateValues" dxfId="8947" priority="2094"/>
    <cfRule type="duplicateValues" dxfId="8946" priority="2095"/>
    <cfRule type="duplicateValues" dxfId="8945" priority="2063"/>
    <cfRule type="duplicateValues" dxfId="8944" priority="2015"/>
    <cfRule type="duplicateValues" dxfId="8943" priority="2016"/>
    <cfRule type="duplicateValues" dxfId="8942" priority="2017"/>
    <cfRule type="duplicateValues" dxfId="8941" priority="2018"/>
    <cfRule type="duplicateValues" dxfId="8940" priority="2019"/>
    <cfRule type="duplicateValues" dxfId="8939" priority="2020"/>
    <cfRule type="duplicateValues" dxfId="8938" priority="2021"/>
    <cfRule type="duplicateValues" dxfId="8937" priority="2022"/>
  </conditionalFormatting>
  <conditionalFormatting sqref="B403:B406">
    <cfRule type="duplicateValues" dxfId="8936" priority="1994"/>
    <cfRule type="duplicateValues" dxfId="8935" priority="1888"/>
    <cfRule type="duplicateValues" dxfId="8934" priority="1889"/>
    <cfRule type="duplicateValues" dxfId="8933" priority="1890"/>
    <cfRule type="duplicateValues" dxfId="8932" priority="1891"/>
    <cfRule type="duplicateValues" dxfId="8931" priority="1892"/>
    <cfRule type="duplicateValues" dxfId="8930" priority="1893"/>
    <cfRule type="duplicateValues" dxfId="8929" priority="1894"/>
    <cfRule type="duplicateValues" dxfId="8928" priority="1895"/>
    <cfRule type="duplicateValues" dxfId="8927" priority="1896"/>
    <cfRule type="duplicateValues" dxfId="8926" priority="1897"/>
    <cfRule type="duplicateValues" dxfId="8925" priority="1898"/>
    <cfRule type="duplicateValues" dxfId="8924" priority="1899"/>
    <cfRule type="duplicateValues" dxfId="8923" priority="1900"/>
    <cfRule type="duplicateValues" dxfId="8922" priority="1901"/>
    <cfRule type="duplicateValues" dxfId="8921" priority="1902"/>
    <cfRule type="duplicateValues" dxfId="8920" priority="1903"/>
    <cfRule type="duplicateValues" dxfId="8919" priority="1904"/>
    <cfRule type="duplicateValues" dxfId="8918" priority="1905"/>
    <cfRule type="duplicateValues" dxfId="8917" priority="1906"/>
    <cfRule type="duplicateValues" dxfId="8916" priority="2005"/>
    <cfRule type="duplicateValues" dxfId="8915" priority="2004"/>
    <cfRule type="duplicateValues" dxfId="8914" priority="2003"/>
    <cfRule type="duplicateValues" dxfId="8913" priority="2002"/>
    <cfRule type="duplicateValues" dxfId="8912" priority="2001"/>
    <cfRule type="duplicateValues" dxfId="8911" priority="2000"/>
    <cfRule type="duplicateValues" dxfId="8910" priority="1999"/>
    <cfRule type="duplicateValues" dxfId="8909" priority="1998"/>
    <cfRule type="duplicateValues" dxfId="8908" priority="1997"/>
    <cfRule type="duplicateValues" dxfId="8907" priority="1996"/>
    <cfRule type="duplicateValues" dxfId="8906" priority="1995"/>
    <cfRule type="duplicateValues" dxfId="8905" priority="1886"/>
    <cfRule type="duplicateValues" dxfId="8904" priority="1993"/>
    <cfRule type="duplicateValues" dxfId="8903" priority="1992"/>
    <cfRule type="duplicateValues" dxfId="8902" priority="1991"/>
    <cfRule type="duplicateValues" dxfId="8901" priority="1990"/>
    <cfRule type="duplicateValues" dxfId="8900" priority="1989"/>
    <cfRule type="duplicateValues" dxfId="8899" priority="1988"/>
    <cfRule type="duplicateValues" dxfId="8898" priority="1987"/>
    <cfRule type="duplicateValues" dxfId="8897" priority="1986"/>
    <cfRule type="duplicateValues" dxfId="8896" priority="1985"/>
    <cfRule type="duplicateValues" dxfId="8895" priority="1984"/>
    <cfRule type="duplicateValues" dxfId="8894" priority="1983"/>
    <cfRule type="duplicateValues" dxfId="8893" priority="1982"/>
    <cfRule type="duplicateValues" dxfId="8892" priority="1981"/>
    <cfRule type="duplicateValues" dxfId="8891" priority="1980"/>
    <cfRule type="duplicateValues" dxfId="8890" priority="1979"/>
    <cfRule type="duplicateValues" dxfId="8889" priority="1978"/>
    <cfRule type="duplicateValues" dxfId="8888" priority="1977"/>
    <cfRule type="duplicateValues" dxfId="8887" priority="1976"/>
    <cfRule type="duplicateValues" dxfId="8886" priority="1907"/>
    <cfRule type="duplicateValues" dxfId="8885" priority="1908"/>
    <cfRule type="duplicateValues" dxfId="8884" priority="1909"/>
    <cfRule type="duplicateValues" dxfId="8883" priority="1975"/>
    <cfRule type="duplicateValues" dxfId="8882" priority="1974"/>
    <cfRule type="duplicateValues" dxfId="8881" priority="1973"/>
    <cfRule type="duplicateValues" dxfId="8880" priority="1972"/>
    <cfRule type="duplicateValues" dxfId="8879" priority="1971"/>
    <cfRule type="duplicateValues" dxfId="8878" priority="1970"/>
    <cfRule type="duplicateValues" dxfId="8877" priority="1969"/>
    <cfRule type="duplicateValues" dxfId="8876" priority="1968"/>
    <cfRule type="duplicateValues" dxfId="8875" priority="1967"/>
    <cfRule type="duplicateValues" dxfId="8874" priority="1966"/>
    <cfRule type="duplicateValues" dxfId="8873" priority="1965"/>
    <cfRule type="duplicateValues" dxfId="8872" priority="1964"/>
    <cfRule type="duplicateValues" dxfId="8871" priority="1963"/>
    <cfRule type="duplicateValues" dxfId="8870" priority="1962"/>
    <cfRule type="duplicateValues" dxfId="8869" priority="1961"/>
    <cfRule type="duplicateValues" dxfId="8868" priority="1960"/>
    <cfRule type="duplicateValues" dxfId="8867" priority="1959"/>
    <cfRule type="duplicateValues" dxfId="8866" priority="1958"/>
    <cfRule type="duplicateValues" dxfId="8865" priority="1957"/>
    <cfRule type="duplicateValues" dxfId="8864" priority="1956"/>
    <cfRule type="duplicateValues" dxfId="8863" priority="1955"/>
    <cfRule type="duplicateValues" dxfId="8862" priority="1954"/>
    <cfRule type="duplicateValues" dxfId="8861" priority="1953"/>
    <cfRule type="duplicateValues" dxfId="8860" priority="1952"/>
    <cfRule type="duplicateValues" dxfId="8859" priority="1951"/>
    <cfRule type="duplicateValues" dxfId="8858" priority="1950"/>
    <cfRule type="duplicateValues" dxfId="8857" priority="1913"/>
    <cfRule type="duplicateValues" dxfId="8856" priority="1949"/>
    <cfRule type="duplicateValues" dxfId="8855" priority="1948"/>
    <cfRule type="duplicateValues" dxfId="8854" priority="1947"/>
    <cfRule type="duplicateValues" dxfId="8853" priority="1946"/>
    <cfRule type="duplicateValues" dxfId="8852" priority="1945"/>
    <cfRule type="duplicateValues" dxfId="8851" priority="1944"/>
    <cfRule type="duplicateValues" dxfId="8850" priority="1943"/>
    <cfRule type="duplicateValues" dxfId="8849" priority="1942"/>
    <cfRule type="duplicateValues" dxfId="8848" priority="1941"/>
    <cfRule type="duplicateValues" dxfId="8847" priority="1940"/>
    <cfRule type="duplicateValues" dxfId="8846" priority="1939"/>
    <cfRule type="duplicateValues" dxfId="8845" priority="1938"/>
    <cfRule type="duplicateValues" dxfId="8844" priority="1937"/>
    <cfRule type="duplicateValues" dxfId="8843" priority="1936"/>
    <cfRule type="duplicateValues" dxfId="8842" priority="1910"/>
    <cfRule type="duplicateValues" dxfId="8841" priority="1911"/>
    <cfRule type="duplicateValues" dxfId="8840" priority="1912"/>
    <cfRule type="duplicateValues" dxfId="8839" priority="1935"/>
    <cfRule type="duplicateValues" dxfId="8838" priority="1934"/>
    <cfRule type="duplicateValues" dxfId="8837" priority="1933"/>
    <cfRule type="duplicateValues" dxfId="8836" priority="1932"/>
    <cfRule type="duplicateValues" dxfId="8835" priority="1931"/>
    <cfRule type="duplicateValues" dxfId="8834" priority="1930"/>
    <cfRule type="duplicateValues" dxfId="8833" priority="1929"/>
    <cfRule type="duplicateValues" dxfId="8832" priority="1928"/>
    <cfRule type="duplicateValues" dxfId="8831" priority="1927"/>
    <cfRule type="duplicateValues" dxfId="8830" priority="1926"/>
    <cfRule type="duplicateValues" dxfId="8829" priority="1925"/>
    <cfRule type="duplicateValues" dxfId="8828" priority="1924"/>
    <cfRule type="duplicateValues" dxfId="8827" priority="1923"/>
    <cfRule type="duplicateValues" dxfId="8826" priority="1922"/>
    <cfRule type="duplicateValues" dxfId="8825" priority="1921"/>
    <cfRule type="duplicateValues" dxfId="8824" priority="1920"/>
    <cfRule type="duplicateValues" dxfId="8823" priority="1919"/>
    <cfRule type="duplicateValues" dxfId="8822" priority="1918"/>
    <cfRule type="duplicateValues" dxfId="8821" priority="1917"/>
    <cfRule type="duplicateValues" dxfId="8820" priority="1916"/>
    <cfRule type="duplicateValues" dxfId="8819" priority="1915"/>
    <cfRule type="duplicateValues" dxfId="8818" priority="1914"/>
    <cfRule type="duplicateValues" dxfId="8817" priority="1887"/>
    <cfRule type="duplicateValues" dxfId="8816" priority="1885"/>
  </conditionalFormatting>
  <conditionalFormatting sqref="B407:B411">
    <cfRule type="duplicateValues" dxfId="8815" priority="1819"/>
    <cfRule type="duplicateValues" dxfId="8814" priority="1807"/>
    <cfRule type="duplicateValues" dxfId="8813" priority="1808"/>
    <cfRule type="duplicateValues" dxfId="8812" priority="1809"/>
    <cfRule type="duplicateValues" dxfId="8811" priority="1810"/>
    <cfRule type="duplicateValues" dxfId="8810" priority="1811"/>
    <cfRule type="duplicateValues" dxfId="8809" priority="1812"/>
    <cfRule type="duplicateValues" dxfId="8808" priority="1813"/>
    <cfRule type="duplicateValues" dxfId="8807" priority="1814"/>
    <cfRule type="duplicateValues" dxfId="8806" priority="1815"/>
    <cfRule type="duplicateValues" dxfId="8805" priority="1816"/>
    <cfRule type="duplicateValues" dxfId="8804" priority="1817"/>
    <cfRule type="duplicateValues" dxfId="8803" priority="1818"/>
    <cfRule type="duplicateValues" dxfId="8802" priority="1820"/>
    <cfRule type="duplicateValues" dxfId="8801" priority="1821"/>
    <cfRule type="duplicateValues" dxfId="8800" priority="1822"/>
    <cfRule type="duplicateValues" dxfId="8799" priority="1823"/>
    <cfRule type="duplicateValues" dxfId="8798" priority="1824"/>
    <cfRule type="duplicateValues" dxfId="8797" priority="1825"/>
    <cfRule type="duplicateValues" dxfId="8796" priority="1826"/>
    <cfRule type="duplicateValues" dxfId="8795" priority="1827"/>
    <cfRule type="duplicateValues" dxfId="8794" priority="1828"/>
    <cfRule type="duplicateValues" dxfId="8793" priority="1829"/>
    <cfRule type="duplicateValues" dxfId="8792" priority="1830"/>
    <cfRule type="duplicateValues" dxfId="8791" priority="1831"/>
    <cfRule type="duplicateValues" dxfId="8790" priority="1832"/>
    <cfRule type="duplicateValues" dxfId="8789" priority="1833"/>
    <cfRule type="duplicateValues" dxfId="8788" priority="1834"/>
    <cfRule type="duplicateValues" dxfId="8787" priority="1835"/>
    <cfRule type="duplicateValues" dxfId="8786" priority="1836"/>
    <cfRule type="duplicateValues" dxfId="8785" priority="1804"/>
    <cfRule type="duplicateValues" dxfId="8784" priority="1838"/>
    <cfRule type="duplicateValues" dxfId="8783" priority="1839"/>
    <cfRule type="duplicateValues" dxfId="8782" priority="1840"/>
    <cfRule type="duplicateValues" dxfId="8781" priority="1841"/>
    <cfRule type="duplicateValues" dxfId="8780" priority="1842"/>
    <cfRule type="duplicateValues" dxfId="8779" priority="1843"/>
    <cfRule type="duplicateValues" dxfId="8778" priority="1844"/>
    <cfRule type="duplicateValues" dxfId="8777" priority="1845"/>
    <cfRule type="duplicateValues" dxfId="8776" priority="1846"/>
    <cfRule type="duplicateValues" dxfId="8775" priority="1847"/>
    <cfRule type="duplicateValues" dxfId="8774" priority="1848"/>
    <cfRule type="duplicateValues" dxfId="8773" priority="1849"/>
    <cfRule type="duplicateValues" dxfId="8772" priority="1850"/>
    <cfRule type="duplicateValues" dxfId="8771" priority="1851"/>
    <cfRule type="duplicateValues" dxfId="8770" priority="1852"/>
    <cfRule type="duplicateValues" dxfId="8769" priority="1853"/>
    <cfRule type="duplicateValues" dxfId="8768" priority="1854"/>
    <cfRule type="duplicateValues" dxfId="8767" priority="1855"/>
    <cfRule type="duplicateValues" dxfId="8766" priority="1856"/>
    <cfRule type="duplicateValues" dxfId="8765" priority="1857"/>
    <cfRule type="duplicateValues" dxfId="8764" priority="1858"/>
    <cfRule type="duplicateValues" dxfId="8763" priority="1859"/>
    <cfRule type="duplicateValues" dxfId="8762" priority="1860"/>
    <cfRule type="duplicateValues" dxfId="8761" priority="1861"/>
    <cfRule type="duplicateValues" dxfId="8760" priority="1837"/>
    <cfRule type="duplicateValues" dxfId="8759" priority="1863"/>
    <cfRule type="duplicateValues" dxfId="8758" priority="1864"/>
    <cfRule type="duplicateValues" dxfId="8757" priority="1865"/>
    <cfRule type="duplicateValues" dxfId="8756" priority="1866"/>
    <cfRule type="duplicateValues" dxfId="8755" priority="1867"/>
    <cfRule type="duplicateValues" dxfId="8754" priority="1868"/>
    <cfRule type="duplicateValues" dxfId="8753" priority="1869"/>
    <cfRule type="duplicateValues" dxfId="8752" priority="1870"/>
    <cfRule type="duplicateValues" dxfId="8751" priority="1871"/>
    <cfRule type="duplicateValues" dxfId="8750" priority="1872"/>
    <cfRule type="duplicateValues" dxfId="8749" priority="1873"/>
    <cfRule type="duplicateValues" dxfId="8748" priority="1874"/>
    <cfRule type="duplicateValues" dxfId="8747" priority="1875"/>
    <cfRule type="duplicateValues" dxfId="8746" priority="1876"/>
    <cfRule type="duplicateValues" dxfId="8745" priority="1877"/>
    <cfRule type="duplicateValues" dxfId="8744" priority="1878"/>
    <cfRule type="duplicateValues" dxfId="8743" priority="1879"/>
    <cfRule type="duplicateValues" dxfId="8742" priority="1880"/>
    <cfRule type="duplicateValues" dxfId="8741" priority="1881"/>
    <cfRule type="duplicateValues" dxfId="8740" priority="1882"/>
    <cfRule type="duplicateValues" dxfId="8739" priority="1883"/>
    <cfRule type="duplicateValues" dxfId="8738" priority="1884"/>
    <cfRule type="duplicateValues" dxfId="8737" priority="1805"/>
    <cfRule type="duplicateValues" dxfId="8736" priority="1806"/>
    <cfRule type="duplicateValues" dxfId="8735" priority="1862"/>
  </conditionalFormatting>
  <conditionalFormatting sqref="B412">
    <cfRule type="duplicateValues" dxfId="8734" priority="1734"/>
    <cfRule type="duplicateValues" dxfId="8733" priority="1733"/>
    <cfRule type="duplicateValues" dxfId="8732" priority="1732"/>
    <cfRule type="duplicateValues" dxfId="8731" priority="1778"/>
    <cfRule type="duplicateValues" dxfId="8730" priority="1777"/>
    <cfRule type="duplicateValues" dxfId="8729" priority="1776"/>
    <cfRule type="duplicateValues" dxfId="8728" priority="1731"/>
    <cfRule type="duplicateValues" dxfId="8727" priority="1730"/>
    <cfRule type="duplicateValues" dxfId="8726" priority="1729"/>
    <cfRule type="duplicateValues" dxfId="8725" priority="1728"/>
    <cfRule type="duplicateValues" dxfId="8724" priority="1727"/>
    <cfRule type="duplicateValues" dxfId="8723" priority="1726"/>
    <cfRule type="duplicateValues" dxfId="8722" priority="1725"/>
    <cfRule type="duplicateValues" dxfId="8721" priority="1724"/>
    <cfRule type="duplicateValues" dxfId="8720" priority="1723"/>
    <cfRule type="duplicateValues" dxfId="8719" priority="1722"/>
    <cfRule type="duplicateValues" dxfId="8718" priority="1721"/>
    <cfRule type="duplicateValues" dxfId="8717" priority="1720"/>
    <cfRule type="duplicateValues" dxfId="8716" priority="1719"/>
    <cfRule type="duplicateValues" dxfId="8715" priority="1718"/>
    <cfRule type="duplicateValues" dxfId="8714" priority="1717"/>
    <cfRule type="duplicateValues" dxfId="8713" priority="1716"/>
    <cfRule type="duplicateValues" dxfId="8712" priority="1715"/>
    <cfRule type="duplicateValues" dxfId="8711" priority="1714"/>
    <cfRule type="duplicateValues" dxfId="8710" priority="1713"/>
    <cfRule type="duplicateValues" dxfId="8709" priority="1712"/>
    <cfRule type="duplicateValues" dxfId="8708" priority="1711"/>
    <cfRule type="duplicateValues" dxfId="8707" priority="1710"/>
    <cfRule type="duplicateValues" dxfId="8706" priority="1709"/>
    <cfRule type="duplicateValues" dxfId="8705" priority="1708"/>
    <cfRule type="duplicateValues" dxfId="8704" priority="1707"/>
    <cfRule type="duplicateValues" dxfId="8703" priority="1706"/>
    <cfRule type="duplicateValues" dxfId="8702" priority="1705"/>
    <cfRule type="duplicateValues" dxfId="8701" priority="1704"/>
    <cfRule type="duplicateValues" dxfId="8700" priority="1703"/>
    <cfRule type="duplicateValues" dxfId="8699" priority="1702"/>
    <cfRule type="duplicateValues" dxfId="8698" priority="1701"/>
    <cfRule type="duplicateValues" dxfId="8697" priority="1700"/>
    <cfRule type="duplicateValues" dxfId="8696" priority="1699"/>
    <cfRule type="duplicateValues" dxfId="8695" priority="1698"/>
    <cfRule type="duplicateValues" dxfId="8694" priority="1697"/>
    <cfRule type="duplicateValues" dxfId="8693" priority="1696"/>
    <cfRule type="duplicateValues" dxfId="8692" priority="1695"/>
    <cfRule type="duplicateValues" dxfId="8691" priority="1694"/>
    <cfRule type="duplicateValues" dxfId="8690" priority="1693"/>
    <cfRule type="duplicateValues" dxfId="8689" priority="1692"/>
    <cfRule type="duplicateValues" dxfId="8688" priority="1775"/>
    <cfRule type="duplicateValues" dxfId="8687" priority="1774"/>
    <cfRule type="duplicateValues" dxfId="8686" priority="1773"/>
    <cfRule type="duplicateValues" dxfId="8685" priority="1772"/>
    <cfRule type="duplicateValues" dxfId="8684" priority="1771"/>
    <cfRule type="duplicateValues" dxfId="8683" priority="1770"/>
    <cfRule type="duplicateValues" dxfId="8682" priority="1769"/>
    <cfRule type="duplicateValues" dxfId="8681" priority="1768"/>
    <cfRule type="duplicateValues" dxfId="8680" priority="1767"/>
    <cfRule type="duplicateValues" dxfId="8679" priority="1766"/>
    <cfRule type="duplicateValues" dxfId="8678" priority="1765"/>
    <cfRule type="duplicateValues" dxfId="8677" priority="1764"/>
    <cfRule type="duplicateValues" dxfId="8676" priority="1763"/>
    <cfRule type="duplicateValues" dxfId="8675" priority="1735"/>
    <cfRule type="duplicateValues" dxfId="8674" priority="1762"/>
    <cfRule type="duplicateValues" dxfId="8673" priority="1761"/>
    <cfRule type="duplicateValues" dxfId="8672" priority="1760"/>
    <cfRule type="duplicateValues" dxfId="8671" priority="1759"/>
    <cfRule type="duplicateValues" dxfId="8670" priority="1758"/>
    <cfRule type="duplicateValues" dxfId="8669" priority="1757"/>
    <cfRule type="duplicateValues" dxfId="8668" priority="1756"/>
    <cfRule type="duplicateValues" dxfId="8667" priority="1755"/>
    <cfRule type="duplicateValues" dxfId="8666" priority="1691"/>
    <cfRule type="duplicateValues" dxfId="8665" priority="1690"/>
    <cfRule type="duplicateValues" dxfId="8664" priority="1689"/>
    <cfRule type="duplicateValues" dxfId="8663" priority="1688"/>
    <cfRule type="duplicateValues" dxfId="8662" priority="1687"/>
    <cfRule type="duplicateValues" dxfId="8661" priority="1686"/>
    <cfRule type="duplicateValues" dxfId="8660" priority="1685"/>
    <cfRule type="duplicateValues" dxfId="8659" priority="1684"/>
    <cfRule type="duplicateValues" dxfId="8658" priority="1683"/>
    <cfRule type="duplicateValues" dxfId="8657" priority="1682"/>
    <cfRule type="duplicateValues" dxfId="8656" priority="1680"/>
    <cfRule type="duplicateValues" dxfId="8655" priority="1679"/>
    <cfRule type="duplicateValues" dxfId="8654" priority="1678"/>
    <cfRule type="duplicateValues" dxfId="8653" priority="1677"/>
    <cfRule type="duplicateValues" dxfId="8652" priority="1676"/>
    <cfRule type="duplicateValues" dxfId="8651" priority="1675"/>
    <cfRule type="duplicateValues" dxfId="8650" priority="1674"/>
    <cfRule type="duplicateValues" dxfId="8649" priority="1673"/>
    <cfRule type="duplicateValues" dxfId="8648" priority="1672"/>
    <cfRule type="duplicateValues" dxfId="8647" priority="1671"/>
    <cfRule type="duplicateValues" dxfId="8646" priority="1670"/>
    <cfRule type="duplicateValues" dxfId="8645" priority="1669"/>
    <cfRule type="duplicateValues" dxfId="8644" priority="1668"/>
    <cfRule type="duplicateValues" dxfId="8643" priority="1667"/>
    <cfRule type="duplicateValues" dxfId="8642" priority="1666"/>
    <cfRule type="duplicateValues" dxfId="8641" priority="1665"/>
    <cfRule type="duplicateValues" dxfId="8640" priority="1664"/>
    <cfRule type="duplicateValues" dxfId="8639" priority="1663"/>
    <cfRule type="duplicateValues" dxfId="8638" priority="1662"/>
    <cfRule type="duplicateValues" dxfId="8637" priority="1661"/>
    <cfRule type="duplicateValues" dxfId="8636" priority="1754"/>
    <cfRule type="duplicateValues" dxfId="8635" priority="1753"/>
    <cfRule type="duplicateValues" dxfId="8634" priority="1752"/>
    <cfRule type="duplicateValues" dxfId="8633" priority="1751"/>
    <cfRule type="duplicateValues" dxfId="8632" priority="1750"/>
    <cfRule type="duplicateValues" dxfId="8631" priority="1749"/>
    <cfRule type="duplicateValues" dxfId="8630" priority="1748"/>
    <cfRule type="duplicateValues" dxfId="8629" priority="1747"/>
    <cfRule type="duplicateValues" dxfId="8628" priority="1746"/>
    <cfRule type="duplicateValues" dxfId="8627" priority="1745"/>
    <cfRule type="duplicateValues" dxfId="8626" priority="1744"/>
    <cfRule type="duplicateValues" dxfId="8625" priority="1743"/>
    <cfRule type="duplicateValues" dxfId="8624" priority="1742"/>
    <cfRule type="duplicateValues" dxfId="8623" priority="1741"/>
    <cfRule type="duplicateValues" dxfId="8622" priority="1740"/>
    <cfRule type="duplicateValues" dxfId="8621" priority="1739"/>
    <cfRule type="duplicateValues" dxfId="8620" priority="1738"/>
    <cfRule type="duplicateValues" dxfId="8619" priority="1737"/>
    <cfRule type="duplicateValues" dxfId="8618" priority="1736"/>
    <cfRule type="duplicateValues" dxfId="8617" priority="1681"/>
    <cfRule type="duplicateValues" dxfId="8616" priority="1803"/>
    <cfRule type="duplicateValues" dxfId="8615" priority="1802"/>
    <cfRule type="duplicateValues" dxfId="8614" priority="1801"/>
    <cfRule type="duplicateValues" dxfId="8613" priority="1800"/>
    <cfRule type="duplicateValues" dxfId="8612" priority="1799"/>
    <cfRule type="duplicateValues" dxfId="8611" priority="1798"/>
    <cfRule type="duplicateValues" dxfId="8610" priority="1797"/>
    <cfRule type="duplicateValues" dxfId="8609" priority="1796"/>
    <cfRule type="duplicateValues" dxfId="8608" priority="1795"/>
    <cfRule type="duplicateValues" dxfId="8607" priority="1794"/>
    <cfRule type="duplicateValues" dxfId="8606" priority="1793"/>
    <cfRule type="duplicateValues" dxfId="8605" priority="1792"/>
    <cfRule type="duplicateValues" dxfId="8604" priority="1791"/>
    <cfRule type="duplicateValues" dxfId="8603" priority="1790"/>
    <cfRule type="duplicateValues" dxfId="8602" priority="1789"/>
    <cfRule type="duplicateValues" dxfId="8601" priority="1788"/>
    <cfRule type="duplicateValues" dxfId="8600" priority="1787"/>
    <cfRule type="duplicateValues" dxfId="8599" priority="1786"/>
    <cfRule type="duplicateValues" dxfId="8598" priority="1785"/>
    <cfRule type="duplicateValues" dxfId="8597" priority="1784"/>
    <cfRule type="duplicateValues" dxfId="8596" priority="1783"/>
    <cfRule type="duplicateValues" dxfId="8595" priority="1782"/>
    <cfRule type="duplicateValues" dxfId="8594" priority="1781"/>
    <cfRule type="duplicateValues" dxfId="8593" priority="1780"/>
    <cfRule type="duplicateValues" dxfId="8592" priority="1779"/>
  </conditionalFormatting>
  <conditionalFormatting sqref="B413">
    <cfRule type="duplicateValues" dxfId="8591" priority="1649"/>
    <cfRule type="duplicateValues" dxfId="8590" priority="1607"/>
    <cfRule type="duplicateValues" dxfId="8589" priority="1608"/>
    <cfRule type="duplicateValues" dxfId="8588" priority="1609"/>
    <cfRule type="duplicateValues" dxfId="8587" priority="1610"/>
    <cfRule type="duplicateValues" dxfId="8586" priority="1630"/>
    <cfRule type="duplicateValues" dxfId="8585" priority="1631"/>
    <cfRule type="duplicateValues" dxfId="8584" priority="1632"/>
    <cfRule type="duplicateValues" dxfId="8583" priority="1611"/>
    <cfRule type="duplicateValues" dxfId="8582" priority="1612"/>
    <cfRule type="duplicateValues" dxfId="8581" priority="1613"/>
    <cfRule type="duplicateValues" dxfId="8580" priority="1614"/>
    <cfRule type="duplicateValues" dxfId="8579" priority="1615"/>
    <cfRule type="duplicateValues" dxfId="8578" priority="1616"/>
    <cfRule type="duplicateValues" dxfId="8577" priority="1617"/>
    <cfRule type="duplicateValues" dxfId="8576" priority="1618"/>
    <cfRule type="duplicateValues" dxfId="8575" priority="1619"/>
    <cfRule type="duplicateValues" dxfId="8574" priority="1620"/>
    <cfRule type="duplicateValues" dxfId="8573" priority="1621"/>
    <cfRule type="duplicateValues" dxfId="8572" priority="1622"/>
    <cfRule type="duplicateValues" dxfId="8571" priority="1623"/>
    <cfRule type="duplicateValues" dxfId="8570" priority="1624"/>
    <cfRule type="duplicateValues" dxfId="8569" priority="1641"/>
    <cfRule type="duplicateValues" dxfId="8568" priority="1633"/>
    <cfRule type="duplicateValues" dxfId="8567" priority="1634"/>
    <cfRule type="duplicateValues" dxfId="8566" priority="1635"/>
    <cfRule type="duplicateValues" dxfId="8565" priority="1636"/>
    <cfRule type="duplicateValues" dxfId="8564" priority="1637"/>
    <cfRule type="duplicateValues" dxfId="8563" priority="1657"/>
    <cfRule type="duplicateValues" dxfId="8562" priority="1656"/>
    <cfRule type="duplicateValues" dxfId="8561" priority="1655"/>
    <cfRule type="duplicateValues" dxfId="8560" priority="1654"/>
    <cfRule type="duplicateValues" dxfId="8559" priority="1653"/>
    <cfRule type="duplicateValues" dxfId="8558" priority="1652"/>
    <cfRule type="duplicateValues" dxfId="8557" priority="1651"/>
    <cfRule type="duplicateValues" dxfId="8556" priority="1650"/>
    <cfRule type="duplicateValues" dxfId="8555" priority="1638"/>
    <cfRule type="duplicateValues" dxfId="8554" priority="1648"/>
    <cfRule type="duplicateValues" dxfId="8553" priority="1647"/>
    <cfRule type="duplicateValues" dxfId="8552" priority="1646"/>
    <cfRule type="duplicateValues" dxfId="8551" priority="1645"/>
    <cfRule type="duplicateValues" dxfId="8550" priority="1644"/>
    <cfRule type="duplicateValues" dxfId="8549" priority="1643"/>
    <cfRule type="duplicateValues" dxfId="8548" priority="1642"/>
    <cfRule type="duplicateValues" dxfId="8547" priority="1639"/>
    <cfRule type="duplicateValues" dxfId="8546" priority="1625"/>
    <cfRule type="duplicateValues" dxfId="8545" priority="1626"/>
    <cfRule type="duplicateValues" dxfId="8544" priority="1640"/>
    <cfRule type="duplicateValues" dxfId="8543" priority="1627"/>
    <cfRule type="duplicateValues" dxfId="8542" priority="1628"/>
    <cfRule type="duplicateValues" dxfId="8541" priority="1629"/>
    <cfRule type="duplicateValues" dxfId="8540" priority="1606"/>
  </conditionalFormatting>
  <conditionalFormatting sqref="B414">
    <cfRule type="duplicateValues" dxfId="8539" priority="1579"/>
    <cfRule type="duplicateValues" dxfId="8538" priority="1580"/>
    <cfRule type="duplicateValues" dxfId="8537" priority="1550"/>
    <cfRule type="duplicateValues" dxfId="8536" priority="1549"/>
    <cfRule type="duplicateValues" dxfId="8535" priority="1497"/>
    <cfRule type="duplicateValues" dxfId="8534" priority="1496"/>
    <cfRule type="duplicateValues" dxfId="8533" priority="1495"/>
    <cfRule type="duplicateValues" dxfId="8532" priority="1493"/>
    <cfRule type="duplicateValues" dxfId="8531" priority="1492"/>
    <cfRule type="duplicateValues" dxfId="8530" priority="1491"/>
    <cfRule type="duplicateValues" dxfId="8529" priority="1490"/>
    <cfRule type="duplicateValues" dxfId="8528" priority="1489"/>
    <cfRule type="duplicateValues" dxfId="8527" priority="1548"/>
    <cfRule type="duplicateValues" dxfId="8526" priority="1547"/>
    <cfRule type="duplicateValues" dxfId="8525" priority="1546"/>
    <cfRule type="duplicateValues" dxfId="8524" priority="1488"/>
    <cfRule type="duplicateValues" dxfId="8523" priority="1545"/>
    <cfRule type="duplicateValues" dxfId="8522" priority="1544"/>
    <cfRule type="duplicateValues" dxfId="8521" priority="1543"/>
    <cfRule type="duplicateValues" dxfId="8520" priority="1542"/>
    <cfRule type="duplicateValues" dxfId="8519" priority="1541"/>
    <cfRule type="duplicateValues" dxfId="8518" priority="1540"/>
    <cfRule type="duplicateValues" dxfId="8517" priority="1539"/>
    <cfRule type="duplicateValues" dxfId="8516" priority="1538"/>
    <cfRule type="duplicateValues" dxfId="8515" priority="1537"/>
    <cfRule type="duplicateValues" dxfId="8514" priority="1536"/>
    <cfRule type="duplicateValues" dxfId="8513" priority="1535"/>
    <cfRule type="duplicateValues" dxfId="8512" priority="1591"/>
    <cfRule type="duplicateValues" dxfId="8511" priority="1520"/>
    <cfRule type="duplicateValues" dxfId="8510" priority="1519"/>
    <cfRule type="duplicateValues" dxfId="8509" priority="1518"/>
    <cfRule type="duplicateValues" dxfId="8508" priority="1517"/>
    <cfRule type="duplicateValues" dxfId="8507" priority="1516"/>
    <cfRule type="duplicateValues" dxfId="8506" priority="1515"/>
    <cfRule type="duplicateValues" dxfId="8505" priority="1514"/>
    <cfRule type="duplicateValues" dxfId="8504" priority="1513"/>
    <cfRule type="duplicateValues" dxfId="8503" priority="1512"/>
    <cfRule type="duplicateValues" dxfId="8502" priority="1511"/>
    <cfRule type="duplicateValues" dxfId="8501" priority="1510"/>
    <cfRule type="duplicateValues" dxfId="8500" priority="1509"/>
    <cfRule type="duplicateValues" dxfId="8499" priority="1508"/>
    <cfRule type="duplicateValues" dxfId="8498" priority="1507"/>
    <cfRule type="duplicateValues" dxfId="8497" priority="1506"/>
    <cfRule type="duplicateValues" dxfId="8496" priority="1505"/>
    <cfRule type="duplicateValues" dxfId="8495" priority="1504"/>
    <cfRule type="duplicateValues" dxfId="8494" priority="1503"/>
    <cfRule type="duplicateValues" dxfId="8493" priority="1581"/>
    <cfRule type="duplicateValues" dxfId="8492" priority="1582"/>
    <cfRule type="duplicateValues" dxfId="8491" priority="1583"/>
    <cfRule type="duplicateValues" dxfId="8490" priority="1584"/>
    <cfRule type="duplicateValues" dxfId="8489" priority="1585"/>
    <cfRule type="duplicateValues" dxfId="8488" priority="1586"/>
    <cfRule type="duplicateValues" dxfId="8487" priority="1587"/>
    <cfRule type="duplicateValues" dxfId="8486" priority="1588"/>
    <cfRule type="duplicateValues" dxfId="8485" priority="1589"/>
    <cfRule type="duplicateValues" dxfId="8484" priority="1590"/>
    <cfRule type="duplicateValues" dxfId="8483" priority="1534"/>
    <cfRule type="duplicateValues" dxfId="8482" priority="1592"/>
    <cfRule type="duplicateValues" dxfId="8481" priority="1593"/>
    <cfRule type="duplicateValues" dxfId="8480" priority="1594"/>
    <cfRule type="duplicateValues" dxfId="8479" priority="1595"/>
    <cfRule type="duplicateValues" dxfId="8478" priority="1596"/>
    <cfRule type="duplicateValues" dxfId="8477" priority="1597"/>
    <cfRule type="duplicateValues" dxfId="8476" priority="1598"/>
    <cfRule type="duplicateValues" dxfId="8475" priority="1599"/>
    <cfRule type="duplicateValues" dxfId="8474" priority="1600"/>
    <cfRule type="duplicateValues" dxfId="8473" priority="1601"/>
    <cfRule type="duplicateValues" dxfId="8472" priority="1602"/>
    <cfRule type="duplicateValues" dxfId="8471" priority="1533"/>
    <cfRule type="duplicateValues" dxfId="8470" priority="1532"/>
    <cfRule type="duplicateValues" dxfId="8469" priority="1531"/>
    <cfRule type="duplicateValues" dxfId="8468" priority="1530"/>
    <cfRule type="duplicateValues" dxfId="8467" priority="1529"/>
    <cfRule type="duplicateValues" dxfId="8466" priority="1528"/>
    <cfRule type="duplicateValues" dxfId="8465" priority="1527"/>
    <cfRule type="duplicateValues" dxfId="8464" priority="1526"/>
    <cfRule type="duplicateValues" dxfId="8463" priority="1565"/>
    <cfRule type="duplicateValues" dxfId="8462" priority="1525"/>
    <cfRule type="duplicateValues" dxfId="8461" priority="1524"/>
    <cfRule type="duplicateValues" dxfId="8460" priority="1523"/>
    <cfRule type="duplicateValues" dxfId="8459" priority="1522"/>
    <cfRule type="duplicateValues" dxfId="8458" priority="1521"/>
    <cfRule type="duplicateValues" dxfId="8457" priority="1502"/>
    <cfRule type="duplicateValues" dxfId="8456" priority="1501"/>
    <cfRule type="duplicateValues" dxfId="8455" priority="1554"/>
    <cfRule type="duplicateValues" dxfId="8454" priority="1555"/>
    <cfRule type="duplicateValues" dxfId="8453" priority="1556"/>
    <cfRule type="duplicateValues" dxfId="8452" priority="1557"/>
    <cfRule type="duplicateValues" dxfId="8451" priority="1558"/>
    <cfRule type="duplicateValues" dxfId="8450" priority="1559"/>
    <cfRule type="duplicateValues" dxfId="8449" priority="1560"/>
    <cfRule type="duplicateValues" dxfId="8448" priority="1561"/>
    <cfRule type="duplicateValues" dxfId="8447" priority="1562"/>
    <cfRule type="duplicateValues" dxfId="8446" priority="1563"/>
    <cfRule type="duplicateValues" dxfId="8445" priority="1564"/>
    <cfRule type="duplicateValues" dxfId="8444" priority="1494"/>
    <cfRule type="duplicateValues" dxfId="8443" priority="1566"/>
    <cfRule type="duplicateValues" dxfId="8442" priority="1567"/>
    <cfRule type="duplicateValues" dxfId="8441" priority="1568"/>
    <cfRule type="duplicateValues" dxfId="8440" priority="1569"/>
    <cfRule type="duplicateValues" dxfId="8439" priority="1487"/>
    <cfRule type="duplicateValues" dxfId="8438" priority="1553"/>
    <cfRule type="duplicateValues" dxfId="8437" priority="1552"/>
    <cfRule type="duplicateValues" dxfId="8436" priority="1551"/>
    <cfRule type="duplicateValues" dxfId="8435" priority="1486"/>
    <cfRule type="duplicateValues" dxfId="8434" priority="1485"/>
    <cfRule type="duplicateValues" dxfId="8433" priority="1484"/>
    <cfRule type="duplicateValues" dxfId="8432" priority="1483"/>
    <cfRule type="duplicateValues" dxfId="8431" priority="1482"/>
    <cfRule type="duplicateValues" dxfId="8430" priority="1570"/>
    <cfRule type="duplicateValues" dxfId="8429" priority="1571"/>
    <cfRule type="duplicateValues" dxfId="8428" priority="1572"/>
    <cfRule type="duplicateValues" dxfId="8427" priority="1573"/>
    <cfRule type="duplicateValues" dxfId="8426" priority="1574"/>
    <cfRule type="duplicateValues" dxfId="8425" priority="1500"/>
    <cfRule type="duplicateValues" dxfId="8424" priority="1499"/>
    <cfRule type="duplicateValues" dxfId="8423" priority="1498"/>
    <cfRule type="duplicateValues" dxfId="8422" priority="1575"/>
    <cfRule type="duplicateValues" dxfId="8421" priority="1576"/>
    <cfRule type="duplicateValues" dxfId="8420" priority="1577"/>
    <cfRule type="duplicateValues" dxfId="8419" priority="1578"/>
  </conditionalFormatting>
  <conditionalFormatting sqref="B415:B424">
    <cfRule type="duplicateValues" dxfId="8418" priority="1439"/>
    <cfRule type="duplicateValues" dxfId="8417" priority="1440"/>
    <cfRule type="duplicateValues" dxfId="8416" priority="1441"/>
    <cfRule type="duplicateValues" dxfId="8415" priority="1442"/>
    <cfRule type="duplicateValues" dxfId="8414" priority="1443"/>
    <cfRule type="duplicateValues" dxfId="8413" priority="1444"/>
    <cfRule type="duplicateValues" dxfId="8412" priority="1445"/>
    <cfRule type="duplicateValues" dxfId="8411" priority="1446"/>
    <cfRule type="duplicateValues" dxfId="8410" priority="1447"/>
    <cfRule type="duplicateValues" dxfId="8409" priority="1448"/>
    <cfRule type="duplicateValues" dxfId="8408" priority="1449"/>
    <cfRule type="duplicateValues" dxfId="8407" priority="1450"/>
    <cfRule type="duplicateValues" dxfId="8406" priority="1451"/>
    <cfRule type="duplicateValues" dxfId="8405" priority="1452"/>
    <cfRule type="duplicateValues" dxfId="8404" priority="1453"/>
    <cfRule type="duplicateValues" dxfId="8403" priority="1454"/>
    <cfRule type="duplicateValues" dxfId="8402" priority="1455"/>
    <cfRule type="duplicateValues" dxfId="8401" priority="1456"/>
    <cfRule type="duplicateValues" dxfId="8400" priority="1457"/>
    <cfRule type="duplicateValues" dxfId="8399" priority="1458"/>
    <cfRule type="duplicateValues" dxfId="8398" priority="1459"/>
    <cfRule type="duplicateValues" dxfId="8397" priority="1460"/>
    <cfRule type="duplicateValues" dxfId="8396" priority="1461"/>
    <cfRule type="duplicateValues" dxfId="8395" priority="1462"/>
    <cfRule type="duplicateValues" dxfId="8394" priority="1463"/>
    <cfRule type="duplicateValues" dxfId="8393" priority="1464"/>
    <cfRule type="duplicateValues" dxfId="8392" priority="1438"/>
    <cfRule type="duplicateValues" dxfId="8391" priority="1478"/>
    <cfRule type="duplicateValues" dxfId="8390" priority="1477"/>
    <cfRule type="duplicateValues" dxfId="8389" priority="1476"/>
    <cfRule type="duplicateValues" dxfId="8388" priority="1475"/>
    <cfRule type="duplicateValues" dxfId="8387" priority="1474"/>
    <cfRule type="duplicateValues" dxfId="8386" priority="1473"/>
    <cfRule type="duplicateValues" dxfId="8385" priority="1472"/>
    <cfRule type="duplicateValues" dxfId="8384" priority="1471"/>
    <cfRule type="duplicateValues" dxfId="8383" priority="1469"/>
    <cfRule type="duplicateValues" dxfId="8382" priority="1468"/>
    <cfRule type="duplicateValues" dxfId="8381" priority="1467"/>
    <cfRule type="duplicateValues" dxfId="8380" priority="1466"/>
    <cfRule type="duplicateValues" dxfId="8379" priority="1465"/>
    <cfRule type="duplicateValues" dxfId="8378" priority="1385"/>
    <cfRule type="duplicateValues" dxfId="8377" priority="1479"/>
    <cfRule type="duplicateValues" dxfId="8376" priority="1387"/>
    <cfRule type="duplicateValues" dxfId="8375" priority="1388"/>
    <cfRule type="duplicateValues" dxfId="8374" priority="1389"/>
    <cfRule type="duplicateValues" dxfId="8373" priority="1390"/>
    <cfRule type="duplicateValues" dxfId="8372" priority="1391"/>
    <cfRule type="duplicateValues" dxfId="8371" priority="1392"/>
    <cfRule type="duplicateValues" dxfId="8370" priority="1393"/>
    <cfRule type="duplicateValues" dxfId="8369" priority="1394"/>
    <cfRule type="duplicateValues" dxfId="8368" priority="1395"/>
    <cfRule type="duplicateValues" dxfId="8367" priority="1396"/>
    <cfRule type="duplicateValues" dxfId="8366" priority="1397"/>
    <cfRule type="duplicateValues" dxfId="8365" priority="1398"/>
    <cfRule type="duplicateValues" dxfId="8364" priority="1399"/>
    <cfRule type="duplicateValues" dxfId="8363" priority="1400"/>
    <cfRule type="duplicateValues" dxfId="8362" priority="1401"/>
    <cfRule type="duplicateValues" dxfId="8361" priority="1402"/>
    <cfRule type="duplicateValues" dxfId="8360" priority="1403"/>
    <cfRule type="duplicateValues" dxfId="8359" priority="1404"/>
    <cfRule type="duplicateValues" dxfId="8358" priority="1405"/>
    <cfRule type="duplicateValues" dxfId="8357" priority="1406"/>
    <cfRule type="duplicateValues" dxfId="8356" priority="1407"/>
    <cfRule type="duplicateValues" dxfId="8355" priority="1408"/>
    <cfRule type="duplicateValues" dxfId="8354" priority="1409"/>
    <cfRule type="duplicateValues" dxfId="8353" priority="1410"/>
    <cfRule type="duplicateValues" dxfId="8352" priority="1411"/>
    <cfRule type="duplicateValues" dxfId="8351" priority="1412"/>
    <cfRule type="duplicateValues" dxfId="8350" priority="1413"/>
    <cfRule type="duplicateValues" dxfId="8349" priority="1414"/>
    <cfRule type="duplicateValues" dxfId="8348" priority="1415"/>
    <cfRule type="duplicateValues" dxfId="8347" priority="1416"/>
    <cfRule type="duplicateValues" dxfId="8346" priority="1417"/>
    <cfRule type="duplicateValues" dxfId="8345" priority="1418"/>
    <cfRule type="duplicateValues" dxfId="8344" priority="1419"/>
    <cfRule type="duplicateValues" dxfId="8343" priority="1420"/>
    <cfRule type="duplicateValues" dxfId="8342" priority="1421"/>
    <cfRule type="duplicateValues" dxfId="8341" priority="1422"/>
    <cfRule type="duplicateValues" dxfId="8340" priority="1423"/>
    <cfRule type="duplicateValues" dxfId="8339" priority="1424"/>
    <cfRule type="duplicateValues" dxfId="8338" priority="1425"/>
    <cfRule type="duplicateValues" dxfId="8337" priority="1426"/>
    <cfRule type="duplicateValues" dxfId="8336" priority="1427"/>
    <cfRule type="duplicateValues" dxfId="8335" priority="1428"/>
    <cfRule type="duplicateValues" dxfId="8334" priority="1429"/>
    <cfRule type="duplicateValues" dxfId="8333" priority="1430"/>
    <cfRule type="duplicateValues" dxfId="8332" priority="1431"/>
    <cfRule type="duplicateValues" dxfId="8331" priority="1432"/>
    <cfRule type="duplicateValues" dxfId="8330" priority="1433"/>
    <cfRule type="duplicateValues" dxfId="8329" priority="1434"/>
    <cfRule type="duplicateValues" dxfId="8328" priority="1435"/>
    <cfRule type="duplicateValues" dxfId="8327" priority="1436"/>
    <cfRule type="duplicateValues" dxfId="8326" priority="1437"/>
    <cfRule type="duplicateValues" dxfId="8325" priority="1481"/>
    <cfRule type="duplicateValues" dxfId="8324" priority="1470"/>
    <cfRule type="duplicateValues" dxfId="8323" priority="1480"/>
    <cfRule type="duplicateValues" dxfId="8322" priority="1361"/>
    <cfRule type="duplicateValues" dxfId="8321" priority="1362"/>
    <cfRule type="duplicateValues" dxfId="8320" priority="1363"/>
    <cfRule type="duplicateValues" dxfId="8319" priority="1364"/>
    <cfRule type="duplicateValues" dxfId="8318" priority="1365"/>
    <cfRule type="duplicateValues" dxfId="8317" priority="1366"/>
    <cfRule type="duplicateValues" dxfId="8316" priority="1367"/>
    <cfRule type="duplicateValues" dxfId="8315" priority="1368"/>
    <cfRule type="duplicateValues" dxfId="8314" priority="1369"/>
    <cfRule type="duplicateValues" dxfId="8313" priority="1370"/>
    <cfRule type="duplicateValues" dxfId="8312" priority="1371"/>
    <cfRule type="duplicateValues" dxfId="8311" priority="1372"/>
    <cfRule type="duplicateValues" dxfId="8310" priority="1373"/>
    <cfRule type="duplicateValues" dxfId="8309" priority="1374"/>
    <cfRule type="duplicateValues" dxfId="8308" priority="1375"/>
    <cfRule type="duplicateValues" dxfId="8307" priority="1376"/>
    <cfRule type="duplicateValues" dxfId="8306" priority="1377"/>
    <cfRule type="duplicateValues" dxfId="8305" priority="1378"/>
    <cfRule type="duplicateValues" dxfId="8304" priority="1379"/>
    <cfRule type="duplicateValues" dxfId="8303" priority="1380"/>
    <cfRule type="duplicateValues" dxfId="8302" priority="1381"/>
    <cfRule type="duplicateValues" dxfId="8301" priority="1382"/>
    <cfRule type="duplicateValues" dxfId="8300" priority="1383"/>
    <cfRule type="duplicateValues" dxfId="8299" priority="1384"/>
    <cfRule type="duplicateValues" dxfId="8298" priority="1386"/>
  </conditionalFormatting>
  <conditionalFormatting sqref="B425:B427">
    <cfRule type="duplicateValues" dxfId="8297" priority="1352"/>
    <cfRule type="duplicateValues" dxfId="8296" priority="1351"/>
    <cfRule type="duplicateValues" dxfId="8295" priority="1350"/>
    <cfRule type="duplicateValues" dxfId="8294" priority="1349"/>
    <cfRule type="duplicateValues" dxfId="8293" priority="1348"/>
    <cfRule type="duplicateValues" dxfId="8292" priority="1347"/>
    <cfRule type="duplicateValues" dxfId="8291" priority="1346"/>
    <cfRule type="duplicateValues" dxfId="8290" priority="1345"/>
    <cfRule type="duplicateValues" dxfId="8289" priority="1344"/>
    <cfRule type="duplicateValues" dxfId="8288" priority="1343"/>
    <cfRule type="duplicateValues" dxfId="8287" priority="1342"/>
    <cfRule type="duplicateValues" dxfId="8286" priority="1341"/>
    <cfRule type="duplicateValues" dxfId="8285" priority="1340"/>
    <cfRule type="duplicateValues" dxfId="8284" priority="1339"/>
    <cfRule type="duplicateValues" dxfId="8283" priority="1338"/>
    <cfRule type="duplicateValues" dxfId="8282" priority="1337"/>
    <cfRule type="duplicateValues" dxfId="8281" priority="1336"/>
    <cfRule type="duplicateValues" dxfId="8280" priority="1335"/>
    <cfRule type="duplicateValues" dxfId="8279" priority="1334"/>
    <cfRule type="duplicateValues" dxfId="8278" priority="1333"/>
    <cfRule type="duplicateValues" dxfId="8277" priority="1332"/>
    <cfRule type="duplicateValues" dxfId="8276" priority="1331"/>
    <cfRule type="duplicateValues" dxfId="8275" priority="1330"/>
    <cfRule type="duplicateValues" dxfId="8274" priority="1329"/>
    <cfRule type="duplicateValues" dxfId="8273" priority="1328"/>
    <cfRule type="duplicateValues" dxfId="8272" priority="1327"/>
    <cfRule type="duplicateValues" dxfId="8271" priority="1326"/>
    <cfRule type="duplicateValues" dxfId="8270" priority="1325"/>
    <cfRule type="duplicateValues" dxfId="8269" priority="1324"/>
    <cfRule type="duplicateValues" dxfId="8268" priority="1323"/>
    <cfRule type="duplicateValues" dxfId="8267" priority="1322"/>
    <cfRule type="duplicateValues" dxfId="8266" priority="1321"/>
    <cfRule type="duplicateValues" dxfId="8265" priority="1320"/>
    <cfRule type="duplicateValues" dxfId="8264" priority="1319"/>
    <cfRule type="duplicateValues" dxfId="8263" priority="1318"/>
    <cfRule type="duplicateValues" dxfId="8262" priority="1317"/>
    <cfRule type="duplicateValues" dxfId="8261" priority="1316"/>
    <cfRule type="duplicateValues" dxfId="8260" priority="1315"/>
    <cfRule type="duplicateValues" dxfId="8259" priority="1314"/>
    <cfRule type="duplicateValues" dxfId="8258" priority="1313"/>
    <cfRule type="duplicateValues" dxfId="8257" priority="1312"/>
    <cfRule type="duplicateValues" dxfId="8256" priority="1311"/>
    <cfRule type="duplicateValues" dxfId="8255" priority="1310"/>
    <cfRule type="duplicateValues" dxfId="8254" priority="1309"/>
    <cfRule type="duplicateValues" dxfId="8253" priority="1308"/>
    <cfRule type="duplicateValues" dxfId="8252" priority="1307"/>
    <cfRule type="duplicateValues" dxfId="8251" priority="1306"/>
    <cfRule type="duplicateValues" dxfId="8250" priority="1305"/>
    <cfRule type="duplicateValues" dxfId="8249" priority="1304"/>
    <cfRule type="duplicateValues" dxfId="8248" priority="1303"/>
    <cfRule type="duplicateValues" dxfId="8247" priority="1302"/>
    <cfRule type="duplicateValues" dxfId="8246" priority="1301"/>
    <cfRule type="duplicateValues" dxfId="8245" priority="1300"/>
    <cfRule type="duplicateValues" dxfId="8244" priority="1299"/>
    <cfRule type="duplicateValues" dxfId="8243" priority="1298"/>
    <cfRule type="duplicateValues" dxfId="8242" priority="1297"/>
    <cfRule type="duplicateValues" dxfId="8241" priority="1296"/>
    <cfRule type="duplicateValues" dxfId="8240" priority="1295"/>
    <cfRule type="duplicateValues" dxfId="8239" priority="1294"/>
    <cfRule type="duplicateValues" dxfId="8238" priority="1293"/>
    <cfRule type="duplicateValues" dxfId="8237" priority="1292"/>
    <cfRule type="duplicateValues" dxfId="8236" priority="1291"/>
    <cfRule type="duplicateValues" dxfId="8235" priority="1290"/>
    <cfRule type="duplicateValues" dxfId="8234" priority="14390"/>
    <cfRule type="duplicateValues" dxfId="8233" priority="14392"/>
    <cfRule type="duplicateValues" dxfId="8232" priority="14393"/>
    <cfRule type="duplicateValues" dxfId="8231" priority="14394"/>
    <cfRule type="duplicateValues" dxfId="8230" priority="14395"/>
    <cfRule type="duplicateValues" dxfId="8229" priority="14396"/>
    <cfRule type="duplicateValues" dxfId="8228" priority="14397"/>
    <cfRule type="duplicateValues" dxfId="8227" priority="14398"/>
    <cfRule type="duplicateValues" dxfId="8226" priority="14399"/>
    <cfRule type="duplicateValues" dxfId="8225" priority="14400"/>
    <cfRule type="duplicateValues" dxfId="8224" priority="14401"/>
    <cfRule type="duplicateValues" dxfId="8223" priority="14402"/>
    <cfRule type="duplicateValues" dxfId="8222" priority="1289"/>
    <cfRule type="duplicateValues" dxfId="8221" priority="1288"/>
    <cfRule type="duplicateValues" dxfId="8220" priority="1287"/>
    <cfRule type="duplicateValues" dxfId="8219" priority="1286"/>
    <cfRule type="duplicateValues" dxfId="8218" priority="1285"/>
    <cfRule type="duplicateValues" dxfId="8217" priority="1284"/>
    <cfRule type="duplicateValues" dxfId="8216" priority="1283"/>
    <cfRule type="duplicateValues" dxfId="8215" priority="1282"/>
    <cfRule type="duplicateValues" dxfId="8214" priority="1281"/>
    <cfRule type="duplicateValues" dxfId="8213" priority="1280"/>
    <cfRule type="duplicateValues" dxfId="8212" priority="1279"/>
    <cfRule type="duplicateValues" dxfId="8211" priority="1278"/>
    <cfRule type="duplicateValues" dxfId="8210" priority="1277"/>
    <cfRule type="duplicateValues" dxfId="8209" priority="1276"/>
    <cfRule type="duplicateValues" dxfId="8208" priority="1275"/>
    <cfRule type="duplicateValues" dxfId="8207" priority="1274"/>
    <cfRule type="duplicateValues" dxfId="8206" priority="1273"/>
    <cfRule type="duplicateValues" dxfId="8205" priority="1272"/>
    <cfRule type="duplicateValues" dxfId="8204" priority="1271"/>
    <cfRule type="duplicateValues" dxfId="8203" priority="1270"/>
    <cfRule type="duplicateValues" dxfId="8202" priority="1269"/>
    <cfRule type="duplicateValues" dxfId="8201" priority="1268"/>
    <cfRule type="duplicateValues" dxfId="8200" priority="1267"/>
    <cfRule type="duplicateValues" dxfId="8199" priority="1266"/>
    <cfRule type="duplicateValues" dxfId="8198" priority="1265"/>
    <cfRule type="duplicateValues" dxfId="8197" priority="1264"/>
    <cfRule type="duplicateValues" dxfId="8196" priority="1263"/>
    <cfRule type="duplicateValues" dxfId="8195" priority="1262"/>
    <cfRule type="duplicateValues" dxfId="8194" priority="1261"/>
    <cfRule type="duplicateValues" dxfId="8193" priority="1260"/>
    <cfRule type="duplicateValues" dxfId="8192" priority="1259"/>
    <cfRule type="duplicateValues" dxfId="8191" priority="1258"/>
    <cfRule type="duplicateValues" dxfId="8190" priority="1257"/>
    <cfRule type="duplicateValues" dxfId="8189" priority="1256"/>
    <cfRule type="duplicateValues" dxfId="8188" priority="1255"/>
    <cfRule type="duplicateValues" dxfId="8187" priority="1254"/>
    <cfRule type="duplicateValues" dxfId="8186" priority="1253"/>
    <cfRule type="duplicateValues" dxfId="8185" priority="1252"/>
    <cfRule type="duplicateValues" dxfId="8184" priority="1251"/>
    <cfRule type="duplicateValues" dxfId="8183" priority="1250"/>
    <cfRule type="duplicateValues" dxfId="8182" priority="1249"/>
    <cfRule type="duplicateValues" dxfId="8181" priority="1248"/>
    <cfRule type="duplicateValues" dxfId="8180" priority="1247"/>
    <cfRule type="duplicateValues" dxfId="8179" priority="1246"/>
    <cfRule type="duplicateValues" dxfId="8178" priority="1245"/>
    <cfRule type="duplicateValues" dxfId="8177" priority="1244"/>
    <cfRule type="duplicateValues" dxfId="8176" priority="1243"/>
    <cfRule type="duplicateValues" dxfId="8175" priority="1242"/>
    <cfRule type="duplicateValues" dxfId="8174" priority="14403"/>
    <cfRule type="duplicateValues" dxfId="8173" priority="14404"/>
    <cfRule type="duplicateValues" dxfId="8172" priority="14405"/>
    <cfRule type="duplicateValues" dxfId="8171" priority="14406"/>
    <cfRule type="duplicateValues" dxfId="8170" priority="1241"/>
    <cfRule type="duplicateValues" dxfId="8169" priority="1240"/>
    <cfRule type="duplicateValues" dxfId="8168" priority="1239"/>
    <cfRule type="duplicateValues" dxfId="8167" priority="1238"/>
    <cfRule type="duplicateValues" dxfId="8166" priority="1237"/>
    <cfRule type="duplicateValues" dxfId="8165" priority="1236"/>
    <cfRule type="duplicateValues" dxfId="8164" priority="1235"/>
    <cfRule type="duplicateValues" dxfId="8163" priority="1234"/>
    <cfRule type="duplicateValues" dxfId="8162" priority="1233"/>
    <cfRule type="duplicateValues" dxfId="8161" priority="1232"/>
    <cfRule type="duplicateValues" dxfId="8160" priority="1231"/>
    <cfRule type="duplicateValues" dxfId="8159" priority="1230"/>
    <cfRule type="duplicateValues" dxfId="8158" priority="1229"/>
    <cfRule type="duplicateValues" dxfId="8157" priority="1228"/>
    <cfRule type="duplicateValues" dxfId="8156" priority="1227"/>
    <cfRule type="duplicateValues" dxfId="8155" priority="1226"/>
    <cfRule type="duplicateValues" dxfId="8154" priority="1225"/>
    <cfRule type="duplicateValues" dxfId="8153" priority="1224"/>
    <cfRule type="duplicateValues" dxfId="8152" priority="1223"/>
    <cfRule type="duplicateValues" dxfId="8151" priority="1222"/>
    <cfRule type="duplicateValues" dxfId="8150" priority="1221"/>
    <cfRule type="duplicateValues" dxfId="8149" priority="1220"/>
    <cfRule type="duplicateValues" dxfId="8148" priority="1219"/>
    <cfRule type="duplicateValues" dxfId="8147" priority="1218"/>
    <cfRule type="duplicateValues" dxfId="8146" priority="1217"/>
    <cfRule type="duplicateValues" dxfId="8145" priority="1216"/>
    <cfRule type="duplicateValues" dxfId="8144" priority="1215"/>
    <cfRule type="duplicateValues" dxfId="8143" priority="1214"/>
    <cfRule type="duplicateValues" dxfId="8142" priority="1213"/>
    <cfRule type="duplicateValues" dxfId="8141" priority="1212"/>
    <cfRule type="duplicateValues" dxfId="8140" priority="1211"/>
    <cfRule type="duplicateValues" dxfId="8139" priority="1210"/>
    <cfRule type="duplicateValues" dxfId="8138" priority="1209"/>
    <cfRule type="duplicateValues" dxfId="8137" priority="1208"/>
    <cfRule type="duplicateValues" dxfId="8136" priority="1207"/>
    <cfRule type="duplicateValues" dxfId="8135" priority="1206"/>
    <cfRule type="duplicateValues" dxfId="8134" priority="1205"/>
    <cfRule type="duplicateValues" dxfId="8133" priority="1204"/>
    <cfRule type="duplicateValues" dxfId="8132" priority="1203"/>
    <cfRule type="duplicateValues" dxfId="8131" priority="1202"/>
    <cfRule type="duplicateValues" dxfId="8130" priority="14407"/>
    <cfRule type="duplicateValues" dxfId="8129" priority="14408"/>
    <cfRule type="duplicateValues" dxfId="8128" priority="14409"/>
    <cfRule type="duplicateValues" dxfId="8127" priority="1201"/>
    <cfRule type="duplicateValues" dxfId="8126" priority="1200"/>
    <cfRule type="duplicateValues" dxfId="8125" priority="1199"/>
    <cfRule type="duplicateValues" dxfId="8124" priority="1198"/>
    <cfRule type="duplicateValues" dxfId="8123" priority="1197"/>
    <cfRule type="duplicateValues" dxfId="8122" priority="1196"/>
    <cfRule type="duplicateValues" dxfId="8121" priority="1195"/>
    <cfRule type="duplicateValues" dxfId="8120" priority="1194"/>
    <cfRule type="duplicateValues" dxfId="8119" priority="1193"/>
    <cfRule type="duplicateValues" dxfId="8118" priority="1192"/>
    <cfRule type="duplicateValues" dxfId="8117" priority="1191"/>
    <cfRule type="duplicateValues" dxfId="8116" priority="14410"/>
    <cfRule type="duplicateValues" dxfId="8115" priority="14411"/>
    <cfRule type="duplicateValues" dxfId="8114" priority="14412"/>
    <cfRule type="duplicateValues" dxfId="8113" priority="14413"/>
    <cfRule type="duplicateValues" dxfId="8112" priority="14414"/>
    <cfRule type="duplicateValues" dxfId="8111" priority="14415"/>
    <cfRule type="duplicateValues" dxfId="8110" priority="14416"/>
    <cfRule type="duplicateValues" dxfId="8109" priority="1353"/>
    <cfRule type="duplicateValues" dxfId="8108" priority="14417"/>
    <cfRule type="duplicateValues" dxfId="8107" priority="1190"/>
    <cfRule type="duplicateValues" dxfId="8106" priority="14418"/>
    <cfRule type="duplicateValues" dxfId="8105" priority="14419"/>
    <cfRule type="duplicateValues" dxfId="8104" priority="14420"/>
    <cfRule type="duplicateValues" dxfId="8103" priority="14421"/>
    <cfRule type="duplicateValues" dxfId="8102" priority="14422"/>
    <cfRule type="duplicateValues" dxfId="8101" priority="14423"/>
    <cfRule type="duplicateValues" dxfId="8100" priority="14424"/>
    <cfRule type="duplicateValues" dxfId="8099" priority="14425"/>
    <cfRule type="duplicateValues" dxfId="8098" priority="14426"/>
    <cfRule type="duplicateValues" dxfId="8097" priority="14427"/>
    <cfRule type="duplicateValues" dxfId="8096" priority="14428"/>
    <cfRule type="duplicateValues" dxfId="8095" priority="1354"/>
    <cfRule type="duplicateValues" dxfId="8094" priority="14391"/>
    <cfRule type="duplicateValues" dxfId="8093" priority="14387"/>
    <cfRule type="duplicateValues" dxfId="8092" priority="14388"/>
    <cfRule type="duplicateValues" dxfId="8091" priority="14389"/>
  </conditionalFormatting>
  <conditionalFormatting sqref="B425:B468">
    <cfRule type="duplicateValues" dxfId="8090" priority="15729"/>
  </conditionalFormatting>
  <conditionalFormatting sqref="B428:B429">
    <cfRule type="duplicateValues" dxfId="8089" priority="14616"/>
    <cfRule type="duplicateValues" dxfId="8088" priority="14617"/>
    <cfRule type="duplicateValues" dxfId="8087" priority="14618"/>
    <cfRule type="duplicateValues" dxfId="8086" priority="14619"/>
    <cfRule type="duplicateValues" dxfId="8085" priority="14620"/>
    <cfRule type="duplicateValues" dxfId="8084" priority="14621"/>
    <cfRule type="duplicateValues" dxfId="8083" priority="14622"/>
    <cfRule type="duplicateValues" dxfId="8082" priority="14623"/>
    <cfRule type="duplicateValues" dxfId="8081" priority="14624"/>
    <cfRule type="duplicateValues" dxfId="8080" priority="14625"/>
    <cfRule type="duplicateValues" dxfId="8079" priority="14626"/>
    <cfRule type="duplicateValues" dxfId="8078" priority="14627"/>
    <cfRule type="duplicateValues" dxfId="8077" priority="14628"/>
    <cfRule type="duplicateValues" dxfId="8076" priority="14629"/>
    <cfRule type="duplicateValues" dxfId="8075" priority="14630"/>
    <cfRule type="duplicateValues" dxfId="8074" priority="14631"/>
    <cfRule type="duplicateValues" dxfId="8073" priority="14632"/>
    <cfRule type="duplicateValues" dxfId="8072" priority="14633"/>
    <cfRule type="duplicateValues" dxfId="8071" priority="14634"/>
    <cfRule type="duplicateValues" dxfId="8070" priority="14635"/>
    <cfRule type="duplicateValues" dxfId="8069" priority="14636"/>
    <cfRule type="duplicateValues" dxfId="8068" priority="14637"/>
    <cfRule type="duplicateValues" dxfId="8067" priority="14638"/>
    <cfRule type="duplicateValues" dxfId="8066" priority="14681"/>
    <cfRule type="duplicateValues" dxfId="8065" priority="14682"/>
    <cfRule type="duplicateValues" dxfId="8064" priority="14683"/>
    <cfRule type="duplicateValues" dxfId="8063" priority="14684"/>
    <cfRule type="duplicateValues" dxfId="8062" priority="14685"/>
    <cfRule type="duplicateValues" dxfId="8061" priority="14686"/>
    <cfRule type="duplicateValues" dxfId="8060" priority="14687"/>
    <cfRule type="duplicateValues" dxfId="8059" priority="14688"/>
    <cfRule type="duplicateValues" dxfId="8058" priority="14689"/>
    <cfRule type="duplicateValues" dxfId="8057" priority="14690"/>
    <cfRule type="duplicateValues" dxfId="8056" priority="14691"/>
    <cfRule type="duplicateValues" dxfId="8055" priority="14692"/>
    <cfRule type="duplicateValues" dxfId="8054" priority="14693"/>
    <cfRule type="duplicateValues" dxfId="8053" priority="14694"/>
    <cfRule type="duplicateValues" dxfId="8052" priority="14695"/>
    <cfRule type="duplicateValues" dxfId="8051" priority="14696"/>
    <cfRule type="duplicateValues" dxfId="8050" priority="14697"/>
    <cfRule type="duplicateValues" dxfId="8049" priority="14698"/>
    <cfRule type="duplicateValues" dxfId="8048" priority="14699"/>
    <cfRule type="duplicateValues" dxfId="8047" priority="14700"/>
    <cfRule type="duplicateValues" dxfId="8046" priority="14701"/>
    <cfRule type="duplicateValues" dxfId="8045" priority="14702"/>
    <cfRule type="duplicateValues" dxfId="8044" priority="14703"/>
    <cfRule type="duplicateValues" dxfId="8043" priority="14704"/>
    <cfRule type="duplicateValues" dxfId="8042" priority="14705"/>
    <cfRule type="duplicateValues" dxfId="8041" priority="14706"/>
    <cfRule type="duplicateValues" dxfId="8040" priority="14707"/>
    <cfRule type="duplicateValues" dxfId="8039" priority="14708"/>
    <cfRule type="duplicateValues" dxfId="8038" priority="14709"/>
    <cfRule type="duplicateValues" dxfId="8037" priority="14710"/>
    <cfRule type="duplicateValues" dxfId="8036" priority="14711"/>
    <cfRule type="duplicateValues" dxfId="8035" priority="14712"/>
    <cfRule type="duplicateValues" dxfId="8034" priority="14713"/>
    <cfRule type="duplicateValues" dxfId="8033" priority="14714"/>
    <cfRule type="duplicateValues" dxfId="8032" priority="14715"/>
    <cfRule type="duplicateValues" dxfId="8031" priority="14716"/>
    <cfRule type="duplicateValues" dxfId="8030" priority="14717"/>
    <cfRule type="duplicateValues" dxfId="8029" priority="14718"/>
    <cfRule type="duplicateValues" dxfId="8028" priority="14719"/>
    <cfRule type="duplicateValues" dxfId="8027" priority="14720"/>
    <cfRule type="duplicateValues" dxfId="8026" priority="14721"/>
    <cfRule type="duplicateValues" dxfId="8025" priority="14722"/>
    <cfRule type="duplicateValues" dxfId="8024" priority="14762"/>
    <cfRule type="duplicateValues" dxfId="8023" priority="14763"/>
    <cfRule type="duplicateValues" dxfId="8022" priority="14764"/>
    <cfRule type="duplicateValues" dxfId="8021" priority="14765"/>
    <cfRule type="duplicateValues" dxfId="8020" priority="14766"/>
    <cfRule type="duplicateValues" dxfId="8019" priority="14767"/>
    <cfRule type="duplicateValues" dxfId="8018" priority="14768"/>
    <cfRule type="duplicateValues" dxfId="8017" priority="14769"/>
    <cfRule type="duplicateValues" dxfId="8016" priority="14770"/>
    <cfRule type="duplicateValues" dxfId="8015" priority="14771"/>
    <cfRule type="duplicateValues" dxfId="8014" priority="14772"/>
    <cfRule type="duplicateValues" dxfId="8013" priority="14773"/>
    <cfRule type="duplicateValues" dxfId="8012" priority="14774"/>
    <cfRule type="duplicateValues" dxfId="8011" priority="14775"/>
    <cfRule type="duplicateValues" dxfId="8010" priority="14776"/>
    <cfRule type="duplicateValues" dxfId="8009" priority="14777"/>
    <cfRule type="duplicateValues" dxfId="8008" priority="14778"/>
    <cfRule type="duplicateValues" dxfId="8007" priority="14779"/>
    <cfRule type="duplicateValues" dxfId="8006" priority="14780"/>
    <cfRule type="duplicateValues" dxfId="8005" priority="14781"/>
    <cfRule type="duplicateValues" dxfId="8004" priority="14782"/>
    <cfRule type="duplicateValues" dxfId="8003" priority="14783"/>
    <cfRule type="duplicateValues" dxfId="8002" priority="14784"/>
    <cfRule type="duplicateValues" dxfId="8001" priority="14785"/>
    <cfRule type="duplicateValues" dxfId="8000" priority="14786"/>
    <cfRule type="duplicateValues" dxfId="7999" priority="14787"/>
    <cfRule type="duplicateValues" dxfId="7998" priority="14788"/>
    <cfRule type="duplicateValues" dxfId="7997" priority="14876"/>
    <cfRule type="duplicateValues" dxfId="7996" priority="14875"/>
    <cfRule type="duplicateValues" dxfId="7995" priority="14874"/>
    <cfRule type="duplicateValues" dxfId="7994" priority="14873"/>
    <cfRule type="duplicateValues" dxfId="7993" priority="14872"/>
    <cfRule type="duplicateValues" dxfId="7992" priority="14871"/>
    <cfRule type="duplicateValues" dxfId="7991" priority="14870"/>
    <cfRule type="duplicateValues" dxfId="7990" priority="14869"/>
    <cfRule type="duplicateValues" dxfId="7989" priority="14868"/>
    <cfRule type="duplicateValues" dxfId="7988" priority="14867"/>
    <cfRule type="duplicateValues" dxfId="7987" priority="14866"/>
    <cfRule type="duplicateValues" dxfId="7986" priority="14865"/>
    <cfRule type="duplicateValues" dxfId="7985" priority="14864"/>
    <cfRule type="duplicateValues" dxfId="7984" priority="14863"/>
    <cfRule type="duplicateValues" dxfId="7983" priority="14862"/>
    <cfRule type="duplicateValues" dxfId="7982" priority="14861"/>
    <cfRule type="duplicateValues" dxfId="7981" priority="14860"/>
    <cfRule type="duplicateValues" dxfId="7980" priority="14859"/>
    <cfRule type="duplicateValues" dxfId="7979" priority="14858"/>
    <cfRule type="duplicateValues" dxfId="7978" priority="14857"/>
    <cfRule type="duplicateValues" dxfId="7977" priority="14856"/>
    <cfRule type="duplicateValues" dxfId="7976" priority="14855"/>
    <cfRule type="duplicateValues" dxfId="7975" priority="14854"/>
    <cfRule type="duplicateValues" dxfId="7974" priority="14853"/>
    <cfRule type="duplicateValues" dxfId="7973" priority="14852"/>
    <cfRule type="duplicateValues" dxfId="7972" priority="14851"/>
    <cfRule type="duplicateValues" dxfId="7971" priority="14850"/>
    <cfRule type="duplicateValues" dxfId="7970" priority="14849"/>
    <cfRule type="duplicateValues" dxfId="7969" priority="14848"/>
    <cfRule type="duplicateValues" dxfId="7968" priority="14847"/>
    <cfRule type="duplicateValues" dxfId="7967" priority="14846"/>
    <cfRule type="duplicateValues" dxfId="7966" priority="14845"/>
    <cfRule type="duplicateValues" dxfId="7965" priority="14844"/>
    <cfRule type="duplicateValues" dxfId="7964" priority="14789"/>
    <cfRule type="duplicateValues" dxfId="7963" priority="14843"/>
    <cfRule type="duplicateValues" dxfId="7962" priority="14842"/>
    <cfRule type="duplicateValues" dxfId="7961" priority="14841"/>
    <cfRule type="duplicateValues" dxfId="7960" priority="14840"/>
    <cfRule type="duplicateValues" dxfId="7959" priority="14839"/>
    <cfRule type="duplicateValues" dxfId="7958" priority="14838"/>
    <cfRule type="duplicateValues" dxfId="7957" priority="14837"/>
    <cfRule type="duplicateValues" dxfId="7956" priority="14836"/>
    <cfRule type="duplicateValues" dxfId="7955" priority="14835"/>
    <cfRule type="duplicateValues" dxfId="7954" priority="14800"/>
    <cfRule type="duplicateValues" dxfId="7953" priority="14799"/>
    <cfRule type="duplicateValues" dxfId="7952" priority="14798"/>
    <cfRule type="duplicateValues" dxfId="7951" priority="14797"/>
    <cfRule type="duplicateValues" dxfId="7950" priority="14796"/>
    <cfRule type="duplicateValues" dxfId="7949" priority="14795"/>
    <cfRule type="duplicateValues" dxfId="7948" priority="14794"/>
    <cfRule type="duplicateValues" dxfId="7947" priority="14793"/>
    <cfRule type="duplicateValues" dxfId="7946" priority="14792"/>
    <cfRule type="duplicateValues" dxfId="7945" priority="14791"/>
    <cfRule type="duplicateValues" dxfId="7944" priority="14790"/>
    <cfRule type="duplicateValues" dxfId="7943" priority="14513"/>
    <cfRule type="duplicateValues" dxfId="7942" priority="14514"/>
    <cfRule type="duplicateValues" dxfId="7941" priority="14515"/>
    <cfRule type="duplicateValues" dxfId="7940" priority="14516"/>
    <cfRule type="duplicateValues" dxfId="7939" priority="14517"/>
    <cfRule type="duplicateValues" dxfId="7938" priority="14518"/>
    <cfRule type="duplicateValues" dxfId="7937" priority="14519"/>
    <cfRule type="duplicateValues" dxfId="7936" priority="14520"/>
    <cfRule type="duplicateValues" dxfId="7935" priority="14521"/>
    <cfRule type="duplicateValues" dxfId="7934" priority="14523"/>
    <cfRule type="duplicateValues" dxfId="7933" priority="14524"/>
    <cfRule type="duplicateValues" dxfId="7932" priority="14525"/>
    <cfRule type="duplicateValues" dxfId="7931" priority="14526"/>
    <cfRule type="duplicateValues" dxfId="7930" priority="14527"/>
    <cfRule type="duplicateValues" dxfId="7929" priority="14528"/>
    <cfRule type="duplicateValues" dxfId="7928" priority="14529"/>
    <cfRule type="duplicateValues" dxfId="7927" priority="14530"/>
    <cfRule type="duplicateValues" dxfId="7926" priority="14531"/>
    <cfRule type="duplicateValues" dxfId="7925" priority="14532"/>
    <cfRule type="duplicateValues" dxfId="7924" priority="14533"/>
    <cfRule type="duplicateValues" dxfId="7923" priority="14534"/>
    <cfRule type="duplicateValues" dxfId="7922" priority="14535"/>
    <cfRule type="duplicateValues" dxfId="7921" priority="14536"/>
    <cfRule type="duplicateValues" dxfId="7920" priority="14537"/>
    <cfRule type="duplicateValues" dxfId="7919" priority="14538"/>
    <cfRule type="duplicateValues" dxfId="7918" priority="14539"/>
    <cfRule type="duplicateValues" dxfId="7917" priority="14540"/>
    <cfRule type="duplicateValues" dxfId="7916" priority="14541"/>
    <cfRule type="duplicateValues" dxfId="7915" priority="14542"/>
    <cfRule type="duplicateValues" dxfId="7914" priority="14543"/>
    <cfRule type="duplicateValues" dxfId="7913" priority="14544"/>
    <cfRule type="duplicateValues" dxfId="7912" priority="14545"/>
    <cfRule type="duplicateValues" dxfId="7911" priority="14546"/>
    <cfRule type="duplicateValues" dxfId="7910" priority="14547"/>
    <cfRule type="duplicateValues" dxfId="7909" priority="14548"/>
    <cfRule type="duplicateValues" dxfId="7908" priority="14549"/>
    <cfRule type="duplicateValues" dxfId="7907" priority="14550"/>
    <cfRule type="duplicateValues" dxfId="7906" priority="14551"/>
    <cfRule type="duplicateValues" dxfId="7905" priority="14552"/>
    <cfRule type="duplicateValues" dxfId="7904" priority="14553"/>
    <cfRule type="duplicateValues" dxfId="7903" priority="14554"/>
    <cfRule type="duplicateValues" dxfId="7902" priority="14597"/>
    <cfRule type="duplicateValues" dxfId="7901" priority="14598"/>
    <cfRule type="duplicateValues" dxfId="7900" priority="14599"/>
    <cfRule type="duplicateValues" dxfId="7899" priority="14600"/>
    <cfRule type="duplicateValues" dxfId="7898" priority="14601"/>
    <cfRule type="duplicateValues" dxfId="7897" priority="14602"/>
    <cfRule type="duplicateValues" dxfId="7896" priority="14603"/>
    <cfRule type="duplicateValues" dxfId="7895" priority="14604"/>
    <cfRule type="duplicateValues" dxfId="7894" priority="14605"/>
    <cfRule type="duplicateValues" dxfId="7893" priority="14606"/>
    <cfRule type="duplicateValues" dxfId="7892" priority="14607"/>
    <cfRule type="duplicateValues" dxfId="7891" priority="14608"/>
    <cfRule type="duplicateValues" dxfId="7890" priority="14609"/>
    <cfRule type="duplicateValues" dxfId="7889" priority="14610"/>
    <cfRule type="duplicateValues" dxfId="7888" priority="14611"/>
    <cfRule type="duplicateValues" dxfId="7887" priority="14612"/>
    <cfRule type="duplicateValues" dxfId="7886" priority="14613"/>
    <cfRule type="duplicateValues" dxfId="7885" priority="14614"/>
    <cfRule type="duplicateValues" dxfId="7884" priority="14615"/>
    <cfRule type="duplicateValues" dxfId="7883" priority="14522"/>
  </conditionalFormatting>
  <conditionalFormatting sqref="B430:B436">
    <cfRule type="duplicateValues" dxfId="7882" priority="15324"/>
    <cfRule type="duplicateValues" dxfId="7881" priority="15323"/>
    <cfRule type="duplicateValues" dxfId="7880" priority="15322"/>
    <cfRule type="duplicateValues" dxfId="7879" priority="15321"/>
    <cfRule type="duplicateValues" dxfId="7878" priority="15320"/>
    <cfRule type="duplicateValues" dxfId="7877" priority="15319"/>
    <cfRule type="duplicateValues" dxfId="7876" priority="15318"/>
    <cfRule type="duplicateValues" dxfId="7875" priority="15317"/>
    <cfRule type="duplicateValues" dxfId="7874" priority="15316"/>
    <cfRule type="duplicateValues" dxfId="7873" priority="15315"/>
    <cfRule type="duplicateValues" dxfId="7872" priority="15314"/>
    <cfRule type="duplicateValues" dxfId="7871" priority="15313"/>
    <cfRule type="duplicateValues" dxfId="7870" priority="15312"/>
    <cfRule type="duplicateValues" dxfId="7869" priority="15311"/>
    <cfRule type="duplicateValues" dxfId="7868" priority="15310"/>
    <cfRule type="duplicateValues" dxfId="7867" priority="15309"/>
    <cfRule type="duplicateValues" dxfId="7866" priority="15308"/>
    <cfRule type="duplicateValues" dxfId="7865" priority="15307"/>
    <cfRule type="duplicateValues" dxfId="7864" priority="15306"/>
    <cfRule type="duplicateValues" dxfId="7863" priority="15305"/>
    <cfRule type="duplicateValues" dxfId="7862" priority="15304"/>
    <cfRule type="duplicateValues" dxfId="7861" priority="15303"/>
    <cfRule type="duplicateValues" dxfId="7860" priority="15302"/>
    <cfRule type="duplicateValues" dxfId="7859" priority="15301"/>
    <cfRule type="duplicateValues" dxfId="7858" priority="15300"/>
    <cfRule type="duplicateValues" dxfId="7857" priority="15299"/>
    <cfRule type="duplicateValues" dxfId="7856" priority="15298"/>
    <cfRule type="duplicateValues" dxfId="7855" priority="15297"/>
    <cfRule type="duplicateValues" dxfId="7854" priority="15296"/>
    <cfRule type="duplicateValues" dxfId="7853" priority="15295"/>
    <cfRule type="duplicateValues" dxfId="7852" priority="15294"/>
    <cfRule type="duplicateValues" dxfId="7851" priority="15293"/>
    <cfRule type="duplicateValues" dxfId="7850" priority="15292"/>
    <cfRule type="duplicateValues" dxfId="7849" priority="15291"/>
    <cfRule type="duplicateValues" dxfId="7848" priority="15290"/>
    <cfRule type="duplicateValues" dxfId="7847" priority="15289"/>
    <cfRule type="duplicateValues" dxfId="7846" priority="15288"/>
    <cfRule type="duplicateValues" dxfId="7845" priority="15287"/>
    <cfRule type="duplicateValues" dxfId="7844" priority="15286"/>
    <cfRule type="duplicateValues" dxfId="7843" priority="15285"/>
    <cfRule type="duplicateValues" dxfId="7842" priority="15284"/>
    <cfRule type="duplicateValues" dxfId="7841" priority="15283"/>
    <cfRule type="duplicateValues" dxfId="7840" priority="15248"/>
    <cfRule type="duplicateValues" dxfId="7839" priority="15247"/>
    <cfRule type="duplicateValues" dxfId="7838" priority="15246"/>
    <cfRule type="duplicateValues" dxfId="7837" priority="15245"/>
    <cfRule type="duplicateValues" dxfId="7836" priority="15244"/>
    <cfRule type="duplicateValues" dxfId="7835" priority="15243"/>
    <cfRule type="duplicateValues" dxfId="7834" priority="15242"/>
    <cfRule type="duplicateValues" dxfId="7833" priority="15241"/>
    <cfRule type="duplicateValues" dxfId="7832" priority="15240"/>
    <cfRule type="duplicateValues" dxfId="7831" priority="15239"/>
    <cfRule type="duplicateValues" dxfId="7830" priority="15238"/>
    <cfRule type="duplicateValues" dxfId="7829" priority="15237"/>
    <cfRule type="duplicateValues" dxfId="7828" priority="15236"/>
    <cfRule type="duplicateValues" dxfId="7827" priority="15235"/>
    <cfRule type="duplicateValues" dxfId="7826" priority="15234"/>
    <cfRule type="duplicateValues" dxfId="7825" priority="15233"/>
    <cfRule type="duplicateValues" dxfId="7824" priority="15232"/>
    <cfRule type="duplicateValues" dxfId="7823" priority="15231"/>
    <cfRule type="duplicateValues" dxfId="7822" priority="15230"/>
    <cfRule type="duplicateValues" dxfId="7821" priority="15229"/>
    <cfRule type="duplicateValues" dxfId="7820" priority="15228"/>
    <cfRule type="duplicateValues" dxfId="7819" priority="15227"/>
    <cfRule type="duplicateValues" dxfId="7818" priority="15226"/>
    <cfRule type="duplicateValues" dxfId="7817" priority="15225"/>
    <cfRule type="duplicateValues" dxfId="7816" priority="15224"/>
    <cfRule type="duplicateValues" dxfId="7815" priority="15223"/>
    <cfRule type="duplicateValues" dxfId="7814" priority="15222"/>
    <cfRule type="duplicateValues" dxfId="7813" priority="15221"/>
    <cfRule type="duplicateValues" dxfId="7812" priority="15220"/>
    <cfRule type="duplicateValues" dxfId="7811" priority="15219"/>
    <cfRule type="duplicateValues" dxfId="7810" priority="15218"/>
    <cfRule type="duplicateValues" dxfId="7809" priority="15217"/>
    <cfRule type="duplicateValues" dxfId="7808" priority="15216"/>
    <cfRule type="duplicateValues" dxfId="7807" priority="15215"/>
    <cfRule type="duplicateValues" dxfId="7806" priority="15214"/>
    <cfRule type="duplicateValues" dxfId="7805" priority="15213"/>
    <cfRule type="duplicateValues" dxfId="7804" priority="15212"/>
    <cfRule type="duplicateValues" dxfId="7803" priority="15211"/>
    <cfRule type="duplicateValues" dxfId="7802" priority="15210"/>
    <cfRule type="duplicateValues" dxfId="7801" priority="15170"/>
    <cfRule type="duplicateValues" dxfId="7800" priority="15169"/>
    <cfRule type="duplicateValues" dxfId="7799" priority="15168"/>
    <cfRule type="duplicateValues" dxfId="7798" priority="15167"/>
    <cfRule type="duplicateValues" dxfId="7797" priority="15166"/>
    <cfRule type="duplicateValues" dxfId="7796" priority="15165"/>
    <cfRule type="duplicateValues" dxfId="7795" priority="15164"/>
    <cfRule type="duplicateValues" dxfId="7794" priority="15163"/>
    <cfRule type="duplicateValues" dxfId="7793" priority="15162"/>
    <cfRule type="duplicateValues" dxfId="7792" priority="15161"/>
    <cfRule type="duplicateValues" dxfId="7791" priority="15160"/>
    <cfRule type="duplicateValues" dxfId="7790" priority="15159"/>
    <cfRule type="duplicateValues" dxfId="7789" priority="15158"/>
    <cfRule type="duplicateValues" dxfId="7788" priority="15157"/>
    <cfRule type="duplicateValues" dxfId="7787" priority="15156"/>
    <cfRule type="duplicateValues" dxfId="7786" priority="15155"/>
    <cfRule type="duplicateValues" dxfId="7785" priority="15154"/>
    <cfRule type="duplicateValues" dxfId="7784" priority="15153"/>
    <cfRule type="duplicateValues" dxfId="7783" priority="15152"/>
    <cfRule type="duplicateValues" dxfId="7782" priority="15151"/>
    <cfRule type="duplicateValues" dxfId="7781" priority="15150"/>
    <cfRule type="duplicateValues" dxfId="7780" priority="15149"/>
    <cfRule type="duplicateValues" dxfId="7779" priority="15148"/>
    <cfRule type="duplicateValues" dxfId="7778" priority="15147"/>
    <cfRule type="duplicateValues" dxfId="7777" priority="15146"/>
    <cfRule type="duplicateValues" dxfId="7776" priority="15145"/>
    <cfRule type="duplicateValues" dxfId="7775" priority="15144"/>
    <cfRule type="duplicateValues" dxfId="7774" priority="15143"/>
    <cfRule type="duplicateValues" dxfId="7773" priority="15142"/>
    <cfRule type="duplicateValues" dxfId="7772" priority="15141"/>
    <cfRule type="duplicateValues" dxfId="7771" priority="15140"/>
    <cfRule type="duplicateValues" dxfId="7770" priority="15139"/>
    <cfRule type="duplicateValues" dxfId="7769" priority="15075"/>
    <cfRule type="duplicateValues" dxfId="7768" priority="15074"/>
    <cfRule type="duplicateValues" dxfId="7767" priority="15073"/>
    <cfRule type="duplicateValues" dxfId="7766" priority="15072"/>
    <cfRule type="duplicateValues" dxfId="7765" priority="15071"/>
    <cfRule type="duplicateValues" dxfId="7764" priority="15070"/>
    <cfRule type="duplicateValues" dxfId="7763" priority="15069"/>
    <cfRule type="duplicateValues" dxfId="7762" priority="15068"/>
    <cfRule type="duplicateValues" dxfId="7761" priority="15067"/>
    <cfRule type="duplicateValues" dxfId="7760" priority="15066"/>
    <cfRule type="duplicateValues" dxfId="7759" priority="15065"/>
    <cfRule type="duplicateValues" dxfId="7758" priority="15064"/>
    <cfRule type="duplicateValues" dxfId="7757" priority="15063"/>
    <cfRule type="duplicateValues" dxfId="7756" priority="15062"/>
    <cfRule type="duplicateValues" dxfId="7755" priority="15061"/>
    <cfRule type="duplicateValues" dxfId="7754" priority="15060"/>
    <cfRule type="duplicateValues" dxfId="7753" priority="15059"/>
    <cfRule type="duplicateValues" dxfId="7752" priority="15058"/>
    <cfRule type="duplicateValues" dxfId="7751" priority="15057"/>
    <cfRule type="duplicateValues" dxfId="7750" priority="15056"/>
    <cfRule type="duplicateValues" dxfId="7749" priority="15055"/>
    <cfRule type="duplicateValues" dxfId="7748" priority="15054"/>
    <cfRule type="duplicateValues" dxfId="7747" priority="15053"/>
    <cfRule type="duplicateValues" dxfId="7746" priority="15052"/>
    <cfRule type="duplicateValues" dxfId="7745" priority="15051"/>
    <cfRule type="duplicateValues" dxfId="7744" priority="15050"/>
    <cfRule type="duplicateValues" dxfId="7743" priority="15049"/>
    <cfRule type="duplicateValues" dxfId="7742" priority="15048"/>
    <cfRule type="duplicateValues" dxfId="7741" priority="15047"/>
    <cfRule type="duplicateValues" dxfId="7740" priority="15046"/>
    <cfRule type="duplicateValues" dxfId="7739" priority="15045"/>
    <cfRule type="duplicateValues" dxfId="7738" priority="15002"/>
    <cfRule type="duplicateValues" dxfId="7737" priority="15001"/>
    <cfRule type="duplicateValues" dxfId="7736" priority="15000"/>
    <cfRule type="duplicateValues" dxfId="7735" priority="14999"/>
    <cfRule type="duplicateValues" dxfId="7734" priority="14998"/>
    <cfRule type="duplicateValues" dxfId="7733" priority="14997"/>
    <cfRule type="duplicateValues" dxfId="7732" priority="14996"/>
    <cfRule type="duplicateValues" dxfId="7731" priority="14995"/>
    <cfRule type="duplicateValues" dxfId="7730" priority="14994"/>
    <cfRule type="duplicateValues" dxfId="7729" priority="14993"/>
    <cfRule type="duplicateValues" dxfId="7728" priority="14992"/>
    <cfRule type="duplicateValues" dxfId="7727" priority="15138"/>
    <cfRule type="duplicateValues" dxfId="7726" priority="14991"/>
    <cfRule type="duplicateValues" dxfId="7725" priority="14990"/>
    <cfRule type="duplicateValues" dxfId="7724" priority="14989"/>
    <cfRule type="duplicateValues" dxfId="7723" priority="14988"/>
    <cfRule type="duplicateValues" dxfId="7722" priority="14987"/>
    <cfRule type="duplicateValues" dxfId="7721" priority="14986"/>
    <cfRule type="duplicateValues" dxfId="7720" priority="14985"/>
    <cfRule type="duplicateValues" dxfId="7719" priority="14984"/>
    <cfRule type="duplicateValues" dxfId="7718" priority="14983"/>
    <cfRule type="duplicateValues" dxfId="7717" priority="14982"/>
    <cfRule type="duplicateValues" dxfId="7716" priority="14981"/>
    <cfRule type="duplicateValues" dxfId="7715" priority="14980"/>
    <cfRule type="duplicateValues" dxfId="7714" priority="14979"/>
    <cfRule type="duplicateValues" dxfId="7713" priority="14978"/>
    <cfRule type="duplicateValues" dxfId="7712" priority="14977"/>
    <cfRule type="duplicateValues" dxfId="7711" priority="14976"/>
    <cfRule type="duplicateValues" dxfId="7710" priority="14975"/>
    <cfRule type="duplicateValues" dxfId="7709" priority="14974"/>
    <cfRule type="duplicateValues" dxfId="7708" priority="14973"/>
    <cfRule type="duplicateValues" dxfId="7707" priority="14972"/>
    <cfRule type="duplicateValues" dxfId="7706" priority="14971"/>
    <cfRule type="duplicateValues" dxfId="7705" priority="14970"/>
    <cfRule type="duplicateValues" dxfId="7704" priority="14969"/>
    <cfRule type="duplicateValues" dxfId="7703" priority="14968"/>
    <cfRule type="duplicateValues" dxfId="7702" priority="14967"/>
    <cfRule type="duplicateValues" dxfId="7701" priority="14966"/>
    <cfRule type="duplicateValues" dxfId="7700" priority="14965"/>
    <cfRule type="duplicateValues" dxfId="7699" priority="14964"/>
    <cfRule type="duplicateValues" dxfId="7698" priority="14963"/>
    <cfRule type="duplicateValues" dxfId="7697" priority="14962"/>
    <cfRule type="duplicateValues" dxfId="7696" priority="14961"/>
    <cfRule type="duplicateValues" dxfId="7695" priority="15137"/>
    <cfRule type="duplicateValues" dxfId="7694" priority="15136"/>
    <cfRule type="duplicateValues" dxfId="7693" priority="15135"/>
    <cfRule type="duplicateValues" dxfId="7692" priority="15134"/>
    <cfRule type="duplicateValues" dxfId="7691" priority="15133"/>
    <cfRule type="duplicateValues" dxfId="7690" priority="15132"/>
    <cfRule type="duplicateValues" dxfId="7689" priority="15131"/>
    <cfRule type="duplicateValues" dxfId="7688" priority="15130"/>
    <cfRule type="duplicateValues" dxfId="7687" priority="15129"/>
    <cfRule type="duplicateValues" dxfId="7686" priority="15086"/>
    <cfRule type="duplicateValues" dxfId="7685" priority="15085"/>
    <cfRule type="duplicateValues" dxfId="7684" priority="15084"/>
    <cfRule type="duplicateValues" dxfId="7683" priority="15083"/>
    <cfRule type="duplicateValues" dxfId="7682" priority="15082"/>
    <cfRule type="duplicateValues" dxfId="7681" priority="15081"/>
    <cfRule type="duplicateValues" dxfId="7680" priority="15080"/>
    <cfRule type="duplicateValues" dxfId="7679" priority="15079"/>
    <cfRule type="duplicateValues" dxfId="7678" priority="15078"/>
    <cfRule type="duplicateValues" dxfId="7677" priority="15077"/>
    <cfRule type="duplicateValues" dxfId="7676" priority="15076"/>
  </conditionalFormatting>
  <conditionalFormatting sqref="B437:B468">
    <cfRule type="duplicateValues" dxfId="7675" priority="15607"/>
    <cfRule type="duplicateValues" dxfId="7674" priority="15608"/>
    <cfRule type="duplicateValues" dxfId="7673" priority="15609"/>
    <cfRule type="duplicateValues" dxfId="7672" priority="15610"/>
    <cfRule type="duplicateValues" dxfId="7671" priority="15611"/>
    <cfRule type="duplicateValues" dxfId="7670" priority="15612"/>
    <cfRule type="duplicateValues" dxfId="7669" priority="15614"/>
    <cfRule type="duplicateValues" dxfId="7668" priority="15615"/>
    <cfRule type="duplicateValues" dxfId="7667" priority="15616"/>
    <cfRule type="duplicateValues" dxfId="7666" priority="15617"/>
    <cfRule type="duplicateValues" dxfId="7665" priority="15618"/>
    <cfRule type="duplicateValues" dxfId="7664" priority="15658"/>
    <cfRule type="duplicateValues" dxfId="7663" priority="15659"/>
    <cfRule type="duplicateValues" dxfId="7662" priority="15660"/>
    <cfRule type="duplicateValues" dxfId="7661" priority="15661"/>
    <cfRule type="duplicateValues" dxfId="7660" priority="15662"/>
    <cfRule type="duplicateValues" dxfId="7659" priority="15663"/>
    <cfRule type="duplicateValues" dxfId="7658" priority="15664"/>
    <cfRule type="duplicateValues" dxfId="7657" priority="15665"/>
    <cfRule type="duplicateValues" dxfId="7656" priority="15666"/>
    <cfRule type="duplicateValues" dxfId="7655" priority="15667"/>
    <cfRule type="duplicateValues" dxfId="7654" priority="15668"/>
    <cfRule type="duplicateValues" dxfId="7653" priority="15669"/>
    <cfRule type="duplicateValues" dxfId="7652" priority="15670"/>
    <cfRule type="duplicateValues" dxfId="7651" priority="15671"/>
    <cfRule type="duplicateValues" dxfId="7650" priority="15672"/>
    <cfRule type="duplicateValues" dxfId="7649" priority="15673"/>
    <cfRule type="duplicateValues" dxfId="7648" priority="15674"/>
    <cfRule type="duplicateValues" dxfId="7647" priority="15675"/>
    <cfRule type="duplicateValues" dxfId="7646" priority="15676"/>
    <cfRule type="duplicateValues" dxfId="7645" priority="15677"/>
    <cfRule type="duplicateValues" dxfId="7644" priority="15678"/>
    <cfRule type="duplicateValues" dxfId="7643" priority="15679"/>
    <cfRule type="duplicateValues" dxfId="7642" priority="15680"/>
    <cfRule type="duplicateValues" dxfId="7641" priority="15681"/>
    <cfRule type="duplicateValues" dxfId="7640" priority="15682"/>
    <cfRule type="duplicateValues" dxfId="7639" priority="15683"/>
    <cfRule type="duplicateValues" dxfId="7638" priority="15684"/>
    <cfRule type="duplicateValues" dxfId="7637" priority="15685"/>
    <cfRule type="duplicateValues" dxfId="7636" priority="15686"/>
    <cfRule type="duplicateValues" dxfId="7635" priority="15687"/>
    <cfRule type="duplicateValues" dxfId="7634" priority="15688"/>
    <cfRule type="duplicateValues" dxfId="7633" priority="15689"/>
    <cfRule type="duplicateValues" dxfId="7632" priority="15690"/>
    <cfRule type="duplicateValues" dxfId="7631" priority="15691"/>
    <cfRule type="duplicateValues" dxfId="7630" priority="15692"/>
    <cfRule type="duplicateValues" dxfId="7629" priority="15693"/>
    <cfRule type="duplicateValues" dxfId="7628" priority="15694"/>
    <cfRule type="duplicateValues" dxfId="7627" priority="15695"/>
    <cfRule type="duplicateValues" dxfId="7626" priority="15696"/>
    <cfRule type="duplicateValues" dxfId="7625" priority="15731"/>
    <cfRule type="duplicateValues" dxfId="7624" priority="15732"/>
    <cfRule type="duplicateValues" dxfId="7623" priority="15733"/>
    <cfRule type="duplicateValues" dxfId="7622" priority="15734"/>
    <cfRule type="duplicateValues" dxfId="7621" priority="15735"/>
    <cfRule type="duplicateValues" dxfId="7620" priority="15736"/>
    <cfRule type="duplicateValues" dxfId="7619" priority="15737"/>
    <cfRule type="duplicateValues" dxfId="7618" priority="15738"/>
    <cfRule type="duplicateValues" dxfId="7617" priority="15739"/>
    <cfRule type="duplicateValues" dxfId="7616" priority="15740"/>
    <cfRule type="duplicateValues" dxfId="7615" priority="15741"/>
    <cfRule type="duplicateValues" dxfId="7614" priority="15742"/>
    <cfRule type="duplicateValues" dxfId="7613" priority="15743"/>
    <cfRule type="duplicateValues" dxfId="7612" priority="15744"/>
    <cfRule type="duplicateValues" dxfId="7611" priority="15745"/>
    <cfRule type="duplicateValues" dxfId="7610" priority="15746"/>
    <cfRule type="duplicateValues" dxfId="7609" priority="15747"/>
    <cfRule type="duplicateValues" dxfId="7608" priority="15748"/>
    <cfRule type="duplicateValues" dxfId="7607" priority="15749"/>
    <cfRule type="duplicateValues" dxfId="7606" priority="15750"/>
    <cfRule type="duplicateValues" dxfId="7605" priority="15751"/>
    <cfRule type="duplicateValues" dxfId="7604" priority="15752"/>
    <cfRule type="duplicateValues" dxfId="7603" priority="15753"/>
    <cfRule type="duplicateValues" dxfId="7602" priority="15754"/>
    <cfRule type="duplicateValues" dxfId="7601" priority="15755"/>
    <cfRule type="duplicateValues" dxfId="7600" priority="15756"/>
    <cfRule type="duplicateValues" dxfId="7599" priority="15757"/>
    <cfRule type="duplicateValues" dxfId="7598" priority="15758"/>
    <cfRule type="duplicateValues" dxfId="7597" priority="15759"/>
    <cfRule type="duplicateValues" dxfId="7596" priority="15760"/>
    <cfRule type="duplicateValues" dxfId="7595" priority="15761"/>
    <cfRule type="duplicateValues" dxfId="7594" priority="15762"/>
    <cfRule type="duplicateValues" dxfId="7593" priority="15763"/>
    <cfRule type="duplicateValues" dxfId="7592" priority="15764"/>
    <cfRule type="duplicateValues" dxfId="7591" priority="15765"/>
    <cfRule type="duplicateValues" dxfId="7590" priority="15766"/>
    <cfRule type="duplicateValues" dxfId="7589" priority="15767"/>
    <cfRule type="duplicateValues" dxfId="7588" priority="15768"/>
    <cfRule type="duplicateValues" dxfId="7587" priority="15769"/>
    <cfRule type="duplicateValues" dxfId="7586" priority="15770"/>
    <cfRule type="duplicateValues" dxfId="7585" priority="15771"/>
    <cfRule type="duplicateValues" dxfId="7584" priority="15772"/>
    <cfRule type="duplicateValues" dxfId="7583" priority="15613"/>
    <cfRule type="duplicateValues" dxfId="7582" priority="15409"/>
    <cfRule type="duplicateValues" dxfId="7581" priority="15410"/>
    <cfRule type="duplicateValues" dxfId="7580" priority="15411"/>
    <cfRule type="duplicateValues" dxfId="7579" priority="15412"/>
    <cfRule type="duplicateValues" dxfId="7578" priority="15413"/>
    <cfRule type="duplicateValues" dxfId="7577" priority="15414"/>
    <cfRule type="duplicateValues" dxfId="7576" priority="15415"/>
    <cfRule type="duplicateValues" dxfId="7575" priority="15416"/>
    <cfRule type="duplicateValues" dxfId="7574" priority="15417"/>
    <cfRule type="duplicateValues" dxfId="7573" priority="15418"/>
    <cfRule type="duplicateValues" dxfId="7572" priority="15419"/>
    <cfRule type="duplicateValues" dxfId="7571" priority="15420"/>
    <cfRule type="duplicateValues" dxfId="7570" priority="15421"/>
    <cfRule type="duplicateValues" dxfId="7569" priority="15422"/>
    <cfRule type="duplicateValues" dxfId="7568" priority="15423"/>
    <cfRule type="duplicateValues" dxfId="7567" priority="15424"/>
    <cfRule type="duplicateValues" dxfId="7566" priority="15425"/>
    <cfRule type="duplicateValues" dxfId="7565" priority="15426"/>
    <cfRule type="duplicateValues" dxfId="7564" priority="15427"/>
    <cfRule type="duplicateValues" dxfId="7563" priority="15428"/>
    <cfRule type="duplicateValues" dxfId="7562" priority="15429"/>
    <cfRule type="duplicateValues" dxfId="7561" priority="15430"/>
    <cfRule type="duplicateValues" dxfId="7560" priority="15431"/>
    <cfRule type="duplicateValues" dxfId="7559" priority="15432"/>
    <cfRule type="duplicateValues" dxfId="7558" priority="15433"/>
    <cfRule type="duplicateValues" dxfId="7557" priority="15434"/>
    <cfRule type="duplicateValues" dxfId="7556" priority="15435"/>
    <cfRule type="duplicateValues" dxfId="7555" priority="15436"/>
    <cfRule type="duplicateValues" dxfId="7554" priority="15437"/>
    <cfRule type="duplicateValues" dxfId="7553" priority="15438"/>
    <cfRule type="duplicateValues" dxfId="7552" priority="15439"/>
    <cfRule type="duplicateValues" dxfId="7551" priority="15440"/>
    <cfRule type="duplicateValues" dxfId="7550" priority="15441"/>
    <cfRule type="duplicateValues" dxfId="7549" priority="15442"/>
    <cfRule type="duplicateValues" dxfId="7548" priority="15443"/>
    <cfRule type="duplicateValues" dxfId="7547" priority="15444"/>
    <cfRule type="duplicateValues" dxfId="7546" priority="15445"/>
    <cfRule type="duplicateValues" dxfId="7545" priority="15446"/>
    <cfRule type="duplicateValues" dxfId="7544" priority="15447"/>
    <cfRule type="duplicateValues" dxfId="7543" priority="15448"/>
    <cfRule type="duplicateValues" dxfId="7542" priority="15449"/>
    <cfRule type="duplicateValues" dxfId="7541" priority="15450"/>
    <cfRule type="duplicateValues" dxfId="7540" priority="15493"/>
    <cfRule type="duplicateValues" dxfId="7539" priority="15494"/>
    <cfRule type="duplicateValues" dxfId="7538" priority="15495"/>
    <cfRule type="duplicateValues" dxfId="7537" priority="15496"/>
    <cfRule type="duplicateValues" dxfId="7536" priority="15497"/>
    <cfRule type="duplicateValues" dxfId="7535" priority="15498"/>
    <cfRule type="duplicateValues" dxfId="7534" priority="15499"/>
    <cfRule type="duplicateValues" dxfId="7533" priority="15500"/>
    <cfRule type="duplicateValues" dxfId="7532" priority="15501"/>
    <cfRule type="duplicateValues" dxfId="7531" priority="15502"/>
    <cfRule type="duplicateValues" dxfId="7530" priority="15503"/>
    <cfRule type="duplicateValues" dxfId="7529" priority="15504"/>
    <cfRule type="duplicateValues" dxfId="7528" priority="15505"/>
    <cfRule type="duplicateValues" dxfId="7527" priority="15506"/>
    <cfRule type="duplicateValues" dxfId="7526" priority="15507"/>
    <cfRule type="duplicateValues" dxfId="7525" priority="15508"/>
    <cfRule type="duplicateValues" dxfId="7524" priority="15509"/>
    <cfRule type="duplicateValues" dxfId="7523" priority="15510"/>
    <cfRule type="duplicateValues" dxfId="7522" priority="15511"/>
    <cfRule type="duplicateValues" dxfId="7521" priority="15512"/>
    <cfRule type="duplicateValues" dxfId="7520" priority="15513"/>
    <cfRule type="duplicateValues" dxfId="7519" priority="15514"/>
    <cfRule type="duplicateValues" dxfId="7518" priority="15515"/>
    <cfRule type="duplicateValues" dxfId="7517" priority="15516"/>
    <cfRule type="duplicateValues" dxfId="7516" priority="15517"/>
    <cfRule type="duplicateValues" dxfId="7515" priority="15518"/>
    <cfRule type="duplicateValues" dxfId="7514" priority="15519"/>
    <cfRule type="duplicateValues" dxfId="7513" priority="15520"/>
    <cfRule type="duplicateValues" dxfId="7512" priority="15521"/>
    <cfRule type="duplicateValues" dxfId="7511" priority="15522"/>
    <cfRule type="duplicateValues" dxfId="7510" priority="15523"/>
    <cfRule type="duplicateValues" dxfId="7509" priority="15524"/>
    <cfRule type="duplicateValues" dxfId="7508" priority="15525"/>
    <cfRule type="duplicateValues" dxfId="7507" priority="15526"/>
    <cfRule type="duplicateValues" dxfId="7506" priority="15527"/>
    <cfRule type="duplicateValues" dxfId="7505" priority="15528"/>
    <cfRule type="duplicateValues" dxfId="7504" priority="15529"/>
    <cfRule type="duplicateValues" dxfId="7503" priority="15530"/>
    <cfRule type="duplicateValues" dxfId="7502" priority="15531"/>
    <cfRule type="duplicateValues" dxfId="7501" priority="15532"/>
    <cfRule type="duplicateValues" dxfId="7500" priority="15533"/>
    <cfRule type="duplicateValues" dxfId="7499" priority="15534"/>
    <cfRule type="duplicateValues" dxfId="7498" priority="15577"/>
    <cfRule type="duplicateValues" dxfId="7497" priority="15578"/>
    <cfRule type="duplicateValues" dxfId="7496" priority="15579"/>
    <cfRule type="duplicateValues" dxfId="7495" priority="15580"/>
    <cfRule type="duplicateValues" dxfId="7494" priority="15581"/>
    <cfRule type="duplicateValues" dxfId="7493" priority="15582"/>
    <cfRule type="duplicateValues" dxfId="7492" priority="15583"/>
    <cfRule type="duplicateValues" dxfId="7491" priority="15584"/>
    <cfRule type="duplicateValues" dxfId="7490" priority="15585"/>
    <cfRule type="duplicateValues" dxfId="7489" priority="15586"/>
    <cfRule type="duplicateValues" dxfId="7488" priority="15587"/>
    <cfRule type="duplicateValues" dxfId="7487" priority="15588"/>
    <cfRule type="duplicateValues" dxfId="7486" priority="15589"/>
    <cfRule type="duplicateValues" dxfId="7485" priority="15590"/>
    <cfRule type="duplicateValues" dxfId="7484" priority="15591"/>
    <cfRule type="duplicateValues" dxfId="7483" priority="15592"/>
    <cfRule type="duplicateValues" dxfId="7482" priority="15593"/>
    <cfRule type="duplicateValues" dxfId="7481" priority="15594"/>
    <cfRule type="duplicateValues" dxfId="7480" priority="15595"/>
    <cfRule type="duplicateValues" dxfId="7479" priority="15596"/>
    <cfRule type="duplicateValues" dxfId="7478" priority="15597"/>
    <cfRule type="duplicateValues" dxfId="7477" priority="15598"/>
    <cfRule type="duplicateValues" dxfId="7476" priority="15599"/>
    <cfRule type="duplicateValues" dxfId="7475" priority="15600"/>
    <cfRule type="duplicateValues" dxfId="7474" priority="15601"/>
    <cfRule type="duplicateValues" dxfId="7473" priority="15602"/>
    <cfRule type="duplicateValues" dxfId="7472" priority="15603"/>
    <cfRule type="duplicateValues" dxfId="7471" priority="15604"/>
    <cfRule type="duplicateValues" dxfId="7470" priority="15605"/>
    <cfRule type="duplicateValues" dxfId="7469" priority="15606"/>
  </conditionalFormatting>
  <conditionalFormatting sqref="B469:B473 B475:B1048576">
    <cfRule type="duplicateValues" dxfId="7468" priority="13858"/>
  </conditionalFormatting>
  <conditionalFormatting sqref="B473:C473 B469:B472 B475:C1048576">
    <cfRule type="duplicateValues" dxfId="7467" priority="13859"/>
  </conditionalFormatting>
  <conditionalFormatting sqref="C1:E1 G1:L1">
    <cfRule type="duplicateValues" dxfId="7466" priority="14281"/>
    <cfRule type="duplicateValues" dxfId="7465" priority="14282"/>
    <cfRule type="duplicateValues" dxfId="7464" priority="14279"/>
    <cfRule type="duplicateValues" dxfId="7463" priority="14280"/>
    <cfRule type="duplicateValues" dxfId="7462" priority="14277"/>
    <cfRule type="duplicateValues" dxfId="7461" priority="14278"/>
  </conditionalFormatting>
  <conditionalFormatting sqref="I304">
    <cfRule type="containsText" dxfId="7460" priority="5406" operator="containsText" text="PENDIENTE">
      <formula>NOT(ISERROR(SEARCH("PENDIENTE",I304)))</formula>
    </cfRule>
    <cfRule type="containsText" dxfId="7459" priority="5403" operator="containsText" text="SEND">
      <formula>NOT(ISERROR(SEARCH("SEND",I304)))</formula>
    </cfRule>
    <cfRule type="containsText" dxfId="7458" priority="5404" operator="containsText" text="ENVIADO">
      <formula>NOT(ISERROR(SEARCH("ENVIADO",I304)))</formula>
    </cfRule>
    <cfRule type="containsText" dxfId="7457" priority="5405" operator="containsText" text="POR ENVIAR">
      <formula>NOT(ISERROR(SEARCH("POR ENVIAR",I304)))</formula>
    </cfRule>
  </conditionalFormatting>
  <conditionalFormatting sqref="J304">
    <cfRule type="containsText" dxfId="7456" priority="5402" operator="containsText" text="PENDIENTE">
      <formula>NOT(ISERROR(SEARCH("PENDIENTE",J304)))</formula>
    </cfRule>
  </conditionalFormatting>
  <conditionalFormatting sqref="L213:L424 L469:L1048576 L1:L194">
    <cfRule type="containsText" dxfId="7455" priority="1356" operator="containsText" text="SIN REGISTRO">
      <formula>NOT(ISERROR(SEARCH("SIN REGISTRO",L1)))</formula>
    </cfRule>
  </conditionalFormatting>
  <conditionalFormatting sqref="O1:O424">
    <cfRule type="duplicateValues" dxfId="7454" priority="15914"/>
    <cfRule type="duplicateValues" dxfId="7453" priority="15923"/>
    <cfRule type="duplicateValues" dxfId="7452" priority="15906"/>
    <cfRule type="duplicateValues" dxfId="7451" priority="15918"/>
    <cfRule type="duplicateValues" dxfId="7450" priority="15912"/>
    <cfRule type="duplicateValues" dxfId="7449" priority="15911"/>
    <cfRule type="duplicateValues" dxfId="7448" priority="15910"/>
    <cfRule type="duplicateValues" dxfId="7447" priority="15907"/>
    <cfRule type="duplicateValues" dxfId="7446" priority="15908"/>
    <cfRule type="duplicateValues" dxfId="7445" priority="15922"/>
    <cfRule type="duplicateValues" dxfId="7444" priority="15921"/>
    <cfRule type="duplicateValues" dxfId="7443" priority="15920"/>
    <cfRule type="duplicateValues" dxfId="7442" priority="15909"/>
    <cfRule type="duplicateValues" dxfId="7441" priority="15919"/>
    <cfRule type="duplicateValues" dxfId="7440" priority="15913"/>
    <cfRule type="duplicateValues" dxfId="7439" priority="15905"/>
    <cfRule type="duplicateValues" dxfId="7438" priority="15917"/>
    <cfRule type="duplicateValues" dxfId="7437" priority="15916"/>
    <cfRule type="duplicateValues" dxfId="7436" priority="15915"/>
  </conditionalFormatting>
  <conditionalFormatting sqref="O1:O473 O475:O1048576">
    <cfRule type="duplicateValues" dxfId="7435" priority="1357"/>
  </conditionalFormatting>
  <conditionalFormatting sqref="O11">
    <cfRule type="duplicateValues" dxfId="7434" priority="7428"/>
    <cfRule type="duplicateValues" dxfId="7433" priority="7429"/>
    <cfRule type="duplicateValues" dxfId="7432" priority="7434"/>
    <cfRule type="duplicateValues" dxfId="7431" priority="7433"/>
    <cfRule type="duplicateValues" dxfId="7430" priority="7432"/>
    <cfRule type="duplicateValues" dxfId="7429" priority="7431"/>
    <cfRule type="duplicateValues" dxfId="7428" priority="7430"/>
  </conditionalFormatting>
  <conditionalFormatting sqref="O12:O14 O5:O10 O2:O3">
    <cfRule type="duplicateValues" dxfId="7427" priority="7437"/>
    <cfRule type="duplicateValues" dxfId="7426" priority="7439"/>
    <cfRule type="duplicateValues" dxfId="7425" priority="7438"/>
  </conditionalFormatting>
  <conditionalFormatting sqref="O58">
    <cfRule type="duplicateValues" dxfId="7424" priority="7225"/>
    <cfRule type="duplicateValues" dxfId="7423" priority="7229"/>
    <cfRule type="duplicateValues" dxfId="7422" priority="7228"/>
    <cfRule type="duplicateValues" dxfId="7421" priority="7227"/>
    <cfRule type="duplicateValues" dxfId="7420" priority="7226"/>
  </conditionalFormatting>
  <conditionalFormatting sqref="O63">
    <cfRule type="duplicateValues" dxfId="7419" priority="7049"/>
    <cfRule type="duplicateValues" dxfId="7418" priority="7044"/>
    <cfRule type="duplicateValues" dxfId="7417" priority="7043"/>
    <cfRule type="duplicateValues" dxfId="7416" priority="7042"/>
    <cfRule type="duplicateValues" dxfId="7415" priority="7041"/>
    <cfRule type="duplicateValues" dxfId="7414" priority="7040"/>
    <cfRule type="duplicateValues" dxfId="7413" priority="7051"/>
    <cfRule type="duplicateValues" dxfId="7412" priority="7055"/>
    <cfRule type="duplicateValues" dxfId="7411" priority="7056"/>
    <cfRule type="duplicateValues" dxfId="7410" priority="7057"/>
    <cfRule type="duplicateValues" dxfId="7409" priority="7054"/>
    <cfRule type="duplicateValues" dxfId="7408" priority="7058"/>
    <cfRule type="duplicateValues" dxfId="7407" priority="7053"/>
    <cfRule type="duplicateValues" dxfId="7406" priority="7052"/>
    <cfRule type="duplicateValues" dxfId="7405" priority="7050"/>
    <cfRule type="duplicateValues" dxfId="7404" priority="7048"/>
    <cfRule type="duplicateValues" dxfId="7403" priority="7047"/>
    <cfRule type="duplicateValues" dxfId="7402" priority="7046"/>
    <cfRule type="duplicateValues" dxfId="7401" priority="7045"/>
  </conditionalFormatting>
  <conditionalFormatting sqref="O77:O78">
    <cfRule type="duplicateValues" dxfId="7400" priority="7033"/>
    <cfRule type="duplicateValues" dxfId="7399" priority="7032"/>
    <cfRule type="duplicateValues" dxfId="7398" priority="7031"/>
    <cfRule type="duplicateValues" dxfId="7397" priority="7030"/>
    <cfRule type="duplicateValues" dxfId="7396" priority="7029"/>
    <cfRule type="duplicateValues" dxfId="7395" priority="7028"/>
    <cfRule type="duplicateValues" dxfId="7394" priority="7027"/>
    <cfRule type="duplicateValues" dxfId="7393" priority="7026"/>
    <cfRule type="duplicateValues" dxfId="7392" priority="7025"/>
    <cfRule type="duplicateValues" dxfId="7391" priority="7036"/>
    <cfRule type="duplicateValues" dxfId="7390" priority="7035"/>
    <cfRule type="duplicateValues" dxfId="7389" priority="7034"/>
  </conditionalFormatting>
  <conditionalFormatting sqref="O79:O81 O83:O106 O70:O76 O59:O62 O47:O57 O64:O68">
    <cfRule type="duplicateValues" dxfId="7388" priority="7224"/>
    <cfRule type="duplicateValues" dxfId="7387" priority="7223"/>
    <cfRule type="duplicateValues" dxfId="7386" priority="7222"/>
  </conditionalFormatting>
  <conditionalFormatting sqref="O82">
    <cfRule type="duplicateValues" dxfId="7385" priority="7007"/>
    <cfRule type="duplicateValues" dxfId="7384" priority="7008"/>
    <cfRule type="duplicateValues" dxfId="7383" priority="7009"/>
    <cfRule type="duplicateValues" dxfId="7382" priority="7011"/>
    <cfRule type="duplicateValues" dxfId="7381" priority="7012"/>
    <cfRule type="duplicateValues" dxfId="7380" priority="7013"/>
    <cfRule type="duplicateValues" dxfId="7379" priority="7014"/>
    <cfRule type="duplicateValues" dxfId="7378" priority="7016"/>
    <cfRule type="duplicateValues" dxfId="7377" priority="7017"/>
    <cfRule type="duplicateValues" dxfId="7376" priority="7018"/>
    <cfRule type="duplicateValues" dxfId="7375" priority="7015"/>
    <cfRule type="duplicateValues" dxfId="7374" priority="7019"/>
    <cfRule type="duplicateValues" dxfId="7373" priority="7020"/>
    <cfRule type="duplicateValues" dxfId="7372" priority="7021"/>
    <cfRule type="duplicateValues" dxfId="7371" priority="7022"/>
    <cfRule type="duplicateValues" dxfId="7370" priority="7023"/>
    <cfRule type="duplicateValues" dxfId="7369" priority="7024"/>
    <cfRule type="duplicateValues" dxfId="7368" priority="7010"/>
    <cfRule type="duplicateValues" dxfId="7367" priority="7006"/>
  </conditionalFormatting>
  <conditionalFormatting sqref="O107:O125 O127:O162">
    <cfRule type="duplicateValues" dxfId="7366" priority="6999"/>
    <cfRule type="duplicateValues" dxfId="7365" priority="7000"/>
    <cfRule type="duplicateValues" dxfId="7364" priority="7001"/>
  </conditionalFormatting>
  <conditionalFormatting sqref="O112">
    <cfRule type="duplicateValues" dxfId="7363" priority="6991"/>
    <cfRule type="duplicateValues" dxfId="7362" priority="6990"/>
    <cfRule type="duplicateValues" dxfId="7361" priority="6993"/>
    <cfRule type="duplicateValues" dxfId="7360" priority="6998"/>
    <cfRule type="duplicateValues" dxfId="7359" priority="6997"/>
    <cfRule type="duplicateValues" dxfId="7358" priority="6996"/>
    <cfRule type="duplicateValues" dxfId="7357" priority="6995"/>
    <cfRule type="duplicateValues" dxfId="7356" priority="6994"/>
    <cfRule type="duplicateValues" dxfId="7355" priority="6992"/>
  </conditionalFormatting>
  <conditionalFormatting sqref="O126">
    <cfRule type="duplicateValues" dxfId="7354" priority="6970"/>
    <cfRule type="duplicateValues" dxfId="7353" priority="6981"/>
    <cfRule type="duplicateValues" dxfId="7352" priority="6972"/>
    <cfRule type="duplicateValues" dxfId="7351" priority="6971"/>
    <cfRule type="duplicateValues" dxfId="7350" priority="6985"/>
    <cfRule type="duplicateValues" dxfId="7349" priority="6969"/>
    <cfRule type="duplicateValues" dxfId="7348" priority="6984"/>
    <cfRule type="duplicateValues" dxfId="7347" priority="6983"/>
    <cfRule type="duplicateValues" dxfId="7346" priority="6982"/>
    <cfRule type="duplicateValues" dxfId="7345" priority="6979"/>
    <cfRule type="duplicateValues" dxfId="7344" priority="6980"/>
    <cfRule type="duplicateValues" dxfId="7343" priority="6978"/>
    <cfRule type="duplicateValues" dxfId="7342" priority="6974"/>
    <cfRule type="duplicateValues" dxfId="7341" priority="6975"/>
    <cfRule type="duplicateValues" dxfId="7340" priority="6976"/>
    <cfRule type="duplicateValues" dxfId="7339" priority="6973"/>
    <cfRule type="duplicateValues" dxfId="7338" priority="6977"/>
  </conditionalFormatting>
  <conditionalFormatting sqref="O167 O69">
    <cfRule type="duplicateValues" dxfId="7337" priority="7039"/>
    <cfRule type="duplicateValues" dxfId="7336" priority="7038"/>
    <cfRule type="duplicateValues" dxfId="7335" priority="7037"/>
  </conditionalFormatting>
  <conditionalFormatting sqref="O167">
    <cfRule type="duplicateValues" dxfId="7334" priority="6846"/>
    <cfRule type="duplicateValues" dxfId="7333" priority="6845"/>
    <cfRule type="duplicateValues" dxfId="7332" priority="6847"/>
    <cfRule type="duplicateValues" dxfId="7331" priority="6844"/>
  </conditionalFormatting>
  <conditionalFormatting sqref="O180">
    <cfRule type="duplicateValues" dxfId="7330" priority="6823"/>
    <cfRule type="duplicateValues" dxfId="7329" priority="6822"/>
    <cfRule type="duplicateValues" dxfId="7328" priority="6821"/>
    <cfRule type="duplicateValues" dxfId="7327" priority="6820"/>
    <cfRule type="duplicateValues" dxfId="7326" priority="6815"/>
    <cfRule type="duplicateValues" dxfId="7325" priority="6818"/>
    <cfRule type="duplicateValues" dxfId="7324" priority="6817"/>
    <cfRule type="duplicateValues" dxfId="7323" priority="6814"/>
    <cfRule type="duplicateValues" dxfId="7322" priority="6816"/>
    <cfRule type="duplicateValues" dxfId="7321" priority="6819"/>
    <cfRule type="duplicateValues" dxfId="7320" priority="6829"/>
    <cfRule type="duplicateValues" dxfId="7319" priority="6828"/>
    <cfRule type="duplicateValues" dxfId="7318" priority="6813"/>
    <cfRule type="duplicateValues" dxfId="7317" priority="6827"/>
    <cfRule type="duplicateValues" dxfId="7316" priority="6826"/>
    <cfRule type="duplicateValues" dxfId="7315" priority="6825"/>
    <cfRule type="duplicateValues" dxfId="7314" priority="6824"/>
  </conditionalFormatting>
  <conditionalFormatting sqref="O181:O182 O179 O184:O234">
    <cfRule type="duplicateValues" dxfId="7313" priority="6812"/>
    <cfRule type="duplicateValues" dxfId="7312" priority="6810"/>
    <cfRule type="duplicateValues" dxfId="7311" priority="6811"/>
  </conditionalFormatting>
  <conditionalFormatting sqref="O183">
    <cfRule type="duplicateValues" dxfId="7310" priority="6806"/>
    <cfRule type="duplicateValues" dxfId="7309" priority="6805"/>
    <cfRule type="duplicateValues" dxfId="7308" priority="6804"/>
    <cfRule type="duplicateValues" dxfId="7307" priority="6803"/>
    <cfRule type="duplicateValues" dxfId="7306" priority="6802"/>
    <cfRule type="duplicateValues" dxfId="7305" priority="6801"/>
    <cfRule type="duplicateValues" dxfId="7304" priority="6800"/>
    <cfRule type="duplicateValues" dxfId="7303" priority="6799"/>
    <cfRule type="duplicateValues" dxfId="7302" priority="6798"/>
    <cfRule type="duplicateValues" dxfId="7301" priority="6797"/>
    <cfRule type="duplicateValues" dxfId="7300" priority="6796"/>
    <cfRule type="duplicateValues" dxfId="7299" priority="6794"/>
    <cfRule type="duplicateValues" dxfId="7298" priority="6793"/>
    <cfRule type="duplicateValues" dxfId="7297" priority="6792"/>
    <cfRule type="duplicateValues" dxfId="7296" priority="6809"/>
    <cfRule type="duplicateValues" dxfId="7295" priority="6795"/>
    <cfRule type="duplicateValues" dxfId="7294" priority="6808"/>
    <cfRule type="duplicateValues" dxfId="7293" priority="6807"/>
  </conditionalFormatting>
  <conditionalFormatting sqref="O184:O204 O181:O182 O168:O179 O163:O166">
    <cfRule type="duplicateValues" dxfId="7292" priority="6848"/>
    <cfRule type="duplicateValues" dxfId="7291" priority="6850"/>
    <cfRule type="duplicateValues" dxfId="7290" priority="6849"/>
  </conditionalFormatting>
  <conditionalFormatting sqref="O186:O197">
    <cfRule type="duplicateValues" dxfId="7289" priority="6790"/>
    <cfRule type="duplicateValues" dxfId="7288" priority="6791"/>
    <cfRule type="duplicateValues" dxfId="7287" priority="6789"/>
  </conditionalFormatting>
  <conditionalFormatting sqref="O198:O204">
    <cfRule type="duplicateValues" dxfId="7286" priority="6503"/>
    <cfRule type="duplicateValues" dxfId="7285" priority="6505"/>
    <cfRule type="duplicateValues" dxfId="7284" priority="6504"/>
    <cfRule type="duplicateValues" dxfId="7283" priority="6502"/>
  </conditionalFormatting>
  <conditionalFormatting sqref="O205:O206">
    <cfRule type="duplicateValues" dxfId="7282" priority="6497"/>
    <cfRule type="duplicateValues" dxfId="7281" priority="6501"/>
    <cfRule type="duplicateValues" dxfId="7280" priority="6500"/>
    <cfRule type="duplicateValues" dxfId="7279" priority="6499"/>
    <cfRule type="duplicateValues" dxfId="7278" priority="6496"/>
    <cfRule type="duplicateValues" dxfId="7277" priority="6495"/>
    <cfRule type="duplicateValues" dxfId="7276" priority="6498"/>
    <cfRule type="duplicateValues" dxfId="7275" priority="6494"/>
  </conditionalFormatting>
  <conditionalFormatting sqref="O226:O227">
    <cfRule type="duplicateValues" dxfId="7274" priority="6410"/>
    <cfRule type="duplicateValues" dxfId="7273" priority="6411"/>
    <cfRule type="duplicateValues" dxfId="7272" priority="6412"/>
    <cfRule type="duplicateValues" dxfId="7271" priority="6406"/>
    <cfRule type="duplicateValues" dxfId="7270" priority="6407"/>
    <cfRule type="duplicateValues" dxfId="7269" priority="6408"/>
    <cfRule type="duplicateValues" dxfId="7268" priority="6404"/>
    <cfRule type="duplicateValues" dxfId="7267" priority="6405"/>
    <cfRule type="duplicateValues" dxfId="7266" priority="6409"/>
  </conditionalFormatting>
  <conditionalFormatting sqref="O235:O241">
    <cfRule type="duplicateValues" dxfId="7265" priority="6363"/>
    <cfRule type="duplicateValues" dxfId="7264" priority="6361"/>
    <cfRule type="duplicateValues" dxfId="7263" priority="6362"/>
  </conditionalFormatting>
  <conditionalFormatting sqref="O242:O243">
    <cfRule type="duplicateValues" dxfId="7262" priority="6319"/>
    <cfRule type="duplicateValues" dxfId="7261" priority="6317"/>
    <cfRule type="duplicateValues" dxfId="7260" priority="6318"/>
  </conditionalFormatting>
  <conditionalFormatting sqref="O244">
    <cfRule type="duplicateValues" dxfId="7259" priority="6191"/>
    <cfRule type="duplicateValues" dxfId="7258" priority="6192"/>
    <cfRule type="duplicateValues" dxfId="7257" priority="6193"/>
    <cfRule type="duplicateValues" dxfId="7256" priority="6194"/>
  </conditionalFormatting>
  <conditionalFormatting sqref="O245:O247">
    <cfRule type="duplicateValues" dxfId="7255" priority="6188"/>
    <cfRule type="duplicateValues" dxfId="7254" priority="6187"/>
    <cfRule type="duplicateValues" dxfId="7253" priority="6186"/>
    <cfRule type="duplicateValues" dxfId="7252" priority="6190"/>
    <cfRule type="duplicateValues" dxfId="7251" priority="6189"/>
  </conditionalFormatting>
  <conditionalFormatting sqref="O248:O250">
    <cfRule type="duplicateValues" dxfId="7250" priority="6144"/>
    <cfRule type="duplicateValues" dxfId="7249" priority="6142"/>
    <cfRule type="duplicateValues" dxfId="7248" priority="6143"/>
  </conditionalFormatting>
  <conditionalFormatting sqref="O251">
    <cfRule type="duplicateValues" dxfId="7247" priority="6056"/>
    <cfRule type="duplicateValues" dxfId="7246" priority="6053"/>
    <cfRule type="duplicateValues" dxfId="7245" priority="6051"/>
    <cfRule type="duplicateValues" dxfId="7244" priority="6050"/>
    <cfRule type="duplicateValues" dxfId="7243" priority="6055"/>
    <cfRule type="duplicateValues" dxfId="7242" priority="6054"/>
    <cfRule type="duplicateValues" dxfId="7241" priority="6058"/>
    <cfRule type="duplicateValues" dxfId="7240" priority="6060"/>
    <cfRule type="duplicateValues" dxfId="7239" priority="6057"/>
    <cfRule type="duplicateValues" dxfId="7238" priority="6052"/>
    <cfRule type="duplicateValues" dxfId="7237" priority="6059"/>
  </conditionalFormatting>
  <conditionalFormatting sqref="O252">
    <cfRule type="duplicateValues" dxfId="7236" priority="6046"/>
    <cfRule type="duplicateValues" dxfId="7235" priority="6043"/>
    <cfRule type="duplicateValues" dxfId="7234" priority="6044"/>
    <cfRule type="duplicateValues" dxfId="7233" priority="6045"/>
    <cfRule type="duplicateValues" dxfId="7232" priority="6047"/>
    <cfRule type="duplicateValues" dxfId="7231" priority="6048"/>
    <cfRule type="duplicateValues" dxfId="7230" priority="6039"/>
    <cfRule type="duplicateValues" dxfId="7229" priority="6040"/>
    <cfRule type="duplicateValues" dxfId="7228" priority="6041"/>
    <cfRule type="duplicateValues" dxfId="7227" priority="6042"/>
    <cfRule type="duplicateValues" dxfId="7226" priority="6049"/>
  </conditionalFormatting>
  <conditionalFormatting sqref="O253:O254">
    <cfRule type="duplicateValues" dxfId="7225" priority="5998"/>
    <cfRule type="duplicateValues" dxfId="7224" priority="5997"/>
    <cfRule type="duplicateValues" dxfId="7223" priority="5996"/>
  </conditionalFormatting>
  <conditionalFormatting sqref="O255:O424 O1:O62 O64:O81 O83:O125 O127:O247">
    <cfRule type="duplicateValues" dxfId="7222" priority="15946"/>
  </conditionalFormatting>
  <conditionalFormatting sqref="O255:O424 O1:O125 O127:O247">
    <cfRule type="duplicateValues" dxfId="7221" priority="15953"/>
    <cfRule type="duplicateValues" dxfId="7220" priority="15952"/>
  </conditionalFormatting>
  <conditionalFormatting sqref="O255:O424 O1:O125 O127:O250">
    <cfRule type="duplicateValues" dxfId="7219" priority="15963"/>
    <cfRule type="duplicateValues" dxfId="7218" priority="15962"/>
    <cfRule type="duplicateValues" dxfId="7217" priority="15961"/>
    <cfRule type="duplicateValues" dxfId="7216" priority="15960"/>
  </conditionalFormatting>
  <conditionalFormatting sqref="O255:O424 O1:O252">
    <cfRule type="duplicateValues" dxfId="7215" priority="15976"/>
  </conditionalFormatting>
  <conditionalFormatting sqref="O255:O424 O181:O182 O184:O243 O5:O62 O1:O3 O64:O81 O83:O125 O127:O179">
    <cfRule type="duplicateValues" dxfId="7214" priority="15979"/>
  </conditionalFormatting>
  <conditionalFormatting sqref="O255:O424 O181:O182 O184:O244 O5:O62 O1:O3 O64:O81 O83:O125 O127:O179">
    <cfRule type="duplicateValues" dxfId="7213" priority="15988"/>
  </conditionalFormatting>
  <conditionalFormatting sqref="O255:O424 O181:O247 O1:O62 O64:O81 O83:O125 O127:O179">
    <cfRule type="duplicateValues" dxfId="7212" priority="15997"/>
    <cfRule type="duplicateValues" dxfId="7211" priority="15998"/>
  </conditionalFormatting>
  <conditionalFormatting sqref="O255:O424 O181:O247 O5:O62 O1:O3 O64:O81 O83:O125 O127:O179">
    <cfRule type="duplicateValues" dxfId="7210" priority="16011"/>
  </conditionalFormatting>
  <conditionalFormatting sqref="O270">
    <cfRule type="duplicateValues" dxfId="7209" priority="5827"/>
    <cfRule type="duplicateValues" dxfId="7208" priority="5826"/>
    <cfRule type="duplicateValues" dxfId="7207" priority="5825"/>
  </conditionalFormatting>
  <conditionalFormatting sqref="O271:O272">
    <cfRule type="duplicateValues" dxfId="7206" priority="5784"/>
    <cfRule type="duplicateValues" dxfId="7205" priority="5783"/>
    <cfRule type="duplicateValues" dxfId="7204" priority="5782"/>
  </conditionalFormatting>
  <conditionalFormatting sqref="O277:O300">
    <cfRule type="duplicateValues" dxfId="7203" priority="5739"/>
    <cfRule type="duplicateValues" dxfId="7202" priority="5741"/>
    <cfRule type="duplicateValues" dxfId="7201" priority="5740"/>
  </conditionalFormatting>
  <conditionalFormatting sqref="O301">
    <cfRule type="duplicateValues" dxfId="7200" priority="5656"/>
    <cfRule type="duplicateValues" dxfId="7199" priority="5657"/>
    <cfRule type="duplicateValues" dxfId="7198" priority="5658"/>
  </conditionalFormatting>
  <conditionalFormatting sqref="O302">
    <cfRule type="duplicateValues" dxfId="7197" priority="5613"/>
    <cfRule type="duplicateValues" dxfId="7196" priority="5614"/>
    <cfRule type="duplicateValues" dxfId="7195" priority="5615"/>
  </conditionalFormatting>
  <conditionalFormatting sqref="O308">
    <cfRule type="duplicateValues" dxfId="7194" priority="5076"/>
    <cfRule type="duplicateValues" dxfId="7193" priority="5077"/>
    <cfRule type="duplicateValues" dxfId="7192" priority="5078"/>
  </conditionalFormatting>
  <conditionalFormatting sqref="O315:O318">
    <cfRule type="duplicateValues" dxfId="7191" priority="4623"/>
    <cfRule type="duplicateValues" dxfId="7190" priority="4624"/>
    <cfRule type="duplicateValues" dxfId="7189" priority="4625"/>
  </conditionalFormatting>
  <conditionalFormatting sqref="O323">
    <cfRule type="duplicateValues" dxfId="7188" priority="4135"/>
    <cfRule type="duplicateValues" dxfId="7187" priority="4134"/>
    <cfRule type="duplicateValues" dxfId="7186" priority="4133"/>
  </conditionalFormatting>
  <conditionalFormatting sqref="O331:O332">
    <cfRule type="duplicateValues" dxfId="7185" priority="3957"/>
    <cfRule type="duplicateValues" dxfId="7184" priority="3956"/>
    <cfRule type="duplicateValues" dxfId="7183" priority="3958"/>
  </conditionalFormatting>
  <conditionalFormatting sqref="O368:O369">
    <cfRule type="duplicateValues" dxfId="7182" priority="2600"/>
    <cfRule type="duplicateValues" dxfId="7181" priority="2599"/>
    <cfRule type="duplicateValues" dxfId="7180" priority="2598"/>
  </conditionalFormatting>
  <conditionalFormatting sqref="O370:O380">
    <cfRule type="duplicateValues" dxfId="7179" priority="2474"/>
    <cfRule type="duplicateValues" dxfId="7178" priority="2476"/>
    <cfRule type="duplicateValues" dxfId="7177" priority="2475"/>
  </conditionalFormatting>
  <conditionalFormatting sqref="O376">
    <cfRule type="duplicateValues" dxfId="7176" priority="2473"/>
    <cfRule type="duplicateValues" dxfId="7175" priority="2460"/>
    <cfRule type="duplicateValues" dxfId="7174" priority="2461"/>
    <cfRule type="duplicateValues" dxfId="7173" priority="2463"/>
    <cfRule type="duplicateValues" dxfId="7172" priority="2464"/>
    <cfRule type="duplicateValues" dxfId="7171" priority="2465"/>
    <cfRule type="duplicateValues" dxfId="7170" priority="2466"/>
    <cfRule type="duplicateValues" dxfId="7169" priority="2467"/>
    <cfRule type="duplicateValues" dxfId="7168" priority="2468"/>
    <cfRule type="duplicateValues" dxfId="7167" priority="2462"/>
    <cfRule type="duplicateValues" dxfId="7166" priority="2470"/>
    <cfRule type="duplicateValues" dxfId="7165" priority="2472"/>
    <cfRule type="duplicateValues" dxfId="7164" priority="2471"/>
    <cfRule type="duplicateValues" dxfId="7163" priority="2469"/>
  </conditionalFormatting>
  <conditionalFormatting sqref="O392:O398">
    <cfRule type="duplicateValues" dxfId="7162" priority="2014"/>
    <cfRule type="duplicateValues" dxfId="7161" priority="2012"/>
    <cfRule type="duplicateValues" dxfId="7160" priority="2013"/>
  </conditionalFormatting>
  <conditionalFormatting sqref="O399:O402">
    <cfRule type="duplicateValues" dxfId="7159" priority="2011"/>
    <cfRule type="duplicateValues" dxfId="7158" priority="2010"/>
    <cfRule type="duplicateValues" dxfId="7157" priority="2009"/>
  </conditionalFormatting>
  <conditionalFormatting sqref="O403:O406">
    <cfRule type="duplicateValues" dxfId="7156" priority="2006"/>
    <cfRule type="duplicateValues" dxfId="7155" priority="2007"/>
    <cfRule type="duplicateValues" dxfId="7154" priority="2008"/>
  </conditionalFormatting>
  <conditionalFormatting sqref="O407:O411 O378:O382 O333:O352 O317:O330 O303:O314 O273:O276 O255:O269">
    <cfRule type="duplicateValues" dxfId="7153" priority="5911"/>
  </conditionalFormatting>
  <conditionalFormatting sqref="O407:O412 O378:O391 O333:O367 O317:O330 O303:O314 O273:O276 O255:O269 O12:O46 O5:O10 O1:O3">
    <cfRule type="duplicateValues" dxfId="7152" priority="7571"/>
    <cfRule type="duplicateValues" dxfId="7151" priority="7572"/>
    <cfRule type="duplicateValues" dxfId="7150" priority="7573"/>
  </conditionalFormatting>
  <conditionalFormatting sqref="O407:O412 O378:O391 O333:O367 O317:O330 O303:O314 O273:O276 O255:O269 O79:O81 O83:O106 O59:O62 O5:O57 O1:O3 O64:O76">
    <cfRule type="duplicateValues" dxfId="7149" priority="7567"/>
    <cfRule type="duplicateValues" dxfId="7148" priority="7568"/>
    <cfRule type="duplicateValues" dxfId="7147" priority="7569"/>
    <cfRule type="duplicateValues" dxfId="7146" priority="7570"/>
  </conditionalFormatting>
  <conditionalFormatting sqref="O407:O412 O378:O391 O333:O367 O317:O330 O303:O314 O273:O276 O255:O269 O181:O182 O184:O234 O163:O179 O79:O81 O83:O106 O59:O62 O5:O57 O1:O3 O64:O76">
    <cfRule type="duplicateValues" dxfId="7145" priority="7566"/>
  </conditionalFormatting>
  <conditionalFormatting sqref="O407:O412 O378:O391 O333:O367 O317:O330 O303:O314 O273:O276 O255:O269 O184:O204 O181:O182 O163:O179 O79:O81 O83:O106 O59:O62 O5:O57 O1:O3 O64:O76">
    <cfRule type="duplicateValues" dxfId="7144" priority="7565"/>
  </conditionalFormatting>
  <conditionalFormatting sqref="O407:O412 O378:O391 O333:O367 O317:O330 O303:O314 O273:O276 O255:O270 O181:O182 O184:O243 O163:O179 O79:O81 O83:O106 O5:O62 O1:O3 O64:O76">
    <cfRule type="duplicateValues" dxfId="7143" priority="7562"/>
    <cfRule type="duplicateValues" dxfId="7142" priority="7563"/>
    <cfRule type="duplicateValues" dxfId="7141" priority="7564"/>
  </conditionalFormatting>
  <conditionalFormatting sqref="O407:O412 O378:O391 O333:O367 O317:O330 O303:O314 O273:O276 O255:O270 O181:O182 O184:O243 O163:O179 O83:O106 O5:O62 O1:O3 O64:O81">
    <cfRule type="duplicateValues" dxfId="7140" priority="7561"/>
  </conditionalFormatting>
  <conditionalFormatting sqref="O412">
    <cfRule type="duplicateValues" dxfId="7139" priority="1659"/>
    <cfRule type="duplicateValues" dxfId="7138" priority="1658"/>
    <cfRule type="duplicateValues" dxfId="7137" priority="1660"/>
  </conditionalFormatting>
  <conditionalFormatting sqref="O413:O414 O381:O411 O303:O369">
    <cfRule type="duplicateValues" dxfId="7136" priority="5612"/>
  </conditionalFormatting>
  <conditionalFormatting sqref="O413:O414">
    <cfRule type="duplicateValues" dxfId="7135" priority="1604"/>
    <cfRule type="duplicateValues" dxfId="7134" priority="1603"/>
    <cfRule type="duplicateValues" dxfId="7133" priority="1605"/>
  </conditionalFormatting>
  <conditionalFormatting sqref="O415:O424">
    <cfRule type="duplicateValues" dxfId="7132" priority="1359"/>
    <cfRule type="duplicateValues" dxfId="7131" priority="1358"/>
    <cfRule type="duplicateValues" dxfId="7130" priority="1360"/>
  </conditionalFormatting>
  <conditionalFormatting sqref="O425:O428">
    <cfRule type="duplicateValues" dxfId="7129" priority="14307"/>
    <cfRule type="duplicateValues" dxfId="7128" priority="14298"/>
    <cfRule type="duplicateValues" dxfId="7127" priority="14305"/>
    <cfRule type="duplicateValues" dxfId="7126" priority="14304"/>
    <cfRule type="duplicateValues" dxfId="7125" priority="14303"/>
    <cfRule type="duplicateValues" dxfId="7124" priority="14302"/>
    <cfRule type="duplicateValues" dxfId="7123" priority="14301"/>
    <cfRule type="duplicateValues" dxfId="7122" priority="14300"/>
    <cfRule type="duplicateValues" dxfId="7121" priority="14299"/>
    <cfRule type="duplicateValues" dxfId="7120" priority="14297"/>
    <cfRule type="duplicateValues" dxfId="7119" priority="14296"/>
    <cfRule type="duplicateValues" dxfId="7118" priority="14295"/>
    <cfRule type="duplicateValues" dxfId="7117" priority="14294"/>
    <cfRule type="duplicateValues" dxfId="7116" priority="14293"/>
    <cfRule type="duplicateValues" dxfId="7115" priority="14292"/>
    <cfRule type="duplicateValues" dxfId="7114" priority="14291"/>
    <cfRule type="duplicateValues" dxfId="7113" priority="14290"/>
    <cfRule type="duplicateValues" dxfId="7112" priority="14289"/>
    <cfRule type="duplicateValues" dxfId="7111" priority="14288"/>
    <cfRule type="duplicateValues" dxfId="7110" priority="14287"/>
    <cfRule type="duplicateValues" dxfId="7109" priority="14286"/>
    <cfRule type="duplicateValues" dxfId="7108" priority="14313"/>
    <cfRule type="duplicateValues" dxfId="7107" priority="14314"/>
    <cfRule type="duplicateValues" dxfId="7106" priority="14315"/>
    <cfRule type="duplicateValues" dxfId="7105" priority="14316"/>
    <cfRule type="duplicateValues" dxfId="7104" priority="14317"/>
    <cfRule type="duplicateValues" dxfId="7103" priority="14318"/>
    <cfRule type="duplicateValues" dxfId="7102" priority="14319"/>
    <cfRule type="duplicateValues" dxfId="7101" priority="14320"/>
    <cfRule type="duplicateValues" dxfId="7100" priority="14306"/>
    <cfRule type="duplicateValues" dxfId="7099" priority="14311"/>
    <cfRule type="duplicateValues" dxfId="7098" priority="14310"/>
    <cfRule type="duplicateValues" dxfId="7097" priority="14309"/>
    <cfRule type="duplicateValues" dxfId="7096" priority="14308"/>
    <cfRule type="duplicateValues" dxfId="7095" priority="14312"/>
  </conditionalFormatting>
  <conditionalFormatting sqref="R1">
    <cfRule type="containsText" dxfId="7094" priority="7528" operator="containsText" text="ENVIADO">
      <formula>NOT(ISERROR(SEARCH("ENVIADO",R1)))</formula>
    </cfRule>
    <cfRule type="containsText" dxfId="7093" priority="7527" operator="containsText" text="SIN">
      <formula>NOT(ISERROR(SEARCH("SIN",R1)))</formula>
    </cfRule>
    <cfRule type="containsText" dxfId="7092" priority="7526" operator="containsText" text="EMAIL">
      <formula>NOT(ISERROR(SEARCH("EMAIL",R1)))</formula>
    </cfRule>
  </conditionalFormatting>
  <conditionalFormatting sqref="R1:R474">
    <cfRule type="containsText" dxfId="7091" priority="7522" operator="containsText" text="PENDIENTE">
      <formula>NOT(ISERROR(SEARCH("PENDIENTE",R1)))</formula>
    </cfRule>
    <cfRule type="containsText" dxfId="7090" priority="7525" operator="containsText" text="POR ENVIAR">
      <formula>NOT(ISERROR(SEARCH("POR ENVIAR",R1)))</formula>
    </cfRule>
    <cfRule type="containsText" dxfId="7089" priority="7524" operator="containsText" text="ENVIADO">
      <formula>NOT(ISERROR(SEARCH("ENVIADO",R1)))</formula>
    </cfRule>
    <cfRule type="containsText" dxfId="7088" priority="7523" operator="containsText" text="SEND">
      <formula>NOT(ISERROR(SEARCH("SEND",R1)))</formula>
    </cfRule>
    <cfRule type="containsText" dxfId="7087" priority="7519" operator="containsText" text="ENVIADO">
      <formula>NOT(ISERROR(SEARCH("ENVIADO",R1)))</formula>
    </cfRule>
    <cfRule type="containsText" dxfId="7086" priority="7520" operator="containsText" text="ENVIADO">
      <formula>NOT(ISERROR(SEARCH("ENVIADO",R1)))</formula>
    </cfRule>
  </conditionalFormatting>
  <conditionalFormatting sqref="R1:R1048576">
    <cfRule type="containsText" dxfId="7085" priority="7521" operator="containsText" text="VERIFICADO">
      <formula>NOT(ISERROR(SEARCH("VERIFICADO",R1)))</formula>
    </cfRule>
  </conditionalFormatting>
  <conditionalFormatting sqref="R106:R414">
    <cfRule type="containsText" dxfId="7084" priority="6986" operator="containsText" text="PENDIENTE">
      <formula>NOT(ISERROR(SEARCH("PENDIENTE",R106)))</formula>
    </cfRule>
    <cfRule type="containsText" dxfId="7083" priority="6987" operator="containsText" text="SEND">
      <formula>NOT(ISERROR(SEARCH("SEND",R106)))</formula>
    </cfRule>
    <cfRule type="containsText" dxfId="7082" priority="6988" operator="containsText" text="ENVIADO">
      <formula>NOT(ISERROR(SEARCH("ENVIADO",R106)))</formula>
    </cfRule>
    <cfRule type="containsText" dxfId="7081" priority="6989" operator="containsText" text="POR ENVIAR">
      <formula>NOT(ISERROR(SEARCH("POR ENVIAR",R106)))</formula>
    </cfRule>
  </conditionalFormatting>
  <conditionalFormatting sqref="S1:S1048576">
    <cfRule type="containsText" dxfId="7080" priority="7516" operator="containsText" text="N/A">
      <formula>NOT(ISERROR(SEARCH("N/A",S1)))</formula>
    </cfRule>
    <cfRule type="containsText" dxfId="7079" priority="7517" operator="containsText" text="VENCIDO">
      <formula>NOT(ISERROR(SEARCH("VENCIDO",S1)))</formula>
    </cfRule>
    <cfRule type="containsText" dxfId="7078" priority="7518" operator="containsText" text="VIGENTE">
      <formula>NOT(ISERROR(SEARCH("VIGENTE",S1)))</formula>
    </cfRule>
  </conditionalFormatting>
  <conditionalFormatting sqref="T1">
    <cfRule type="containsText" dxfId="7077" priority="7435" operator="containsText" text="FIRMADO">
      <formula>NOT(ISERROR(SEARCH("FIRMADO",T1)))</formula>
    </cfRule>
    <cfRule type="containsText" dxfId="7076" priority="7436" operator="containsText" text="PENDIENTE">
      <formula>NOT(ISERROR(SEARCH("PENDIENTE",T1)))</formula>
    </cfRule>
  </conditionalFormatting>
  <conditionalFormatting sqref="B474">
    <cfRule type="duplicateValues" dxfId="7075" priority="44"/>
  </conditionalFormatting>
  <conditionalFormatting sqref="B474">
    <cfRule type="duplicateValues" dxfId="7074" priority="4"/>
    <cfRule type="duplicateValues" dxfId="7073" priority="5"/>
    <cfRule type="duplicateValues" dxfId="7072" priority="6"/>
    <cfRule type="duplicateValues" dxfId="7071" priority="7"/>
    <cfRule type="duplicateValues" dxfId="7070" priority="8"/>
    <cfRule type="duplicateValues" dxfId="7069" priority="9"/>
    <cfRule type="duplicateValues" dxfId="7068" priority="10"/>
    <cfRule type="duplicateValues" dxfId="7067" priority="11"/>
    <cfRule type="duplicateValues" dxfId="7066" priority="12"/>
    <cfRule type="duplicateValues" dxfId="7065" priority="13"/>
    <cfRule type="duplicateValues" dxfId="7064" priority="14"/>
    <cfRule type="duplicateValues" dxfId="7063" priority="15"/>
    <cfRule type="duplicateValues" dxfId="7062" priority="16"/>
    <cfRule type="duplicateValues" dxfId="7061" priority="17"/>
    <cfRule type="duplicateValues" dxfId="7060" priority="18"/>
    <cfRule type="duplicateValues" dxfId="7059" priority="19"/>
    <cfRule type="duplicateValues" dxfId="7058" priority="20"/>
    <cfRule type="duplicateValues" dxfId="7057" priority="21"/>
    <cfRule type="duplicateValues" dxfId="7056" priority="22"/>
    <cfRule type="duplicateValues" dxfId="7055" priority="23"/>
    <cfRule type="duplicateValues" dxfId="7054" priority="24"/>
    <cfRule type="duplicateValues" dxfId="7053" priority="25"/>
    <cfRule type="duplicateValues" dxfId="7052" priority="26"/>
    <cfRule type="duplicateValues" dxfId="7051" priority="27"/>
    <cfRule type="duplicateValues" dxfId="7050" priority="28"/>
    <cfRule type="duplicateValues" dxfId="7049" priority="29"/>
    <cfRule type="duplicateValues" dxfId="7048" priority="30"/>
    <cfRule type="duplicateValues" dxfId="7047" priority="31"/>
    <cfRule type="duplicateValues" dxfId="7046" priority="32"/>
    <cfRule type="duplicateValues" dxfId="7045" priority="33"/>
    <cfRule type="duplicateValues" dxfId="7044" priority="34"/>
    <cfRule type="duplicateValues" dxfId="7043" priority="35"/>
    <cfRule type="duplicateValues" dxfId="7042" priority="36"/>
    <cfRule type="duplicateValues" dxfId="7041" priority="37"/>
    <cfRule type="duplicateValues" dxfId="7040" priority="38"/>
    <cfRule type="duplicateValues" dxfId="7039" priority="39"/>
    <cfRule type="duplicateValues" dxfId="7038" priority="40"/>
  </conditionalFormatting>
  <conditionalFormatting sqref="B474">
    <cfRule type="duplicateValues" dxfId="7037" priority="45"/>
  </conditionalFormatting>
  <conditionalFormatting sqref="B474">
    <cfRule type="duplicateValues" dxfId="7036" priority="46"/>
    <cfRule type="duplicateValues" dxfId="7035" priority="47"/>
  </conditionalFormatting>
  <conditionalFormatting sqref="B474">
    <cfRule type="duplicateValues" dxfId="7034" priority="48"/>
  </conditionalFormatting>
  <conditionalFormatting sqref="B474">
    <cfRule type="duplicateValues" dxfId="7033" priority="49"/>
  </conditionalFormatting>
  <conditionalFormatting sqref="B474">
    <cfRule type="duplicateValues" dxfId="7032" priority="50"/>
  </conditionalFormatting>
  <conditionalFormatting sqref="B474">
    <cfRule type="duplicateValues" dxfId="7031" priority="41"/>
    <cfRule type="duplicateValues" dxfId="7030" priority="42"/>
    <cfRule type="duplicateValues" dxfId="7029" priority="43"/>
  </conditionalFormatting>
  <conditionalFormatting sqref="B1:B1048576">
    <cfRule type="duplicateValues" dxfId="2" priority="3"/>
  </conditionalFormatting>
  <conditionalFormatting sqref="O474">
    <cfRule type="duplicateValues" dxfId="1" priority="1"/>
  </conditionalFormatting>
  <conditionalFormatting sqref="O474">
    <cfRule type="duplicateValues" dxfId="0" priority="2"/>
  </conditionalFormatting>
  <dataValidations count="1">
    <dataValidation type="list" allowBlank="1" showInputMessage="1" showErrorMessage="1" sqref="S425:S426 S2:S422" xr:uid="{D2BC3994-E40E-4C9E-B5F1-9F96E62F9AA4}">
      <formula1>"N/A, VIGENTE, VENCIDO"</formula1>
    </dataValidation>
  </dataValidations>
  <hyperlinks>
    <hyperlink ref="J17" r:id="rId1" xr:uid="{4F7120BF-45EB-44BE-B2C0-205175965BDA}"/>
    <hyperlink ref="J18" r:id="rId2" xr:uid="{7B356846-780F-446A-B502-0274C63AED11}"/>
    <hyperlink ref="J20" r:id="rId3" xr:uid="{3805A82A-0DFE-42C5-9528-9FA2DFCBE7A1}"/>
    <hyperlink ref="J227" r:id="rId4" xr:uid="{BF5CCCDF-487D-4DB1-B115-C1297A38CEA7}"/>
    <hyperlink ref="J297:J298" r:id="rId5" display="superencalambrada@gmail.com" xr:uid="{E8070789-CBF8-47CB-A262-81F6803599EE}"/>
    <hyperlink ref="J301:J302" r:id="rId6" display="squinterobalco@gmail.com" xr:uid="{C46EB968-13FD-41FE-8A59-8CE8A6F3ACA4}"/>
    <hyperlink ref="J2" r:id="rId7" xr:uid="{8F9E1CFF-275D-42DF-9850-268B5D720792}"/>
    <hyperlink ref="J161" r:id="rId8" xr:uid="{B711AD37-85FC-4C6A-9E34-3620063A5D7F}"/>
    <hyperlink ref="J160" r:id="rId9" xr:uid="{4825BC6B-6368-4DD2-93A4-7B49322F853D}"/>
    <hyperlink ref="J174" r:id="rId10" xr:uid="{7A1AAB54-D1A2-4EAB-8BDC-6669CF737E3D}"/>
    <hyperlink ref="J173" r:id="rId11" xr:uid="{DC738CF3-E8C0-4AE5-9FA8-8DC910F33674}"/>
    <hyperlink ref="J369" r:id="rId12" xr:uid="{907AEFE4-FB39-41D0-84B2-911797E5701A}"/>
    <hyperlink ref="J399" r:id="rId13" xr:uid="{22DDF805-81E6-4F3D-8010-99E482627220}"/>
    <hyperlink ref="J400" r:id="rId14" xr:uid="{AAC89591-D91B-41BF-992E-E5BA615FB14B}"/>
    <hyperlink ref="J401" r:id="rId15" xr:uid="{E6914C65-2CB5-4E42-B725-11BABF89AFA0}"/>
    <hyperlink ref="J402" r:id="rId16" xr:uid="{25288928-D5D7-4BAB-ACAA-414C235F8FC7}"/>
    <hyperlink ref="J403" r:id="rId17" xr:uid="{F998BA3E-1C88-421D-80B0-A3F506D23EC6}"/>
    <hyperlink ref="J404" r:id="rId18" xr:uid="{3DF539F9-31CC-4D90-B30B-3AEB7B244508}"/>
    <hyperlink ref="J405" r:id="rId19" xr:uid="{A1F62667-808E-436F-A5EC-EFBEC6108D5F}"/>
    <hyperlink ref="J406" r:id="rId20" xr:uid="{0682B028-200F-44C8-9953-D6052869CE92}"/>
    <hyperlink ref="J407" r:id="rId21" xr:uid="{1A4A13DA-BB8E-48F7-B27B-8EA1904A06EA}"/>
    <hyperlink ref="J408" r:id="rId22" xr:uid="{E750A1FF-010C-4843-BB96-69CEE1855142}"/>
  </hyperlinks>
  <pageMargins left="0.7" right="0.7" top="0.75" bottom="0.75" header="0.3" footer="0.3"/>
  <pageSetup paperSize="9" orientation="portrait" r:id="rId2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33647-C9F4-4469-97CD-ACE9A18994C8}">
  <sheetPr codeName="Hoja2">
    <tabColor rgb="FF7030A0"/>
  </sheetPr>
  <dimension ref="A1:DC164"/>
  <sheetViews>
    <sheetView showGridLines="0" zoomScale="40" zoomScaleNormal="40" workbookViewId="0">
      <pane ySplit="18" topLeftCell="A148" activePane="bottomLeft" state="frozen"/>
      <selection pane="bottomLeft" activeCell="J101" sqref="J101"/>
    </sheetView>
  </sheetViews>
  <sheetFormatPr baseColWidth="10" defaultColWidth="11.42578125" defaultRowHeight="15" x14ac:dyDescent="0.25"/>
  <cols>
    <col min="1" max="1" width="16" style="11" customWidth="1"/>
    <col min="2" max="2" width="53.42578125" style="11" customWidth="1"/>
    <col min="3" max="3" width="94.28515625" style="11" customWidth="1"/>
    <col min="4" max="4" width="23.42578125" style="11" customWidth="1"/>
    <col min="5" max="5" width="57.7109375" style="11" customWidth="1"/>
    <col min="6" max="6" width="23.42578125" style="11" customWidth="1"/>
    <col min="7" max="7" width="38.28515625" style="11" customWidth="1"/>
    <col min="8" max="8" width="23.42578125" style="11" customWidth="1"/>
    <col min="9" max="9" width="33.85546875" style="11" customWidth="1"/>
    <col min="10" max="10" width="25.7109375" style="11" customWidth="1"/>
    <col min="11" max="11" width="37.85546875" style="11" customWidth="1"/>
    <col min="12" max="12" width="25.7109375" style="11" customWidth="1"/>
    <col min="13" max="13" width="34.28515625" style="11" customWidth="1"/>
    <col min="14" max="14" width="25.7109375" style="11" customWidth="1"/>
    <col min="15" max="15" width="33.28515625" style="11" customWidth="1"/>
    <col min="16" max="16" width="25.7109375" style="11" customWidth="1"/>
    <col min="17" max="17" width="39" style="11" customWidth="1"/>
    <col min="18" max="18" width="35.42578125" style="11" customWidth="1"/>
    <col min="19" max="19" width="36" style="11" customWidth="1"/>
    <col min="20" max="21" width="41.85546875" style="11" customWidth="1"/>
    <col min="22" max="22" width="38.85546875" style="11" customWidth="1"/>
    <col min="23" max="23" width="35.7109375" style="11" customWidth="1"/>
    <col min="24" max="24" width="32.7109375" style="7" customWidth="1"/>
    <col min="25" max="25" width="19.42578125" style="7" bestFit="1" customWidth="1"/>
    <col min="26" max="26" width="30.85546875" style="7" bestFit="1" customWidth="1"/>
    <col min="27" max="27" width="22" style="7" customWidth="1"/>
    <col min="28" max="28" width="24.85546875" style="7" bestFit="1" customWidth="1"/>
    <col min="29" max="107" width="11.42578125" style="7"/>
    <col min="108" max="16384" width="11.42578125" style="10"/>
  </cols>
  <sheetData>
    <row r="1" spans="1:28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38"/>
      <c r="W1" s="38"/>
    </row>
    <row r="2" spans="1:28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38"/>
      <c r="W2" s="38"/>
    </row>
    <row r="3" spans="1:2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38" t="s">
        <v>40</v>
      </c>
      <c r="W3" s="38" t="s">
        <v>42</v>
      </c>
    </row>
    <row r="4" spans="1:28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38" t="s">
        <v>41</v>
      </c>
      <c r="W4" s="38" t="s">
        <v>43</v>
      </c>
    </row>
    <row r="5" spans="1:28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38"/>
      <c r="W5" s="38"/>
    </row>
    <row r="6" spans="1:28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38"/>
      <c r="W6" s="38"/>
    </row>
    <row r="7" spans="1:28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38"/>
      <c r="W7" s="38"/>
    </row>
    <row r="8" spans="1:28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8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8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8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8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8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8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8" ht="16.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8" ht="57" customHeight="1" x14ac:dyDescent="0.35">
      <c r="A16" s="6"/>
      <c r="B16" s="6"/>
      <c r="C16" s="26" t="s">
        <v>20</v>
      </c>
      <c r="D16" s="204" t="s">
        <v>153</v>
      </c>
      <c r="E16" s="204"/>
      <c r="F16" s="204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7"/>
      <c r="AA16" s="6"/>
      <c r="AB16" s="68"/>
    </row>
    <row r="17" spans="1:107" ht="30" customHeight="1" thickBot="1" x14ac:dyDescent="0.4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AA17" s="6"/>
      <c r="AB17" s="68"/>
    </row>
    <row r="18" spans="1:107" ht="64.5" customHeight="1" thickBot="1" x14ac:dyDescent="0.4">
      <c r="A18" s="6"/>
      <c r="B18" s="108" t="s">
        <v>36</v>
      </c>
      <c r="C18" s="109" t="s">
        <v>30</v>
      </c>
      <c r="D18" s="205" t="s">
        <v>21</v>
      </c>
      <c r="E18" s="205"/>
      <c r="F18" s="206" t="s">
        <v>22</v>
      </c>
      <c r="G18" s="206"/>
      <c r="H18" s="207" t="s">
        <v>45</v>
      </c>
      <c r="I18" s="207"/>
      <c r="J18" s="208" t="s">
        <v>46</v>
      </c>
      <c r="K18" s="208"/>
      <c r="L18" s="209" t="s">
        <v>142</v>
      </c>
      <c r="M18" s="209"/>
      <c r="N18" s="210" t="s">
        <v>143</v>
      </c>
      <c r="O18" s="210"/>
      <c r="P18" s="211" t="s">
        <v>144</v>
      </c>
      <c r="Q18" s="212"/>
      <c r="R18" s="35" t="s">
        <v>17</v>
      </c>
      <c r="S18" s="36" t="s">
        <v>23</v>
      </c>
      <c r="T18" s="37" t="s">
        <v>24</v>
      </c>
      <c r="U18" s="37" t="s">
        <v>42</v>
      </c>
      <c r="V18" s="37" t="s">
        <v>43</v>
      </c>
      <c r="W18" s="69" t="s">
        <v>9</v>
      </c>
      <c r="X18" s="77" t="s">
        <v>25</v>
      </c>
      <c r="Y18" s="201" t="s">
        <v>87</v>
      </c>
      <c r="Z18" s="202"/>
      <c r="AA18" s="203"/>
      <c r="AB18" s="70" t="s">
        <v>14</v>
      </c>
      <c r="AC18" s="68"/>
    </row>
    <row r="19" spans="1:107" s="9" customFormat="1" ht="64.5" customHeight="1" thickBot="1" x14ac:dyDescent="0.25">
      <c r="A19" s="24" t="s">
        <v>27</v>
      </c>
      <c r="B19" s="110" t="s">
        <v>36</v>
      </c>
      <c r="C19" s="111" t="s">
        <v>30</v>
      </c>
      <c r="D19" s="39" t="s">
        <v>32</v>
      </c>
      <c r="E19" s="40" t="s">
        <v>11</v>
      </c>
      <c r="F19" s="41" t="s">
        <v>37</v>
      </c>
      <c r="G19" s="42" t="s">
        <v>34</v>
      </c>
      <c r="H19" s="43" t="s">
        <v>44</v>
      </c>
      <c r="I19" s="44" t="s">
        <v>33</v>
      </c>
      <c r="J19" s="45" t="s">
        <v>38</v>
      </c>
      <c r="K19" s="46" t="s">
        <v>35</v>
      </c>
      <c r="L19" s="112" t="s">
        <v>145</v>
      </c>
      <c r="M19" s="113" t="s">
        <v>141</v>
      </c>
      <c r="N19" s="114" t="s">
        <v>146</v>
      </c>
      <c r="O19" s="115" t="s">
        <v>147</v>
      </c>
      <c r="P19" s="116" t="s">
        <v>148</v>
      </c>
      <c r="Q19" s="117" t="s">
        <v>149</v>
      </c>
      <c r="R19" s="18" t="s">
        <v>17</v>
      </c>
      <c r="S19" s="19" t="s">
        <v>23</v>
      </c>
      <c r="T19" s="20" t="s">
        <v>24</v>
      </c>
      <c r="U19" s="20" t="s">
        <v>89</v>
      </c>
      <c r="V19" s="20" t="s">
        <v>90</v>
      </c>
      <c r="W19" s="71" t="s">
        <v>9</v>
      </c>
      <c r="X19" s="72" t="s">
        <v>25</v>
      </c>
      <c r="Y19" s="73" t="s">
        <v>88</v>
      </c>
      <c r="Z19" s="73" t="s">
        <v>42</v>
      </c>
      <c r="AA19" s="73" t="s">
        <v>43</v>
      </c>
      <c r="AB19" s="74" t="s">
        <v>91</v>
      </c>
      <c r="AC19" s="75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</row>
    <row r="20" spans="1:107" ht="31.5" x14ac:dyDescent="0.5">
      <c r="A20" s="64">
        <v>1</v>
      </c>
      <c r="B20" s="149">
        <v>1088244700</v>
      </c>
      <c r="C20" s="150" t="s">
        <v>1093</v>
      </c>
      <c r="D20" s="151">
        <v>1</v>
      </c>
      <c r="E20" s="152">
        <f>(Tabla3[[#This Row],[CANT]]*5000000)</f>
        <v>5000000</v>
      </c>
      <c r="F20" s="153">
        <v>1</v>
      </c>
      <c r="G20" s="152">
        <f>(Tabla3[[#This Row],[CANT2]]*10000000)</f>
        <v>10000000</v>
      </c>
      <c r="H20" s="154">
        <v>2</v>
      </c>
      <c r="I20" s="152">
        <f>(Tabla3[[#This Row],[CANT3]]*7500000)</f>
        <v>15000000</v>
      </c>
      <c r="J20" s="155"/>
      <c r="K20" s="156"/>
      <c r="L20" s="155"/>
      <c r="M20" s="156"/>
      <c r="N20" s="155"/>
      <c r="O20" s="156"/>
      <c r="P20" s="155"/>
      <c r="Q20" s="156"/>
      <c r="R20" s="48">
        <f>(Tabla3[[#This Row],[MONTO]]+Tabla3[[#This Row],[MONTO2]]+Tabla3[[#This Row],[MONTO3]]+Tabla3[[#This Row],[MONTO4]]+Tabla3[[#This Row],[MONTO5]]+Tabla3[[#This Row],[MONTO6]]+Tabla3[[#This Row],[MONTO7]])</f>
        <v>30000000</v>
      </c>
      <c r="S20" s="49">
        <f t="shared" ref="S20:S31" si="0">R20-(R20*10%)</f>
        <v>27000000</v>
      </c>
      <c r="T20" s="50">
        <f t="shared" ref="T20:T31" si="1">(S20*1%)</f>
        <v>270000</v>
      </c>
      <c r="U20" s="50">
        <f>(Tabla3[[#This Row],[TOTAL -10%]]*Tabla3[[#This Row],[FIDUCIA]])</f>
        <v>26730000</v>
      </c>
      <c r="V20" s="50">
        <f>(Tabla3[[#This Row],[TOTAL -10%]]*Tabla3[[#This Row],[NUBE]])</f>
        <v>0</v>
      </c>
      <c r="W20" s="80" t="s">
        <v>40</v>
      </c>
      <c r="X20" s="78" t="s">
        <v>42</v>
      </c>
      <c r="Y20" s="79">
        <v>0.01</v>
      </c>
      <c r="Z20" s="79">
        <v>0.99</v>
      </c>
      <c r="AA20" s="79"/>
      <c r="AB20" s="81">
        <f>SUM(Y20:AA20)</f>
        <v>1</v>
      </c>
      <c r="AC20" s="76" t="str">
        <f>IF(AB20="","",IF(AB20=100%,"OK","ERROR"))</f>
        <v>OK</v>
      </c>
    </row>
    <row r="21" spans="1:107" ht="31.5" x14ac:dyDescent="0.5">
      <c r="A21" s="65">
        <f t="shared" ref="A21:A85" si="2">(A20+1)</f>
        <v>2</v>
      </c>
      <c r="B21" s="149">
        <v>25235412</v>
      </c>
      <c r="C21" s="157" t="s">
        <v>1090</v>
      </c>
      <c r="D21" s="151">
        <v>2</v>
      </c>
      <c r="E21" s="152">
        <f>(Tabla3[[#This Row],[CANT]]*5000000)</f>
        <v>10000000</v>
      </c>
      <c r="F21" s="158"/>
      <c r="G21" s="152"/>
      <c r="H21" s="159">
        <v>1</v>
      </c>
      <c r="I21" s="152">
        <f>(Tabla3[[#This Row],[CANT3]]*7500000)</f>
        <v>7500000</v>
      </c>
      <c r="J21" s="160"/>
      <c r="K21" s="161"/>
      <c r="L21" s="160"/>
      <c r="M21" s="161"/>
      <c r="N21" s="160"/>
      <c r="O21" s="161"/>
      <c r="P21" s="160"/>
      <c r="Q21" s="161"/>
      <c r="R21" s="48">
        <f>(Tabla3[[#This Row],[MONTO]]+Tabla3[[#This Row],[MONTO2]]+Tabla3[[#This Row],[MONTO3]]+Tabla3[[#This Row],[MONTO4]]+Tabla3[[#This Row],[MONTO5]]+Tabla3[[#This Row],[MONTO6]]+Tabla3[[#This Row],[MONTO7]])</f>
        <v>17500000</v>
      </c>
      <c r="S21" s="49">
        <f t="shared" si="0"/>
        <v>15750000</v>
      </c>
      <c r="T21" s="51">
        <f t="shared" si="1"/>
        <v>157500</v>
      </c>
      <c r="U21" s="51">
        <f>(Tabla3[[#This Row],[TOTAL -10%]]*Tabla3[[#This Row],[FIDUCIA]])</f>
        <v>15592500</v>
      </c>
      <c r="V21" s="51">
        <f>(Tabla3[[#This Row],[TOTAL -10%]]*Tabla3[[#This Row],[NUBE]])</f>
        <v>0</v>
      </c>
      <c r="W21" s="80" t="s">
        <v>40</v>
      </c>
      <c r="X21" s="78" t="s">
        <v>42</v>
      </c>
      <c r="Y21" s="79">
        <v>0.01</v>
      </c>
      <c r="Z21" s="79">
        <v>0.99</v>
      </c>
      <c r="AA21" s="79"/>
      <c r="AB21" s="81">
        <f t="shared" ref="AB21:AB34" si="3">SUM(Y21:AA21)</f>
        <v>1</v>
      </c>
      <c r="AC21" s="76" t="str">
        <f t="shared" ref="AC21:AC84" si="4">IF(AB21="","",IF(AB21=100%,"OK","ERROR"))</f>
        <v>OK</v>
      </c>
    </row>
    <row r="22" spans="1:107" ht="31.5" x14ac:dyDescent="0.5">
      <c r="A22" s="65">
        <f t="shared" si="2"/>
        <v>3</v>
      </c>
      <c r="B22" s="149">
        <v>10018741</v>
      </c>
      <c r="C22" s="157" t="s">
        <v>1074</v>
      </c>
      <c r="D22" s="151">
        <v>63</v>
      </c>
      <c r="E22" s="152">
        <f>(Tabla3[[#This Row],[CANT]]*5000000)</f>
        <v>315000000</v>
      </c>
      <c r="F22" s="158">
        <v>10</v>
      </c>
      <c r="G22" s="152">
        <f>(Tabla3[[#This Row],[CANT2]]*10000000)</f>
        <v>100000000</v>
      </c>
      <c r="H22" s="159">
        <v>4</v>
      </c>
      <c r="I22" s="152">
        <f>(Tabla3[[#This Row],[CANT3]]*7500000)</f>
        <v>30000000</v>
      </c>
      <c r="J22" s="160">
        <v>1</v>
      </c>
      <c r="K22" s="161">
        <f>(Tabla3[[#This Row],[CANT4]]*500000)</f>
        <v>500000</v>
      </c>
      <c r="L22" s="160"/>
      <c r="M22" s="161"/>
      <c r="N22" s="160"/>
      <c r="O22" s="161"/>
      <c r="P22" s="160"/>
      <c r="Q22" s="161"/>
      <c r="R22" s="48">
        <f>(Tabla3[[#This Row],[MONTO]]+Tabla3[[#This Row],[MONTO2]]+Tabla3[[#This Row],[MONTO3]]+Tabla3[[#This Row],[MONTO4]]+Tabla3[[#This Row],[MONTO5]]+Tabla3[[#This Row],[MONTO6]]+Tabla3[[#This Row],[MONTO7]])</f>
        <v>445500000</v>
      </c>
      <c r="S22" s="49">
        <f t="shared" si="0"/>
        <v>400950000</v>
      </c>
      <c r="T22" s="51">
        <f t="shared" si="1"/>
        <v>4009500</v>
      </c>
      <c r="U22" s="51">
        <f>(Tabla3[[#This Row],[TOTAL -10%]]*Tabla3[[#This Row],[FIDUCIA]])</f>
        <v>0</v>
      </c>
      <c r="V22" s="51">
        <f>(Tabla3[[#This Row],[TOTAL -10%]]*Tabla3[[#This Row],[NUBE]])</f>
        <v>396940500</v>
      </c>
      <c r="W22" s="80" t="s">
        <v>40</v>
      </c>
      <c r="X22" s="78" t="s">
        <v>43</v>
      </c>
      <c r="Y22" s="79">
        <v>0.01</v>
      </c>
      <c r="Z22" s="79"/>
      <c r="AA22" s="79">
        <v>0.99</v>
      </c>
      <c r="AB22" s="81">
        <f t="shared" si="3"/>
        <v>1</v>
      </c>
      <c r="AC22" s="76" t="str">
        <f t="shared" si="4"/>
        <v>OK</v>
      </c>
    </row>
    <row r="23" spans="1:107" ht="31.5" x14ac:dyDescent="0.5">
      <c r="A23" s="65">
        <f t="shared" si="2"/>
        <v>4</v>
      </c>
      <c r="B23" s="149">
        <v>55179153</v>
      </c>
      <c r="C23" s="157" t="s">
        <v>1069</v>
      </c>
      <c r="D23" s="151">
        <v>10</v>
      </c>
      <c r="E23" s="152">
        <f>(Tabla3[[#This Row],[CANT]]*5000000)</f>
        <v>50000000</v>
      </c>
      <c r="F23" s="158">
        <v>5</v>
      </c>
      <c r="G23" s="152">
        <f>(Tabla3[[#This Row],[CANT2]]*10000000)</f>
        <v>50000000</v>
      </c>
      <c r="H23" s="159">
        <v>2</v>
      </c>
      <c r="I23" s="152">
        <f>(Tabla3[[#This Row],[CANT3]]*7500000)</f>
        <v>15000000</v>
      </c>
      <c r="J23" s="160"/>
      <c r="K23" s="161"/>
      <c r="L23" s="160"/>
      <c r="M23" s="161"/>
      <c r="N23" s="160"/>
      <c r="O23" s="161"/>
      <c r="P23" s="160"/>
      <c r="Q23" s="161"/>
      <c r="R23" s="48">
        <f>(Tabla3[[#This Row],[MONTO]]+Tabla3[[#This Row],[MONTO2]]+Tabla3[[#This Row],[MONTO3]]+Tabla3[[#This Row],[MONTO4]]+Tabla3[[#This Row],[MONTO5]]+Tabla3[[#This Row],[MONTO6]]+Tabla3[[#This Row],[MONTO7]])</f>
        <v>115000000</v>
      </c>
      <c r="S23" s="49">
        <f t="shared" si="0"/>
        <v>103500000</v>
      </c>
      <c r="T23" s="51">
        <f t="shared" si="1"/>
        <v>1035000</v>
      </c>
      <c r="U23" s="51">
        <f>(Tabla3[[#This Row],[TOTAL -10%]]*Tabla3[[#This Row],[FIDUCIA]])</f>
        <v>0</v>
      </c>
      <c r="V23" s="51">
        <f>(Tabla3[[#This Row],[TOTAL -10%]]*Tabla3[[#This Row],[NUBE]])</f>
        <v>102465000</v>
      </c>
      <c r="W23" s="80" t="s">
        <v>40</v>
      </c>
      <c r="X23" s="78" t="s">
        <v>43</v>
      </c>
      <c r="Y23" s="79">
        <v>0.01</v>
      </c>
      <c r="Z23" s="79"/>
      <c r="AA23" s="79">
        <v>0.99</v>
      </c>
      <c r="AB23" s="81">
        <f t="shared" si="3"/>
        <v>1</v>
      </c>
      <c r="AC23" s="76" t="str">
        <f t="shared" si="4"/>
        <v>OK</v>
      </c>
    </row>
    <row r="24" spans="1:107" ht="31.5" x14ac:dyDescent="0.5">
      <c r="A24" s="65">
        <f t="shared" si="2"/>
        <v>5</v>
      </c>
      <c r="B24" s="149">
        <v>7148008</v>
      </c>
      <c r="C24" s="157" t="s">
        <v>1064</v>
      </c>
      <c r="D24" s="151">
        <v>3</v>
      </c>
      <c r="E24" s="152">
        <f>(Tabla3[[#This Row],[CANT]]*5000000)</f>
        <v>15000000</v>
      </c>
      <c r="F24" s="158"/>
      <c r="G24" s="152"/>
      <c r="H24" s="159"/>
      <c r="I24" s="152"/>
      <c r="J24" s="160"/>
      <c r="K24" s="161"/>
      <c r="L24" s="160"/>
      <c r="M24" s="161"/>
      <c r="N24" s="160"/>
      <c r="O24" s="161"/>
      <c r="P24" s="160"/>
      <c r="Q24" s="161"/>
      <c r="R24" s="48">
        <f>(Tabla3[[#This Row],[MONTO]]+Tabla3[[#This Row],[MONTO2]]+Tabla3[[#This Row],[MONTO3]]+Tabla3[[#This Row],[MONTO4]]+Tabla3[[#This Row],[MONTO5]]+Tabla3[[#This Row],[MONTO6]]+Tabla3[[#This Row],[MONTO7]])</f>
        <v>15000000</v>
      </c>
      <c r="S24" s="49">
        <f t="shared" si="0"/>
        <v>13500000</v>
      </c>
      <c r="T24" s="51">
        <f t="shared" si="1"/>
        <v>135000</v>
      </c>
      <c r="U24" s="51">
        <f>(Tabla3[[#This Row],[TOTAL -10%]]*Tabla3[[#This Row],[FIDUCIA]])</f>
        <v>13365000</v>
      </c>
      <c r="V24" s="51">
        <f>(Tabla3[[#This Row],[TOTAL -10%]]*Tabla3[[#This Row],[NUBE]])</f>
        <v>0</v>
      </c>
      <c r="W24" s="80" t="s">
        <v>40</v>
      </c>
      <c r="X24" s="78" t="s">
        <v>42</v>
      </c>
      <c r="Y24" s="79">
        <v>0.01</v>
      </c>
      <c r="Z24" s="79">
        <v>0.99</v>
      </c>
      <c r="AA24" s="79"/>
      <c r="AB24" s="81">
        <f t="shared" si="3"/>
        <v>1</v>
      </c>
      <c r="AC24" s="76" t="str">
        <f t="shared" si="4"/>
        <v>OK</v>
      </c>
    </row>
    <row r="25" spans="1:107" ht="31.5" x14ac:dyDescent="0.5">
      <c r="A25" s="65">
        <f t="shared" si="2"/>
        <v>6</v>
      </c>
      <c r="B25" s="149">
        <v>41927246</v>
      </c>
      <c r="C25" s="157" t="s">
        <v>1060</v>
      </c>
      <c r="D25" s="151">
        <v>5</v>
      </c>
      <c r="E25" s="152">
        <f>(Tabla3[[#This Row],[CANT]]*5000000)</f>
        <v>25000000</v>
      </c>
      <c r="F25" s="158"/>
      <c r="G25" s="152"/>
      <c r="H25" s="159"/>
      <c r="I25" s="152"/>
      <c r="J25" s="160"/>
      <c r="K25" s="161"/>
      <c r="L25" s="160"/>
      <c r="M25" s="161"/>
      <c r="N25" s="160"/>
      <c r="O25" s="161"/>
      <c r="P25" s="160"/>
      <c r="Q25" s="161"/>
      <c r="R25" s="48">
        <f>(Tabla3[[#This Row],[MONTO]]+Tabla3[[#This Row],[MONTO2]]+Tabla3[[#This Row],[MONTO3]]+Tabla3[[#This Row],[MONTO4]]+Tabla3[[#This Row],[MONTO5]]+Tabla3[[#This Row],[MONTO6]]+Tabla3[[#This Row],[MONTO7]])</f>
        <v>25000000</v>
      </c>
      <c r="S25" s="49">
        <f t="shared" si="0"/>
        <v>22500000</v>
      </c>
      <c r="T25" s="51">
        <f t="shared" si="1"/>
        <v>225000</v>
      </c>
      <c r="U25" s="51">
        <f>(Tabla3[[#This Row],[TOTAL -10%]]*Tabla3[[#This Row],[FIDUCIA]])</f>
        <v>0</v>
      </c>
      <c r="V25" s="51">
        <f>(Tabla3[[#This Row],[TOTAL -10%]]*Tabla3[[#This Row],[NUBE]])</f>
        <v>22275000</v>
      </c>
      <c r="W25" s="80" t="s">
        <v>40</v>
      </c>
      <c r="X25" s="78" t="s">
        <v>43</v>
      </c>
      <c r="Y25" s="79">
        <v>0.01</v>
      </c>
      <c r="Z25" s="79"/>
      <c r="AA25" s="79">
        <v>0.99</v>
      </c>
      <c r="AB25" s="81">
        <f t="shared" si="3"/>
        <v>1</v>
      </c>
      <c r="AC25" s="76" t="str">
        <f t="shared" si="4"/>
        <v>OK</v>
      </c>
    </row>
    <row r="26" spans="1:107" ht="31.5" x14ac:dyDescent="0.5">
      <c r="A26" s="65">
        <f t="shared" si="2"/>
        <v>7</v>
      </c>
      <c r="B26" s="149">
        <v>24587181</v>
      </c>
      <c r="C26" s="157" t="s">
        <v>1054</v>
      </c>
      <c r="D26" s="151">
        <v>2</v>
      </c>
      <c r="E26" s="152">
        <f>(Tabla3[[#This Row],[CANT]]*5000000)</f>
        <v>10000000</v>
      </c>
      <c r="F26" s="158">
        <v>2</v>
      </c>
      <c r="G26" s="152">
        <f>(Tabla3[[#This Row],[CANT2]]*10000000)</f>
        <v>20000000</v>
      </c>
      <c r="H26" s="159"/>
      <c r="I26" s="152"/>
      <c r="J26" s="160"/>
      <c r="K26" s="161"/>
      <c r="L26" s="160"/>
      <c r="M26" s="161"/>
      <c r="N26" s="160"/>
      <c r="O26" s="161"/>
      <c r="P26" s="160"/>
      <c r="Q26" s="161"/>
      <c r="R26" s="48">
        <f>(Tabla3[[#This Row],[MONTO]]+Tabla3[[#This Row],[MONTO2]]+Tabla3[[#This Row],[MONTO3]]+Tabla3[[#This Row],[MONTO4]]+Tabla3[[#This Row],[MONTO5]]+Tabla3[[#This Row],[MONTO6]]+Tabla3[[#This Row],[MONTO7]])</f>
        <v>30000000</v>
      </c>
      <c r="S26" s="49">
        <f t="shared" si="0"/>
        <v>27000000</v>
      </c>
      <c r="T26" s="51">
        <f t="shared" si="1"/>
        <v>270000</v>
      </c>
      <c r="U26" s="51">
        <f>(Tabla3[[#This Row],[TOTAL -10%]]*Tabla3[[#This Row],[FIDUCIA]])</f>
        <v>0</v>
      </c>
      <c r="V26" s="51">
        <f>(Tabla3[[#This Row],[TOTAL -10%]]*Tabla3[[#This Row],[NUBE]])</f>
        <v>26730000</v>
      </c>
      <c r="W26" s="80" t="s">
        <v>40</v>
      </c>
      <c r="X26" s="78" t="s">
        <v>43</v>
      </c>
      <c r="Y26" s="79">
        <v>0.01</v>
      </c>
      <c r="Z26" s="79"/>
      <c r="AA26" s="79">
        <v>0.99</v>
      </c>
      <c r="AB26" s="81">
        <f t="shared" si="3"/>
        <v>1</v>
      </c>
      <c r="AC26" s="76" t="str">
        <f t="shared" si="4"/>
        <v>OK</v>
      </c>
    </row>
    <row r="27" spans="1:107" ht="31.5" x14ac:dyDescent="0.5">
      <c r="A27" s="65">
        <f t="shared" si="2"/>
        <v>8</v>
      </c>
      <c r="B27" s="149">
        <v>75070176</v>
      </c>
      <c r="C27" s="157" t="s">
        <v>1048</v>
      </c>
      <c r="D27" s="151">
        <v>2</v>
      </c>
      <c r="E27" s="152">
        <f>(Tabla3[[#This Row],[CANT]]*5000000)</f>
        <v>10000000</v>
      </c>
      <c r="F27" s="158">
        <v>3</v>
      </c>
      <c r="G27" s="152">
        <f>(Tabla3[[#This Row],[CANT2]]*10000000)</f>
        <v>30000000</v>
      </c>
      <c r="H27" s="159"/>
      <c r="I27" s="152"/>
      <c r="J27" s="160"/>
      <c r="K27" s="161"/>
      <c r="L27" s="160"/>
      <c r="M27" s="161"/>
      <c r="N27" s="160"/>
      <c r="O27" s="161"/>
      <c r="P27" s="160"/>
      <c r="Q27" s="161"/>
      <c r="R27" s="48">
        <f>(Tabla3[[#This Row],[MONTO]]+Tabla3[[#This Row],[MONTO2]]+Tabla3[[#This Row],[MONTO3]]+Tabla3[[#This Row],[MONTO4]]+Tabla3[[#This Row],[MONTO5]]+Tabla3[[#This Row],[MONTO6]]+Tabla3[[#This Row],[MONTO7]])</f>
        <v>40000000</v>
      </c>
      <c r="S27" s="49">
        <f t="shared" si="0"/>
        <v>36000000</v>
      </c>
      <c r="T27" s="51">
        <f t="shared" si="1"/>
        <v>360000</v>
      </c>
      <c r="U27" s="51">
        <f>(Tabla3[[#This Row],[TOTAL -10%]]*Tabla3[[#This Row],[FIDUCIA]])</f>
        <v>35640000</v>
      </c>
      <c r="V27" s="51">
        <f>(Tabla3[[#This Row],[TOTAL -10%]]*Tabla3[[#This Row],[NUBE]])</f>
        <v>0</v>
      </c>
      <c r="W27" s="80" t="s">
        <v>40</v>
      </c>
      <c r="X27" s="78" t="s">
        <v>42</v>
      </c>
      <c r="Y27" s="79">
        <v>0.01</v>
      </c>
      <c r="Z27" s="79">
        <v>0.99</v>
      </c>
      <c r="AA27" s="79"/>
      <c r="AB27" s="81">
        <f t="shared" si="3"/>
        <v>1</v>
      </c>
      <c r="AC27" s="76" t="str">
        <f t="shared" si="4"/>
        <v>OK</v>
      </c>
    </row>
    <row r="28" spans="1:107" ht="31.5" x14ac:dyDescent="0.5">
      <c r="A28" s="65">
        <f t="shared" si="2"/>
        <v>9</v>
      </c>
      <c r="B28" s="149">
        <v>1802036838</v>
      </c>
      <c r="C28" s="157" t="s">
        <v>1042</v>
      </c>
      <c r="D28" s="151">
        <v>2</v>
      </c>
      <c r="E28" s="152">
        <f>(Tabla3[[#This Row],[CANT]]*5000000)</f>
        <v>10000000</v>
      </c>
      <c r="F28" s="158"/>
      <c r="G28" s="152"/>
      <c r="H28" s="159"/>
      <c r="I28" s="152"/>
      <c r="J28" s="160"/>
      <c r="K28" s="161"/>
      <c r="L28" s="160"/>
      <c r="M28" s="161"/>
      <c r="N28" s="160"/>
      <c r="O28" s="161"/>
      <c r="P28" s="160"/>
      <c r="Q28" s="161"/>
      <c r="R28" s="48">
        <f>(Tabla3[[#This Row],[MONTO]]+Tabla3[[#This Row],[MONTO2]]+Tabla3[[#This Row],[MONTO3]]+Tabla3[[#This Row],[MONTO4]]+Tabla3[[#This Row],[MONTO5]]+Tabla3[[#This Row],[MONTO6]]+Tabla3[[#This Row],[MONTO7]])</f>
        <v>10000000</v>
      </c>
      <c r="S28" s="49">
        <f t="shared" si="0"/>
        <v>9000000</v>
      </c>
      <c r="T28" s="51">
        <f t="shared" si="1"/>
        <v>90000</v>
      </c>
      <c r="U28" s="51">
        <f>(Tabla3[[#This Row],[TOTAL -10%]]*Tabla3[[#This Row],[FIDUCIA]])</f>
        <v>0</v>
      </c>
      <c r="V28" s="51">
        <f>(Tabla3[[#This Row],[TOTAL -10%]]*Tabla3[[#This Row],[NUBE]])</f>
        <v>8910000</v>
      </c>
      <c r="W28" s="80" t="s">
        <v>40</v>
      </c>
      <c r="X28" s="78" t="s">
        <v>43</v>
      </c>
      <c r="Y28" s="79">
        <v>0.01</v>
      </c>
      <c r="Z28" s="79"/>
      <c r="AA28" s="79">
        <v>0.99</v>
      </c>
      <c r="AB28" s="81">
        <f t="shared" si="3"/>
        <v>1</v>
      </c>
      <c r="AC28" s="76" t="str">
        <f t="shared" si="4"/>
        <v>OK</v>
      </c>
    </row>
    <row r="29" spans="1:107" ht="31.5" x14ac:dyDescent="0.5">
      <c r="A29" s="192">
        <f>(A28+1)</f>
        <v>10</v>
      </c>
      <c r="B29" s="193">
        <v>98146902</v>
      </c>
      <c r="C29" s="194" t="s">
        <v>1371</v>
      </c>
      <c r="D29" s="195">
        <v>11</v>
      </c>
      <c r="E29" s="152">
        <f>(Tabla3[[#This Row],[CANT]]*5000000)</f>
        <v>55000000</v>
      </c>
      <c r="F29" s="196">
        <v>2</v>
      </c>
      <c r="G29" s="152">
        <f>(Tabla3[[#This Row],[CANT2]]*10000000)</f>
        <v>20000000</v>
      </c>
      <c r="H29" s="197"/>
      <c r="I29" s="152"/>
      <c r="J29" s="160"/>
      <c r="K29" s="161"/>
      <c r="L29" s="160"/>
      <c r="M29" s="161"/>
      <c r="N29" s="160"/>
      <c r="O29" s="161"/>
      <c r="P29" s="160"/>
      <c r="Q29" s="161"/>
      <c r="R29" s="198">
        <f>(Tabla3[[#This Row],[MONTO]]+Tabla3[[#This Row],[MONTO2]]+Tabla3[[#This Row],[MONTO3]]+Tabla3[[#This Row],[MONTO4]]+Tabla3[[#This Row],[MONTO5]]+Tabla3[[#This Row],[MONTO6]]+Tabla3[[#This Row],[MONTO7]])</f>
        <v>75000000</v>
      </c>
      <c r="S29" s="199">
        <f>R29-(R29*10%)</f>
        <v>67500000</v>
      </c>
      <c r="T29" s="200">
        <f>(S29*1%)</f>
        <v>675000</v>
      </c>
      <c r="U29" s="200">
        <f>(Tabla3[[#This Row],[TOTAL -10%]]*Tabla3[[#This Row],[FIDUCIA]])</f>
        <v>0</v>
      </c>
      <c r="V29" s="200">
        <f>(Tabla3[[#This Row],[TOTAL -10%]]*Tabla3[[#This Row],[NUBE]])</f>
        <v>66825000</v>
      </c>
      <c r="W29" s="80" t="s">
        <v>40</v>
      </c>
      <c r="X29" s="78" t="s">
        <v>42</v>
      </c>
      <c r="Y29" s="79">
        <v>0.01</v>
      </c>
      <c r="Z29" s="79"/>
      <c r="AA29" s="79">
        <v>0.99</v>
      </c>
      <c r="AB29" s="81">
        <f>SUM(Y29:AA29)</f>
        <v>1</v>
      </c>
      <c r="AC29" s="76" t="str">
        <f t="shared" si="4"/>
        <v>OK</v>
      </c>
    </row>
    <row r="30" spans="1:107" ht="31.5" x14ac:dyDescent="0.5">
      <c r="A30" s="65">
        <f>(A28+1)</f>
        <v>10</v>
      </c>
      <c r="B30" s="149">
        <v>30301760</v>
      </c>
      <c r="C30" s="157" t="s">
        <v>1033</v>
      </c>
      <c r="D30" s="151">
        <v>12</v>
      </c>
      <c r="E30" s="152">
        <f>(Tabla3[[#This Row],[CANT]]*5000000)</f>
        <v>60000000</v>
      </c>
      <c r="F30" s="158"/>
      <c r="G30" s="152"/>
      <c r="H30" s="159">
        <v>1</v>
      </c>
      <c r="I30" s="152">
        <f>(Tabla3[[#This Row],[CANT3]]*7500000)</f>
        <v>7500000</v>
      </c>
      <c r="J30" s="160"/>
      <c r="K30" s="161"/>
      <c r="L30" s="160"/>
      <c r="M30" s="161"/>
      <c r="N30" s="160"/>
      <c r="O30" s="161"/>
      <c r="P30" s="160"/>
      <c r="Q30" s="161"/>
      <c r="R30" s="48">
        <f>(Tabla3[[#This Row],[MONTO]]+Tabla3[[#This Row],[MONTO2]]+Tabla3[[#This Row],[MONTO3]]+Tabla3[[#This Row],[MONTO4]]+Tabla3[[#This Row],[MONTO5]]+Tabla3[[#This Row],[MONTO6]]+Tabla3[[#This Row],[MONTO7]])</f>
        <v>67500000</v>
      </c>
      <c r="S30" s="49">
        <f t="shared" si="0"/>
        <v>60750000</v>
      </c>
      <c r="T30" s="51">
        <f t="shared" si="1"/>
        <v>607500</v>
      </c>
      <c r="U30" s="51">
        <f>(Tabla3[[#This Row],[TOTAL -10%]]*Tabla3[[#This Row],[FIDUCIA]])</f>
        <v>0</v>
      </c>
      <c r="V30" s="51">
        <f>(Tabla3[[#This Row],[TOTAL -10%]]*Tabla3[[#This Row],[NUBE]])</f>
        <v>60142500</v>
      </c>
      <c r="W30" s="80" t="s">
        <v>40</v>
      </c>
      <c r="X30" s="78" t="s">
        <v>43</v>
      </c>
      <c r="Y30" s="79">
        <v>0.01</v>
      </c>
      <c r="Z30" s="79"/>
      <c r="AA30" s="79">
        <v>0.99</v>
      </c>
      <c r="AB30" s="81">
        <f t="shared" si="3"/>
        <v>1</v>
      </c>
      <c r="AC30" s="76" t="str">
        <f t="shared" si="4"/>
        <v>OK</v>
      </c>
    </row>
    <row r="31" spans="1:107" ht="31.5" x14ac:dyDescent="0.5">
      <c r="A31" s="65">
        <f t="shared" si="2"/>
        <v>11</v>
      </c>
      <c r="B31" s="149">
        <v>9970468</v>
      </c>
      <c r="C31" s="157" t="s">
        <v>1020</v>
      </c>
      <c r="D31" s="151">
        <v>64</v>
      </c>
      <c r="E31" s="152">
        <f>(Tabla3[[#This Row],[CANT]]*5000000)</f>
        <v>320000000</v>
      </c>
      <c r="F31" s="158">
        <v>8</v>
      </c>
      <c r="G31" s="152">
        <f>(Tabla3[[#This Row],[CANT2]]*10000000)</f>
        <v>80000000</v>
      </c>
      <c r="H31" s="159">
        <v>1</v>
      </c>
      <c r="I31" s="152">
        <f>(Tabla3[[#This Row],[CANT3]]*7500000)</f>
        <v>7500000</v>
      </c>
      <c r="J31" s="160">
        <v>1</v>
      </c>
      <c r="K31" s="161">
        <f>(Tabla3[[#This Row],[CANT4]]*500000)</f>
        <v>500000</v>
      </c>
      <c r="L31" s="160"/>
      <c r="M31" s="161"/>
      <c r="N31" s="160"/>
      <c r="O31" s="161"/>
      <c r="P31" s="160"/>
      <c r="Q31" s="161"/>
      <c r="R31" s="48">
        <f>(Tabla3[[#This Row],[MONTO]]+Tabla3[[#This Row],[MONTO2]]+Tabla3[[#This Row],[MONTO3]]+Tabla3[[#This Row],[MONTO4]]+Tabla3[[#This Row],[MONTO5]]+Tabla3[[#This Row],[MONTO6]]+Tabla3[[#This Row],[MONTO7]])</f>
        <v>408000000</v>
      </c>
      <c r="S31" s="49">
        <f t="shared" si="0"/>
        <v>367200000</v>
      </c>
      <c r="T31" s="51">
        <f t="shared" si="1"/>
        <v>3672000</v>
      </c>
      <c r="U31" s="51">
        <f>(Tabla3[[#This Row],[TOTAL -10%]]*Tabla3[[#This Row],[FIDUCIA]])</f>
        <v>0</v>
      </c>
      <c r="V31" s="51">
        <f>(Tabla3[[#This Row],[TOTAL -10%]]*Tabla3[[#This Row],[NUBE]])</f>
        <v>363528000</v>
      </c>
      <c r="W31" s="80" t="s">
        <v>40</v>
      </c>
      <c r="X31" s="78" t="s">
        <v>43</v>
      </c>
      <c r="Y31" s="79">
        <v>0.01</v>
      </c>
      <c r="Z31" s="79"/>
      <c r="AA31" s="79">
        <v>0.99</v>
      </c>
      <c r="AB31" s="81">
        <f t="shared" si="3"/>
        <v>1</v>
      </c>
      <c r="AC31" s="76" t="str">
        <f t="shared" si="4"/>
        <v>OK</v>
      </c>
    </row>
    <row r="32" spans="1:107" ht="31.5" x14ac:dyDescent="0.5">
      <c r="A32" s="65">
        <f t="shared" si="2"/>
        <v>12</v>
      </c>
      <c r="B32" s="149">
        <v>10276687</v>
      </c>
      <c r="C32" s="157" t="s">
        <v>1011</v>
      </c>
      <c r="D32" s="151">
        <v>20</v>
      </c>
      <c r="E32" s="152">
        <f>(Tabla3[[#This Row],[CANT]]*5000000)</f>
        <v>100000000</v>
      </c>
      <c r="F32" s="158">
        <v>9</v>
      </c>
      <c r="G32" s="152">
        <f>(Tabla3[[#This Row],[CANT2]]*10000000)</f>
        <v>90000000</v>
      </c>
      <c r="H32" s="159">
        <v>5</v>
      </c>
      <c r="I32" s="152">
        <f>(Tabla3[[#This Row],[CANT3]]*7500000)</f>
        <v>37500000</v>
      </c>
      <c r="J32" s="160"/>
      <c r="K32" s="161"/>
      <c r="L32" s="160"/>
      <c r="M32" s="161"/>
      <c r="N32" s="160"/>
      <c r="O32" s="161"/>
      <c r="P32" s="160"/>
      <c r="Q32" s="161"/>
      <c r="R32" s="48">
        <f>(Tabla3[[#This Row],[MONTO]]+Tabla3[[#This Row],[MONTO2]]+Tabla3[[#This Row],[MONTO3]]+Tabla3[[#This Row],[MONTO4]]+Tabla3[[#This Row],[MONTO5]]+Tabla3[[#This Row],[MONTO6]]+Tabla3[[#This Row],[MONTO7]])</f>
        <v>227500000</v>
      </c>
      <c r="S32" s="63">
        <f t="shared" ref="S32:S34" si="5">R32-(R32*10%)</f>
        <v>204750000</v>
      </c>
      <c r="T32" s="51">
        <f t="shared" ref="T32:T34" si="6">(S32*1%)</f>
        <v>2047500</v>
      </c>
      <c r="U32" s="51">
        <f>(Tabla3[[#This Row],[TOTAL -10%]]*Tabla3[[#This Row],[FIDUCIA]])</f>
        <v>202702500</v>
      </c>
      <c r="V32" s="51">
        <f>(Tabla3[[#This Row],[TOTAL -10%]]*Tabla3[[#This Row],[NUBE]])</f>
        <v>0</v>
      </c>
      <c r="W32" s="80" t="s">
        <v>40</v>
      </c>
      <c r="X32" s="78" t="s">
        <v>42</v>
      </c>
      <c r="Y32" s="79">
        <v>0.01</v>
      </c>
      <c r="Z32" s="79">
        <v>0.99</v>
      </c>
      <c r="AA32" s="79"/>
      <c r="AB32" s="81">
        <f t="shared" si="3"/>
        <v>1</v>
      </c>
      <c r="AC32" s="76" t="str">
        <f t="shared" si="4"/>
        <v>OK</v>
      </c>
    </row>
    <row r="33" spans="1:29" ht="31.5" x14ac:dyDescent="0.5">
      <c r="A33" s="65">
        <f t="shared" si="2"/>
        <v>13</v>
      </c>
      <c r="B33" s="149">
        <v>24246828</v>
      </c>
      <c r="C33" s="157" t="s">
        <v>995</v>
      </c>
      <c r="D33" s="151">
        <v>99</v>
      </c>
      <c r="E33" s="152">
        <f>(Tabla3[[#This Row],[CANT]]*5000000)</f>
        <v>495000000</v>
      </c>
      <c r="F33" s="158">
        <v>16</v>
      </c>
      <c r="G33" s="152">
        <f>(Tabla3[[#This Row],[CANT2]]*10000000)</f>
        <v>160000000</v>
      </c>
      <c r="H33" s="159">
        <v>9</v>
      </c>
      <c r="I33" s="152">
        <f>(Tabla3[[#This Row],[CANT3]]*7500000)</f>
        <v>67500000</v>
      </c>
      <c r="J33" s="160">
        <v>2</v>
      </c>
      <c r="K33" s="161">
        <f>(Tabla3[[#This Row],[CANT4]]*500000)</f>
        <v>1000000</v>
      </c>
      <c r="L33" s="160"/>
      <c r="M33" s="161"/>
      <c r="N33" s="160">
        <v>1</v>
      </c>
      <c r="O33" s="161">
        <f>(Tabla3[[#This Row],[CANT6]]*200000)</f>
        <v>200000</v>
      </c>
      <c r="P33" s="160"/>
      <c r="Q33" s="161"/>
      <c r="R33" s="48">
        <f>(Tabla3[[#This Row],[MONTO]]+Tabla3[[#This Row],[MONTO2]]+Tabla3[[#This Row],[MONTO3]]+Tabla3[[#This Row],[MONTO4]]+Tabla3[[#This Row],[MONTO5]]+Tabla3[[#This Row],[MONTO6]]+Tabla3[[#This Row],[MONTO7]])</f>
        <v>723700000</v>
      </c>
      <c r="S33" s="63">
        <f t="shared" si="5"/>
        <v>651330000</v>
      </c>
      <c r="T33" s="51">
        <f t="shared" si="6"/>
        <v>6513300</v>
      </c>
      <c r="U33" s="51">
        <f>(Tabla3[[#This Row],[TOTAL -10%]]*Tabla3[[#This Row],[FIDUCIA]])</f>
        <v>0</v>
      </c>
      <c r="V33" s="51">
        <f>(Tabla3[[#This Row],[TOTAL -10%]]*Tabla3[[#This Row],[NUBE]])</f>
        <v>644816700</v>
      </c>
      <c r="W33" s="80" t="s">
        <v>40</v>
      </c>
      <c r="X33" s="78" t="s">
        <v>43</v>
      </c>
      <c r="Y33" s="79">
        <v>0.01</v>
      </c>
      <c r="Z33" s="79"/>
      <c r="AA33" s="79">
        <v>0.99</v>
      </c>
      <c r="AB33" s="81">
        <f t="shared" si="3"/>
        <v>1</v>
      </c>
      <c r="AC33" s="76" t="str">
        <f t="shared" si="4"/>
        <v>OK</v>
      </c>
    </row>
    <row r="34" spans="1:29" ht="31.5" x14ac:dyDescent="0.5">
      <c r="A34" s="65">
        <f t="shared" si="2"/>
        <v>14</v>
      </c>
      <c r="B34" s="149">
        <v>1004773723</v>
      </c>
      <c r="C34" s="157" t="s">
        <v>986</v>
      </c>
      <c r="D34" s="151">
        <v>1</v>
      </c>
      <c r="E34" s="152">
        <f>(Tabla3[[#This Row],[CANT]]*5000000)</f>
        <v>5000000</v>
      </c>
      <c r="F34" s="158">
        <v>1</v>
      </c>
      <c r="G34" s="152">
        <f>(Tabla3[[#This Row],[CANT2]]*10000000)</f>
        <v>10000000</v>
      </c>
      <c r="H34" s="159">
        <v>2</v>
      </c>
      <c r="I34" s="152">
        <f>(Tabla3[[#This Row],[CANT3]]*7500000)</f>
        <v>15000000</v>
      </c>
      <c r="J34" s="160"/>
      <c r="K34" s="161"/>
      <c r="L34" s="160"/>
      <c r="M34" s="161"/>
      <c r="N34" s="160"/>
      <c r="O34" s="161"/>
      <c r="P34" s="160"/>
      <c r="Q34" s="161"/>
      <c r="R34" s="48">
        <f>(Tabla3[[#This Row],[MONTO]]+Tabla3[[#This Row],[MONTO2]]+Tabla3[[#This Row],[MONTO3]]+Tabla3[[#This Row],[MONTO4]]+Tabla3[[#This Row],[MONTO5]]+Tabla3[[#This Row],[MONTO6]]+Tabla3[[#This Row],[MONTO7]])</f>
        <v>30000000</v>
      </c>
      <c r="S34" s="63">
        <f t="shared" si="5"/>
        <v>27000000</v>
      </c>
      <c r="T34" s="51">
        <f t="shared" si="6"/>
        <v>270000</v>
      </c>
      <c r="U34" s="51">
        <f>(Tabla3[[#This Row],[TOTAL -10%]]*Tabla3[[#This Row],[FIDUCIA]])</f>
        <v>26730000</v>
      </c>
      <c r="V34" s="51">
        <f>(Tabla3[[#This Row],[TOTAL -10%]]*Tabla3[[#This Row],[NUBE]])</f>
        <v>0</v>
      </c>
      <c r="W34" s="80" t="s">
        <v>40</v>
      </c>
      <c r="X34" s="78" t="s">
        <v>42</v>
      </c>
      <c r="Y34" s="79">
        <v>0.01</v>
      </c>
      <c r="Z34" s="79">
        <v>0.99</v>
      </c>
      <c r="AA34" s="79"/>
      <c r="AB34" s="81">
        <f t="shared" si="3"/>
        <v>1</v>
      </c>
      <c r="AC34" s="76" t="str">
        <f t="shared" si="4"/>
        <v>OK</v>
      </c>
    </row>
    <row r="35" spans="1:29" ht="31.5" x14ac:dyDescent="0.5">
      <c r="A35" s="65">
        <f t="shared" si="2"/>
        <v>15</v>
      </c>
      <c r="B35" s="149">
        <v>13079041</v>
      </c>
      <c r="C35" s="157" t="s">
        <v>982</v>
      </c>
      <c r="D35" s="151">
        <v>2</v>
      </c>
      <c r="E35" s="152">
        <f>(Tabla3[[#This Row],[CANT]]*5000000)</f>
        <v>10000000</v>
      </c>
      <c r="F35" s="158">
        <v>3</v>
      </c>
      <c r="G35" s="152">
        <f>(Tabla3[[#This Row],[CANT2]]*10000000)</f>
        <v>30000000</v>
      </c>
      <c r="H35" s="159">
        <v>2</v>
      </c>
      <c r="I35" s="152">
        <f>(Tabla3[[#This Row],[CANT3]]*7500000)</f>
        <v>15000000</v>
      </c>
      <c r="J35" s="160"/>
      <c r="K35" s="161"/>
      <c r="L35" s="160"/>
      <c r="M35" s="161"/>
      <c r="N35" s="160"/>
      <c r="O35" s="161"/>
      <c r="P35" s="160"/>
      <c r="Q35" s="161"/>
      <c r="R35" s="48">
        <f>(Tabla3[[#This Row],[MONTO]]+Tabla3[[#This Row],[MONTO2]]+Tabla3[[#This Row],[MONTO3]]+Tabla3[[#This Row],[MONTO4]]+Tabla3[[#This Row],[MONTO5]]+Tabla3[[#This Row],[MONTO6]]+Tabla3[[#This Row],[MONTO7]])</f>
        <v>55000000</v>
      </c>
      <c r="S35" s="63">
        <f t="shared" ref="S35:S65" si="7">R35-(R35*10%)</f>
        <v>49500000</v>
      </c>
      <c r="T35" s="51">
        <f t="shared" ref="T35:T65" si="8">(S35*1%)</f>
        <v>495000</v>
      </c>
      <c r="U35" s="51">
        <f>(Tabla3[[#This Row],[TOTAL -10%]]*Tabla3[[#This Row],[FIDUCIA]])</f>
        <v>49005000</v>
      </c>
      <c r="V35" s="51">
        <f>(Tabla3[[#This Row],[TOTAL -10%]]*Tabla3[[#This Row],[NUBE]])</f>
        <v>0</v>
      </c>
      <c r="W35" s="80" t="s">
        <v>40</v>
      </c>
      <c r="X35" s="78" t="s">
        <v>42</v>
      </c>
      <c r="Y35" s="79">
        <v>0.01</v>
      </c>
      <c r="Z35" s="79">
        <v>0.99</v>
      </c>
      <c r="AA35" s="79"/>
      <c r="AB35" s="81">
        <f t="shared" ref="AB35:AB65" si="9">SUM(Y35:AA35)</f>
        <v>1</v>
      </c>
      <c r="AC35" s="76" t="str">
        <f t="shared" si="4"/>
        <v>OK</v>
      </c>
    </row>
    <row r="36" spans="1:29" ht="31.5" x14ac:dyDescent="0.5">
      <c r="A36" s="65">
        <f t="shared" si="2"/>
        <v>16</v>
      </c>
      <c r="B36" s="149">
        <v>75060017</v>
      </c>
      <c r="C36" s="157" t="s">
        <v>976</v>
      </c>
      <c r="D36" s="151">
        <v>8</v>
      </c>
      <c r="E36" s="152">
        <f>(Tabla3[[#This Row],[CANT]]*5000000)</f>
        <v>40000000</v>
      </c>
      <c r="F36" s="158">
        <v>3</v>
      </c>
      <c r="G36" s="152">
        <f>(Tabla3[[#This Row],[CANT2]]*10000000)</f>
        <v>30000000</v>
      </c>
      <c r="H36" s="159"/>
      <c r="I36" s="152"/>
      <c r="J36" s="160"/>
      <c r="K36" s="161"/>
      <c r="L36" s="160"/>
      <c r="M36" s="161"/>
      <c r="N36" s="160"/>
      <c r="O36" s="161"/>
      <c r="P36" s="160"/>
      <c r="Q36" s="161"/>
      <c r="R36" s="48">
        <f>(Tabla3[[#This Row],[MONTO]]+Tabla3[[#This Row],[MONTO2]]+Tabla3[[#This Row],[MONTO3]]+Tabla3[[#This Row],[MONTO4]]+Tabla3[[#This Row],[MONTO5]]+Tabla3[[#This Row],[MONTO6]]+Tabla3[[#This Row],[MONTO7]])</f>
        <v>70000000</v>
      </c>
      <c r="S36" s="63">
        <f t="shared" si="7"/>
        <v>63000000</v>
      </c>
      <c r="T36" s="51">
        <f t="shared" si="8"/>
        <v>630000</v>
      </c>
      <c r="U36" s="118">
        <f>(Tabla3[[#This Row],[TOTAL -10%]]*Tabla3[[#This Row],[FIDUCIA]])</f>
        <v>62370000</v>
      </c>
      <c r="V36" s="118">
        <f>(Tabla3[[#This Row],[TOTAL -10%]]*Tabla3[[#This Row],[NUBE]])</f>
        <v>0</v>
      </c>
      <c r="W36" s="80" t="s">
        <v>40</v>
      </c>
      <c r="X36" s="78" t="s">
        <v>1101</v>
      </c>
      <c r="Y36" s="79">
        <v>0.01</v>
      </c>
      <c r="Z36" s="79">
        <v>0.99</v>
      </c>
      <c r="AA36" s="79"/>
      <c r="AB36" s="81">
        <f t="shared" si="9"/>
        <v>1</v>
      </c>
      <c r="AC36" s="76" t="str">
        <f t="shared" si="4"/>
        <v>OK</v>
      </c>
    </row>
    <row r="37" spans="1:29" ht="31.5" x14ac:dyDescent="0.5">
      <c r="A37" s="65">
        <f t="shared" si="2"/>
        <v>17</v>
      </c>
      <c r="B37" s="149">
        <v>42085517</v>
      </c>
      <c r="C37" s="157" t="s">
        <v>964</v>
      </c>
      <c r="D37" s="151">
        <v>17</v>
      </c>
      <c r="E37" s="152">
        <f>(Tabla3[[#This Row],[CANT]]*5000000)</f>
        <v>85000000</v>
      </c>
      <c r="F37" s="158">
        <v>15</v>
      </c>
      <c r="G37" s="152">
        <f>(Tabla3[[#This Row],[CANT2]]*10000000)</f>
        <v>150000000</v>
      </c>
      <c r="H37" s="159">
        <v>3</v>
      </c>
      <c r="I37" s="152">
        <f>(Tabla3[[#This Row],[CANT3]]*7500000)</f>
        <v>22500000</v>
      </c>
      <c r="J37" s="160"/>
      <c r="K37" s="161"/>
      <c r="L37" s="160"/>
      <c r="M37" s="161"/>
      <c r="N37" s="160"/>
      <c r="O37" s="161"/>
      <c r="P37" s="160"/>
      <c r="Q37" s="161"/>
      <c r="R37" s="48">
        <f>(Tabla3[[#This Row],[MONTO]]+Tabla3[[#This Row],[MONTO2]]+Tabla3[[#This Row],[MONTO3]]+Tabla3[[#This Row],[MONTO4]]+Tabla3[[#This Row],[MONTO5]]+Tabla3[[#This Row],[MONTO6]]+Tabla3[[#This Row],[MONTO7]])</f>
        <v>257500000</v>
      </c>
      <c r="S37" s="63">
        <f t="shared" si="7"/>
        <v>231750000</v>
      </c>
      <c r="T37" s="51">
        <f t="shared" si="8"/>
        <v>2317500</v>
      </c>
      <c r="U37" s="118">
        <f>(Tabla3[[#This Row],[TOTAL -10%]]*Tabla3[[#This Row],[FIDUCIA]])</f>
        <v>0</v>
      </c>
      <c r="V37" s="118">
        <f>(Tabla3[[#This Row],[TOTAL -10%]]*Tabla3[[#This Row],[NUBE]])</f>
        <v>229432500</v>
      </c>
      <c r="W37" s="80" t="s">
        <v>40</v>
      </c>
      <c r="X37" s="78" t="s">
        <v>43</v>
      </c>
      <c r="Y37" s="79">
        <v>0.01</v>
      </c>
      <c r="Z37" s="79"/>
      <c r="AA37" s="79">
        <v>0.99</v>
      </c>
      <c r="AB37" s="81">
        <f t="shared" si="9"/>
        <v>1</v>
      </c>
      <c r="AC37" s="76" t="str">
        <f t="shared" si="4"/>
        <v>OK</v>
      </c>
    </row>
    <row r="38" spans="1:29" ht="31.5" x14ac:dyDescent="0.5">
      <c r="A38" s="65">
        <f t="shared" si="2"/>
        <v>18</v>
      </c>
      <c r="B38" s="149">
        <v>4612227</v>
      </c>
      <c r="C38" s="157" t="s">
        <v>958</v>
      </c>
      <c r="D38" s="151">
        <v>2</v>
      </c>
      <c r="E38" s="152">
        <f>(Tabla3[[#This Row],[CANT]]*5000000)</f>
        <v>10000000</v>
      </c>
      <c r="F38" s="158"/>
      <c r="G38" s="152"/>
      <c r="H38" s="159"/>
      <c r="I38" s="152"/>
      <c r="J38" s="160"/>
      <c r="K38" s="161"/>
      <c r="L38" s="160"/>
      <c r="M38" s="161"/>
      <c r="N38" s="160"/>
      <c r="O38" s="161"/>
      <c r="P38" s="160"/>
      <c r="Q38" s="161"/>
      <c r="R38" s="48">
        <f>(Tabla3[[#This Row],[MONTO]]+Tabla3[[#This Row],[MONTO2]]+Tabla3[[#This Row],[MONTO3]]+Tabla3[[#This Row],[MONTO4]]+Tabla3[[#This Row],[MONTO5]]+Tabla3[[#This Row],[MONTO6]]+Tabla3[[#This Row],[MONTO7]])</f>
        <v>10000000</v>
      </c>
      <c r="S38" s="63">
        <f t="shared" si="7"/>
        <v>9000000</v>
      </c>
      <c r="T38" s="51">
        <f t="shared" si="8"/>
        <v>90000</v>
      </c>
      <c r="U38" s="118">
        <f>(Tabla3[[#This Row],[TOTAL -10%]]*Tabla3[[#This Row],[FIDUCIA]])</f>
        <v>0</v>
      </c>
      <c r="V38" s="118">
        <f>(Tabla3[[#This Row],[TOTAL -10%]]*Tabla3[[#This Row],[NUBE]])</f>
        <v>8910000</v>
      </c>
      <c r="W38" s="80" t="s">
        <v>40</v>
      </c>
      <c r="X38" s="78" t="s">
        <v>43</v>
      </c>
      <c r="Y38" s="79">
        <v>0.01</v>
      </c>
      <c r="Z38" s="79"/>
      <c r="AA38" s="79">
        <v>0.99</v>
      </c>
      <c r="AB38" s="81">
        <f t="shared" si="9"/>
        <v>1</v>
      </c>
      <c r="AC38" s="76" t="str">
        <f t="shared" si="4"/>
        <v>OK</v>
      </c>
    </row>
    <row r="39" spans="1:29" ht="31.5" x14ac:dyDescent="0.5">
      <c r="A39" s="65">
        <f t="shared" si="2"/>
        <v>19</v>
      </c>
      <c r="B39" s="149">
        <v>42081364</v>
      </c>
      <c r="C39" s="157" t="s">
        <v>936</v>
      </c>
      <c r="D39" s="151">
        <v>24</v>
      </c>
      <c r="E39" s="152">
        <f>(Tabla3[[#This Row],[CANT]]*5000000)</f>
        <v>120000000</v>
      </c>
      <c r="F39" s="158">
        <v>19</v>
      </c>
      <c r="G39" s="152">
        <f>(Tabla3[[#This Row],[CANT2]]*10000000)</f>
        <v>190000000</v>
      </c>
      <c r="H39" s="159">
        <v>6</v>
      </c>
      <c r="I39" s="152">
        <f>(Tabla3[[#This Row],[CANT3]]*7500000)</f>
        <v>45000000</v>
      </c>
      <c r="J39" s="160"/>
      <c r="K39" s="161"/>
      <c r="L39" s="160"/>
      <c r="M39" s="161"/>
      <c r="N39" s="160"/>
      <c r="O39" s="161"/>
      <c r="P39" s="160"/>
      <c r="Q39" s="161"/>
      <c r="R39" s="48">
        <f>(Tabla3[[#This Row],[MONTO]]+Tabla3[[#This Row],[MONTO2]]+Tabla3[[#This Row],[MONTO3]]+Tabla3[[#This Row],[MONTO4]]+Tabla3[[#This Row],[MONTO5]]+Tabla3[[#This Row],[MONTO6]]+Tabla3[[#This Row],[MONTO7]])</f>
        <v>355000000</v>
      </c>
      <c r="S39" s="63">
        <f t="shared" si="7"/>
        <v>319500000</v>
      </c>
      <c r="T39" s="51">
        <f t="shared" si="8"/>
        <v>3195000</v>
      </c>
      <c r="U39" s="118">
        <f>(Tabla3[[#This Row],[TOTAL -10%]]*Tabla3[[#This Row],[FIDUCIA]])</f>
        <v>0</v>
      </c>
      <c r="V39" s="118">
        <f>(Tabla3[[#This Row],[TOTAL -10%]]*Tabla3[[#This Row],[NUBE]])</f>
        <v>316305000</v>
      </c>
      <c r="W39" s="80" t="s">
        <v>40</v>
      </c>
      <c r="X39" s="78" t="s">
        <v>43</v>
      </c>
      <c r="Y39" s="79">
        <v>0.01</v>
      </c>
      <c r="Z39" s="79"/>
      <c r="AA39" s="79">
        <v>0.99</v>
      </c>
      <c r="AB39" s="81">
        <f t="shared" si="9"/>
        <v>1</v>
      </c>
      <c r="AC39" s="76" t="str">
        <f t="shared" si="4"/>
        <v>OK</v>
      </c>
    </row>
    <row r="40" spans="1:29" ht="31.5" x14ac:dyDescent="0.5">
      <c r="A40" s="65">
        <f t="shared" si="2"/>
        <v>20</v>
      </c>
      <c r="B40" s="149">
        <v>34566045</v>
      </c>
      <c r="C40" s="157" t="s">
        <v>920</v>
      </c>
      <c r="D40" s="151">
        <v>11</v>
      </c>
      <c r="E40" s="152">
        <f>(Tabla3[[#This Row],[CANT]]*5000000)</f>
        <v>55000000</v>
      </c>
      <c r="F40" s="158">
        <v>15</v>
      </c>
      <c r="G40" s="152">
        <f>(Tabla3[[#This Row],[CANT2]]*10000000)</f>
        <v>150000000</v>
      </c>
      <c r="H40" s="159">
        <v>10</v>
      </c>
      <c r="I40" s="152">
        <f>(Tabla3[[#This Row],[CANT3]]*7500000)</f>
        <v>75000000</v>
      </c>
      <c r="J40" s="160">
        <v>3</v>
      </c>
      <c r="K40" s="161">
        <f>(Tabla3[[#This Row],[CANT4]]*500000)</f>
        <v>1500000</v>
      </c>
      <c r="L40" s="160"/>
      <c r="M40" s="161"/>
      <c r="N40" s="160"/>
      <c r="O40" s="161"/>
      <c r="P40" s="160"/>
      <c r="Q40" s="161"/>
      <c r="R40" s="48">
        <f>(Tabla3[[#This Row],[MONTO]]+Tabla3[[#This Row],[MONTO2]]+Tabla3[[#This Row],[MONTO3]]+Tabla3[[#This Row],[MONTO4]]+Tabla3[[#This Row],[MONTO5]]+Tabla3[[#This Row],[MONTO6]]+Tabla3[[#This Row],[MONTO7]])</f>
        <v>281500000</v>
      </c>
      <c r="S40" s="63">
        <f t="shared" si="7"/>
        <v>253350000</v>
      </c>
      <c r="T40" s="51">
        <f t="shared" si="8"/>
        <v>2533500</v>
      </c>
      <c r="U40" s="118">
        <f>(Tabla3[[#This Row],[TOTAL -10%]]*Tabla3[[#This Row],[FIDUCIA]])</f>
        <v>0</v>
      </c>
      <c r="V40" s="118">
        <f>(Tabla3[[#This Row],[TOTAL -10%]]*Tabla3[[#This Row],[NUBE]])</f>
        <v>250816500</v>
      </c>
      <c r="W40" s="80" t="s">
        <v>40</v>
      </c>
      <c r="X40" s="78" t="s">
        <v>43</v>
      </c>
      <c r="Y40" s="79">
        <v>0.01</v>
      </c>
      <c r="Z40" s="79"/>
      <c r="AA40" s="79">
        <v>0.99</v>
      </c>
      <c r="AB40" s="81">
        <f t="shared" si="9"/>
        <v>1</v>
      </c>
      <c r="AC40" s="76" t="str">
        <f t="shared" si="4"/>
        <v>OK</v>
      </c>
    </row>
    <row r="41" spans="1:29" ht="31.5" x14ac:dyDescent="0.5">
      <c r="A41" s="65">
        <f t="shared" si="2"/>
        <v>21</v>
      </c>
      <c r="B41" s="149">
        <v>30337930</v>
      </c>
      <c r="C41" s="157" t="s">
        <v>915</v>
      </c>
      <c r="D41" s="151">
        <v>2</v>
      </c>
      <c r="E41" s="152">
        <f>(Tabla3[[#This Row],[CANT]]*5000000)</f>
        <v>10000000</v>
      </c>
      <c r="F41" s="158">
        <v>3</v>
      </c>
      <c r="G41" s="152">
        <f>(Tabla3[[#This Row],[CANT2]]*10000000)</f>
        <v>30000000</v>
      </c>
      <c r="H41" s="159">
        <v>2</v>
      </c>
      <c r="I41" s="152">
        <f>(Tabla3[[#This Row],[CANT3]]*7500000)</f>
        <v>15000000</v>
      </c>
      <c r="J41" s="160"/>
      <c r="K41" s="161"/>
      <c r="L41" s="160"/>
      <c r="M41" s="161"/>
      <c r="N41" s="160"/>
      <c r="O41" s="161"/>
      <c r="P41" s="160"/>
      <c r="Q41" s="161"/>
      <c r="R41" s="48">
        <f>(Tabla3[[#This Row],[MONTO]]+Tabla3[[#This Row],[MONTO2]]+Tabla3[[#This Row],[MONTO3]]+Tabla3[[#This Row],[MONTO4]]+Tabla3[[#This Row],[MONTO5]]+Tabla3[[#This Row],[MONTO6]]+Tabla3[[#This Row],[MONTO7]])</f>
        <v>55000000</v>
      </c>
      <c r="S41" s="63">
        <f t="shared" si="7"/>
        <v>49500000</v>
      </c>
      <c r="T41" s="51">
        <f t="shared" si="8"/>
        <v>495000</v>
      </c>
      <c r="U41" s="118">
        <f>(Tabla3[[#This Row],[TOTAL -10%]]*Tabla3[[#This Row],[FIDUCIA]])</f>
        <v>49005000</v>
      </c>
      <c r="V41" s="118">
        <f>(Tabla3[[#This Row],[TOTAL -10%]]*Tabla3[[#This Row],[NUBE]])</f>
        <v>0</v>
      </c>
      <c r="W41" s="80" t="s">
        <v>40</v>
      </c>
      <c r="X41" s="78" t="s">
        <v>42</v>
      </c>
      <c r="Y41" s="79">
        <v>0.01</v>
      </c>
      <c r="Z41" s="79">
        <v>0.99</v>
      </c>
      <c r="AA41" s="79"/>
      <c r="AB41" s="81">
        <f t="shared" si="9"/>
        <v>1</v>
      </c>
      <c r="AC41" s="76" t="str">
        <f t="shared" si="4"/>
        <v>OK</v>
      </c>
    </row>
    <row r="42" spans="1:29" ht="31.5" x14ac:dyDescent="0.5">
      <c r="A42" s="65">
        <f t="shared" si="2"/>
        <v>22</v>
      </c>
      <c r="B42" s="149">
        <v>1053860357</v>
      </c>
      <c r="C42" s="157" t="s">
        <v>910</v>
      </c>
      <c r="D42" s="151">
        <v>2</v>
      </c>
      <c r="E42" s="152">
        <f>(Tabla3[[#This Row],[CANT]]*5000000)</f>
        <v>10000000</v>
      </c>
      <c r="F42" s="158"/>
      <c r="G42" s="152"/>
      <c r="H42" s="159">
        <v>1</v>
      </c>
      <c r="I42" s="152">
        <f>(Tabla3[[#This Row],[CANT3]]*7500000)</f>
        <v>7500000</v>
      </c>
      <c r="J42" s="160"/>
      <c r="K42" s="161"/>
      <c r="L42" s="160"/>
      <c r="M42" s="161"/>
      <c r="N42" s="160"/>
      <c r="O42" s="161"/>
      <c r="P42" s="160"/>
      <c r="Q42" s="161"/>
      <c r="R42" s="48">
        <f>(Tabla3[[#This Row],[MONTO]]+Tabla3[[#This Row],[MONTO2]]+Tabla3[[#This Row],[MONTO3]]+Tabla3[[#This Row],[MONTO4]]+Tabla3[[#This Row],[MONTO5]]+Tabla3[[#This Row],[MONTO6]]+Tabla3[[#This Row],[MONTO7]])</f>
        <v>17500000</v>
      </c>
      <c r="S42" s="63">
        <f t="shared" si="7"/>
        <v>15750000</v>
      </c>
      <c r="T42" s="51">
        <f t="shared" si="8"/>
        <v>157500</v>
      </c>
      <c r="U42" s="118">
        <f>(Tabla3[[#This Row],[TOTAL -10%]]*Tabla3[[#This Row],[FIDUCIA]])</f>
        <v>0</v>
      </c>
      <c r="V42" s="118">
        <f>(Tabla3[[#This Row],[TOTAL -10%]]*Tabla3[[#This Row],[NUBE]])</f>
        <v>15592500</v>
      </c>
      <c r="W42" s="80" t="s">
        <v>40</v>
      </c>
      <c r="X42" s="78" t="s">
        <v>43</v>
      </c>
      <c r="Y42" s="79">
        <v>0.01</v>
      </c>
      <c r="Z42" s="79"/>
      <c r="AA42" s="79">
        <v>0.99</v>
      </c>
      <c r="AB42" s="81">
        <f t="shared" si="9"/>
        <v>1</v>
      </c>
      <c r="AC42" s="76" t="str">
        <f t="shared" si="4"/>
        <v>OK</v>
      </c>
    </row>
    <row r="43" spans="1:29" ht="31.5" x14ac:dyDescent="0.5">
      <c r="A43" s="65">
        <f t="shared" si="2"/>
        <v>23</v>
      </c>
      <c r="B43" s="149">
        <v>38847495</v>
      </c>
      <c r="C43" s="157" t="s">
        <v>904</v>
      </c>
      <c r="D43" s="151">
        <v>20</v>
      </c>
      <c r="E43" s="152">
        <f>(Tabla3[[#This Row],[CANT]]*5000000)</f>
        <v>100000000</v>
      </c>
      <c r="F43" s="158"/>
      <c r="G43" s="152"/>
      <c r="H43" s="159"/>
      <c r="I43" s="152"/>
      <c r="J43" s="160"/>
      <c r="K43" s="161"/>
      <c r="L43" s="160"/>
      <c r="M43" s="161"/>
      <c r="N43" s="160"/>
      <c r="O43" s="161"/>
      <c r="P43" s="160"/>
      <c r="Q43" s="161"/>
      <c r="R43" s="48">
        <f>(Tabla3[[#This Row],[MONTO]]+Tabla3[[#This Row],[MONTO2]]+Tabla3[[#This Row],[MONTO3]]+Tabla3[[#This Row],[MONTO4]]+Tabla3[[#This Row],[MONTO5]]+Tabla3[[#This Row],[MONTO6]]+Tabla3[[#This Row],[MONTO7]])</f>
        <v>100000000</v>
      </c>
      <c r="S43" s="63">
        <f t="shared" si="7"/>
        <v>90000000</v>
      </c>
      <c r="T43" s="51">
        <f t="shared" si="8"/>
        <v>900000</v>
      </c>
      <c r="U43" s="118">
        <f>(Tabla3[[#This Row],[TOTAL -10%]]*Tabla3[[#This Row],[FIDUCIA]])</f>
        <v>0</v>
      </c>
      <c r="V43" s="118">
        <f>(Tabla3[[#This Row],[TOTAL -10%]]*Tabla3[[#This Row],[NUBE]])</f>
        <v>89100000</v>
      </c>
      <c r="W43" s="80" t="s">
        <v>40</v>
      </c>
      <c r="X43" s="78" t="s">
        <v>43</v>
      </c>
      <c r="Y43" s="79">
        <v>0.01</v>
      </c>
      <c r="Z43" s="79"/>
      <c r="AA43" s="79">
        <v>0.99</v>
      </c>
      <c r="AB43" s="81">
        <f t="shared" si="9"/>
        <v>1</v>
      </c>
      <c r="AC43" s="76" t="str">
        <f t="shared" si="4"/>
        <v>OK</v>
      </c>
    </row>
    <row r="44" spans="1:29" ht="31.5" x14ac:dyDescent="0.5">
      <c r="A44" s="65">
        <f t="shared" si="2"/>
        <v>24</v>
      </c>
      <c r="B44" s="149">
        <v>40369286</v>
      </c>
      <c r="C44" s="157" t="s">
        <v>899</v>
      </c>
      <c r="D44" s="151">
        <v>5</v>
      </c>
      <c r="E44" s="152">
        <f>(Tabla3[[#This Row],[CANT]]*5000000)</f>
        <v>25000000</v>
      </c>
      <c r="F44" s="158"/>
      <c r="G44" s="152"/>
      <c r="H44" s="159"/>
      <c r="I44" s="152"/>
      <c r="J44" s="160"/>
      <c r="K44" s="161"/>
      <c r="L44" s="160"/>
      <c r="M44" s="161"/>
      <c r="N44" s="160"/>
      <c r="O44" s="161"/>
      <c r="P44" s="160"/>
      <c r="Q44" s="161"/>
      <c r="R44" s="48">
        <f>(Tabla3[[#This Row],[MONTO]]+Tabla3[[#This Row],[MONTO2]]+Tabla3[[#This Row],[MONTO3]]+Tabla3[[#This Row],[MONTO4]]+Tabla3[[#This Row],[MONTO5]]+Tabla3[[#This Row],[MONTO6]]+Tabla3[[#This Row],[MONTO7]])</f>
        <v>25000000</v>
      </c>
      <c r="S44" s="63">
        <f t="shared" si="7"/>
        <v>22500000</v>
      </c>
      <c r="T44" s="51">
        <f t="shared" si="8"/>
        <v>225000</v>
      </c>
      <c r="U44" s="118">
        <f>(Tabla3[[#This Row],[TOTAL -10%]]*Tabla3[[#This Row],[FIDUCIA]])</f>
        <v>22275000</v>
      </c>
      <c r="V44" s="118">
        <f>(Tabla3[[#This Row],[TOTAL -10%]]*Tabla3[[#This Row],[NUBE]])</f>
        <v>0</v>
      </c>
      <c r="W44" s="80" t="s">
        <v>40</v>
      </c>
      <c r="X44" s="78" t="s">
        <v>42</v>
      </c>
      <c r="Y44" s="79">
        <v>0.01</v>
      </c>
      <c r="Z44" s="79">
        <v>0.99</v>
      </c>
      <c r="AA44" s="79"/>
      <c r="AB44" s="81">
        <f t="shared" si="9"/>
        <v>1</v>
      </c>
      <c r="AC44" s="76" t="str">
        <f t="shared" si="4"/>
        <v>OK</v>
      </c>
    </row>
    <row r="45" spans="1:29" ht="31.5" x14ac:dyDescent="0.5">
      <c r="A45" s="65">
        <f t="shared" si="2"/>
        <v>25</v>
      </c>
      <c r="B45" s="149">
        <v>43872922</v>
      </c>
      <c r="C45" s="157" t="s">
        <v>891</v>
      </c>
      <c r="D45" s="151">
        <v>4</v>
      </c>
      <c r="E45" s="152">
        <f>(Tabla3[[#This Row],[CANT]]*5000000)</f>
        <v>20000000</v>
      </c>
      <c r="F45" s="158">
        <v>4</v>
      </c>
      <c r="G45" s="152">
        <f>(Tabla3[[#This Row],[CANT2]]*10000000)</f>
        <v>40000000</v>
      </c>
      <c r="H45" s="159"/>
      <c r="I45" s="152"/>
      <c r="J45" s="160"/>
      <c r="K45" s="161"/>
      <c r="L45" s="160">
        <v>1</v>
      </c>
      <c r="M45" s="161">
        <f>(L45*12500000)</f>
        <v>12500000</v>
      </c>
      <c r="N45" s="160">
        <v>1</v>
      </c>
      <c r="O45" s="161">
        <f>(N45*200000)</f>
        <v>200000</v>
      </c>
      <c r="P45" s="160"/>
      <c r="Q45" s="161"/>
      <c r="R45" s="48">
        <f>(Tabla3[[#This Row],[MONTO]]+Tabla3[[#This Row],[MONTO2]]+Tabla3[[#This Row],[MONTO3]]+Tabla3[[#This Row],[MONTO4]]+Tabla3[[#This Row],[MONTO5]]+Tabla3[[#This Row],[MONTO6]]+Tabla3[[#This Row],[MONTO7]])</f>
        <v>72700000</v>
      </c>
      <c r="S45" s="63">
        <f t="shared" si="7"/>
        <v>65430000</v>
      </c>
      <c r="T45" s="51">
        <f t="shared" si="8"/>
        <v>654300</v>
      </c>
      <c r="U45" s="118">
        <f>(Tabla3[[#This Row],[TOTAL -10%]]*Tabla3[[#This Row],[FIDUCIA]])</f>
        <v>0</v>
      </c>
      <c r="V45" s="118">
        <f>(Tabla3[[#This Row],[TOTAL -10%]]*Tabla3[[#This Row],[NUBE]])</f>
        <v>64775700</v>
      </c>
      <c r="W45" s="80" t="s">
        <v>40</v>
      </c>
      <c r="X45" s="78" t="s">
        <v>43</v>
      </c>
      <c r="Y45" s="79">
        <v>0.01</v>
      </c>
      <c r="Z45" s="79"/>
      <c r="AA45" s="79">
        <v>0.99</v>
      </c>
      <c r="AB45" s="81">
        <f t="shared" si="9"/>
        <v>1</v>
      </c>
      <c r="AC45" s="76" t="str">
        <f t="shared" si="4"/>
        <v>OK</v>
      </c>
    </row>
    <row r="46" spans="1:29" ht="31.5" x14ac:dyDescent="0.5">
      <c r="A46" s="65">
        <f t="shared" si="2"/>
        <v>26</v>
      </c>
      <c r="B46" s="149">
        <v>29832605</v>
      </c>
      <c r="C46" s="157" t="s">
        <v>882</v>
      </c>
      <c r="D46" s="151">
        <v>20</v>
      </c>
      <c r="E46" s="152">
        <f>(Tabla3[[#This Row],[CANT]]*5000000)</f>
        <v>100000000</v>
      </c>
      <c r="F46" s="158">
        <v>12</v>
      </c>
      <c r="G46" s="152">
        <f>(Tabla3[[#This Row],[CANT2]]*10000000)</f>
        <v>120000000</v>
      </c>
      <c r="H46" s="159">
        <v>12</v>
      </c>
      <c r="I46" s="152">
        <f>(Tabla3[[#This Row],[CANT3]]*7500000)</f>
        <v>90000000</v>
      </c>
      <c r="J46" s="160"/>
      <c r="K46" s="161"/>
      <c r="L46" s="160">
        <v>1</v>
      </c>
      <c r="M46" s="161">
        <f>(L46*12500000)</f>
        <v>12500000</v>
      </c>
      <c r="N46" s="160"/>
      <c r="O46" s="161"/>
      <c r="P46" s="160"/>
      <c r="Q46" s="161"/>
      <c r="R46" s="48">
        <f>(Tabla3[[#This Row],[MONTO]]+Tabla3[[#This Row],[MONTO2]]+Tabla3[[#This Row],[MONTO3]]+Tabla3[[#This Row],[MONTO4]]+Tabla3[[#This Row],[MONTO5]]+Tabla3[[#This Row],[MONTO6]]+Tabla3[[#This Row],[MONTO7]])</f>
        <v>322500000</v>
      </c>
      <c r="S46" s="63">
        <f t="shared" si="7"/>
        <v>290250000</v>
      </c>
      <c r="T46" s="51">
        <f t="shared" si="8"/>
        <v>2902500</v>
      </c>
      <c r="U46" s="118">
        <f>(Tabla3[[#This Row],[TOTAL -10%]]*Tabla3[[#This Row],[FIDUCIA]])</f>
        <v>0</v>
      </c>
      <c r="V46" s="118">
        <f>(Tabla3[[#This Row],[TOTAL -10%]]*Tabla3[[#This Row],[NUBE]])</f>
        <v>287347500</v>
      </c>
      <c r="W46" s="80" t="s">
        <v>40</v>
      </c>
      <c r="X46" s="78" t="s">
        <v>43</v>
      </c>
      <c r="Y46" s="79">
        <v>0.01</v>
      </c>
      <c r="Z46" s="79"/>
      <c r="AA46" s="79">
        <v>0.99</v>
      </c>
      <c r="AB46" s="81">
        <f t="shared" si="9"/>
        <v>1</v>
      </c>
      <c r="AC46" s="76" t="str">
        <f t="shared" si="4"/>
        <v>OK</v>
      </c>
    </row>
    <row r="47" spans="1:29" ht="31.5" x14ac:dyDescent="0.5">
      <c r="A47" s="65">
        <f t="shared" si="2"/>
        <v>27</v>
      </c>
      <c r="B47" s="149">
        <v>10298946</v>
      </c>
      <c r="C47" s="157" t="s">
        <v>876</v>
      </c>
      <c r="D47" s="151">
        <v>1</v>
      </c>
      <c r="E47" s="152">
        <f>(Tabla3[[#This Row],[CANT]]*5000000)</f>
        <v>5000000</v>
      </c>
      <c r="F47" s="158"/>
      <c r="G47" s="152"/>
      <c r="H47" s="159"/>
      <c r="I47" s="152"/>
      <c r="J47" s="160">
        <v>1</v>
      </c>
      <c r="K47" s="161">
        <f>(Tabla3[[#This Row],[CANT4]]*500000)</f>
        <v>500000</v>
      </c>
      <c r="L47" s="160"/>
      <c r="M47" s="161"/>
      <c r="N47" s="160"/>
      <c r="O47" s="161"/>
      <c r="P47" s="160"/>
      <c r="Q47" s="161"/>
      <c r="R47" s="48">
        <f>(Tabla3[[#This Row],[MONTO]]+Tabla3[[#This Row],[MONTO2]]+Tabla3[[#This Row],[MONTO3]]+Tabla3[[#This Row],[MONTO4]]+Tabla3[[#This Row],[MONTO5]]+Tabla3[[#This Row],[MONTO6]]+Tabla3[[#This Row],[MONTO7]])</f>
        <v>5500000</v>
      </c>
      <c r="S47" s="63">
        <f t="shared" si="7"/>
        <v>4950000</v>
      </c>
      <c r="T47" s="51">
        <f t="shared" si="8"/>
        <v>49500</v>
      </c>
      <c r="U47" s="118">
        <f>(Tabla3[[#This Row],[TOTAL -10%]]*Tabla3[[#This Row],[FIDUCIA]])</f>
        <v>4900500</v>
      </c>
      <c r="V47" s="118">
        <f>(Tabla3[[#This Row],[TOTAL -10%]]*Tabla3[[#This Row],[NUBE]])</f>
        <v>0</v>
      </c>
      <c r="W47" s="80" t="s">
        <v>40</v>
      </c>
      <c r="X47" s="78" t="s">
        <v>42</v>
      </c>
      <c r="Y47" s="79">
        <v>0.01</v>
      </c>
      <c r="Z47" s="79">
        <v>0.99</v>
      </c>
      <c r="AA47" s="79"/>
      <c r="AB47" s="81">
        <f t="shared" si="9"/>
        <v>1</v>
      </c>
      <c r="AC47" s="76" t="str">
        <f t="shared" si="4"/>
        <v>OK</v>
      </c>
    </row>
    <row r="48" spans="1:29" ht="31.5" x14ac:dyDescent="0.5">
      <c r="A48" s="65">
        <f t="shared" si="2"/>
        <v>28</v>
      </c>
      <c r="B48" s="149">
        <v>13700726</v>
      </c>
      <c r="C48" s="157" t="s">
        <v>867</v>
      </c>
      <c r="D48" s="151">
        <v>37</v>
      </c>
      <c r="E48" s="152">
        <f>(Tabla3[[#This Row],[CANT]]*5000000)</f>
        <v>185000000</v>
      </c>
      <c r="F48" s="158">
        <v>2</v>
      </c>
      <c r="G48" s="152">
        <f>(Tabla3[[#This Row],[CANT2]]*10000000)</f>
        <v>20000000</v>
      </c>
      <c r="H48" s="159">
        <v>1</v>
      </c>
      <c r="I48" s="152">
        <f>(Tabla3[[#This Row],[CANT3]]*7500000)</f>
        <v>7500000</v>
      </c>
      <c r="J48" s="160"/>
      <c r="K48" s="161"/>
      <c r="L48" s="160"/>
      <c r="M48" s="161"/>
      <c r="N48" s="160"/>
      <c r="O48" s="161"/>
      <c r="P48" s="160"/>
      <c r="Q48" s="161"/>
      <c r="R48" s="48">
        <f>(Tabla3[[#This Row],[MONTO]]+Tabla3[[#This Row],[MONTO2]]+Tabla3[[#This Row],[MONTO3]]+Tabla3[[#This Row],[MONTO4]]+Tabla3[[#This Row],[MONTO5]]+Tabla3[[#This Row],[MONTO6]]+Tabla3[[#This Row],[MONTO7]])</f>
        <v>212500000</v>
      </c>
      <c r="S48" s="63">
        <f t="shared" si="7"/>
        <v>191250000</v>
      </c>
      <c r="T48" s="51">
        <f t="shared" si="8"/>
        <v>1912500</v>
      </c>
      <c r="U48" s="118">
        <f>(Tabla3[[#This Row],[TOTAL -10%]]*Tabla3[[#This Row],[FIDUCIA]])</f>
        <v>0</v>
      </c>
      <c r="V48" s="118">
        <f>(Tabla3[[#This Row],[TOTAL -10%]]*Tabla3[[#This Row],[NUBE]])</f>
        <v>189337500</v>
      </c>
      <c r="W48" s="80" t="s">
        <v>40</v>
      </c>
      <c r="X48" s="78" t="s">
        <v>43</v>
      </c>
      <c r="Y48" s="79">
        <v>0.01</v>
      </c>
      <c r="Z48" s="79"/>
      <c r="AA48" s="79">
        <v>0.99</v>
      </c>
      <c r="AB48" s="81">
        <f t="shared" si="9"/>
        <v>1</v>
      </c>
      <c r="AC48" s="76" t="str">
        <f t="shared" si="4"/>
        <v>OK</v>
      </c>
    </row>
    <row r="49" spans="1:29" ht="31.5" x14ac:dyDescent="0.5">
      <c r="A49" s="65">
        <f t="shared" si="2"/>
        <v>29</v>
      </c>
      <c r="B49" s="149">
        <v>30332751</v>
      </c>
      <c r="C49" s="157" t="s">
        <v>861</v>
      </c>
      <c r="D49" s="151">
        <v>4</v>
      </c>
      <c r="E49" s="152">
        <f>(Tabla3[[#This Row],[CANT]]*5000000)</f>
        <v>20000000</v>
      </c>
      <c r="F49" s="158">
        <v>3</v>
      </c>
      <c r="G49" s="152">
        <f>(Tabla3[[#This Row],[CANT2]]*10000000)</f>
        <v>30000000</v>
      </c>
      <c r="H49" s="159"/>
      <c r="I49" s="152"/>
      <c r="J49" s="160"/>
      <c r="K49" s="161"/>
      <c r="L49" s="160"/>
      <c r="M49" s="161"/>
      <c r="N49" s="160"/>
      <c r="O49" s="161"/>
      <c r="P49" s="160"/>
      <c r="Q49" s="161"/>
      <c r="R49" s="48">
        <f>(Tabla3[[#This Row],[MONTO]]+Tabla3[[#This Row],[MONTO2]]+Tabla3[[#This Row],[MONTO3]]+Tabla3[[#This Row],[MONTO4]]+Tabla3[[#This Row],[MONTO5]]+Tabla3[[#This Row],[MONTO6]]+Tabla3[[#This Row],[MONTO7]])</f>
        <v>50000000</v>
      </c>
      <c r="S49" s="63">
        <f t="shared" si="7"/>
        <v>45000000</v>
      </c>
      <c r="T49" s="51">
        <f t="shared" si="8"/>
        <v>450000</v>
      </c>
      <c r="U49" s="118">
        <f>(Tabla3[[#This Row],[TOTAL -10%]]*Tabla3[[#This Row],[FIDUCIA]])</f>
        <v>44550000</v>
      </c>
      <c r="V49" s="118">
        <f>(Tabla3[[#This Row],[TOTAL -10%]]*Tabla3[[#This Row],[NUBE]])</f>
        <v>0</v>
      </c>
      <c r="W49" s="80" t="s">
        <v>40</v>
      </c>
      <c r="X49" s="78" t="s">
        <v>42</v>
      </c>
      <c r="Y49" s="79">
        <v>0.01</v>
      </c>
      <c r="Z49" s="79">
        <v>0.99</v>
      </c>
      <c r="AA49" s="79"/>
      <c r="AB49" s="81">
        <f t="shared" si="9"/>
        <v>1</v>
      </c>
      <c r="AC49" s="76" t="str">
        <f t="shared" si="4"/>
        <v>OK</v>
      </c>
    </row>
    <row r="50" spans="1:29" ht="31.5" x14ac:dyDescent="0.5">
      <c r="A50" s="65">
        <f t="shared" si="2"/>
        <v>30</v>
      </c>
      <c r="B50" s="149">
        <v>34553021</v>
      </c>
      <c r="C50" s="157" t="s">
        <v>854</v>
      </c>
      <c r="D50" s="151">
        <v>16</v>
      </c>
      <c r="E50" s="152">
        <f>(Tabla3[[#This Row],[CANT]]*5000000)</f>
        <v>80000000</v>
      </c>
      <c r="F50" s="158"/>
      <c r="G50" s="152"/>
      <c r="H50" s="159"/>
      <c r="I50" s="152"/>
      <c r="J50" s="160"/>
      <c r="K50" s="161"/>
      <c r="L50" s="160"/>
      <c r="M50" s="161"/>
      <c r="N50" s="160"/>
      <c r="O50" s="161"/>
      <c r="P50" s="160"/>
      <c r="Q50" s="161"/>
      <c r="R50" s="48">
        <f>(Tabla3[[#This Row],[MONTO]]+Tabla3[[#This Row],[MONTO2]]+Tabla3[[#This Row],[MONTO3]]+Tabla3[[#This Row],[MONTO4]]+Tabla3[[#This Row],[MONTO5]]+Tabla3[[#This Row],[MONTO6]]+Tabla3[[#This Row],[MONTO7]])</f>
        <v>80000000</v>
      </c>
      <c r="S50" s="63">
        <f t="shared" si="7"/>
        <v>72000000</v>
      </c>
      <c r="T50" s="51">
        <f t="shared" si="8"/>
        <v>720000</v>
      </c>
      <c r="U50" s="118">
        <f>(Tabla3[[#This Row],[TOTAL -10%]]*Tabla3[[#This Row],[FIDUCIA]])</f>
        <v>71280000</v>
      </c>
      <c r="V50" s="118">
        <f>(Tabla3[[#This Row],[TOTAL -10%]]*Tabla3[[#This Row],[NUBE]])</f>
        <v>0</v>
      </c>
      <c r="W50" s="80" t="s">
        <v>40</v>
      </c>
      <c r="X50" s="78" t="s">
        <v>42</v>
      </c>
      <c r="Y50" s="79">
        <v>0.01</v>
      </c>
      <c r="Z50" s="79">
        <v>0.99</v>
      </c>
      <c r="AA50" s="79"/>
      <c r="AB50" s="81">
        <f t="shared" si="9"/>
        <v>1</v>
      </c>
      <c r="AC50" s="76" t="str">
        <f t="shared" si="4"/>
        <v>OK</v>
      </c>
    </row>
    <row r="51" spans="1:29" ht="31.5" x14ac:dyDescent="0.5">
      <c r="A51" s="65">
        <f t="shared" si="2"/>
        <v>31</v>
      </c>
      <c r="B51" s="149">
        <v>43793721</v>
      </c>
      <c r="C51" s="157" t="s">
        <v>847</v>
      </c>
      <c r="D51" s="151">
        <v>108</v>
      </c>
      <c r="E51" s="152">
        <f>(Tabla3[[#This Row],[CANT]]*5000000)</f>
        <v>540000000</v>
      </c>
      <c r="F51" s="158">
        <v>5</v>
      </c>
      <c r="G51" s="152">
        <f>(Tabla3[[#This Row],[CANT2]]*10000000)</f>
        <v>50000000</v>
      </c>
      <c r="H51" s="159">
        <v>2</v>
      </c>
      <c r="I51" s="152">
        <f>(Tabla3[[#This Row],[CANT3]]*7500000)</f>
        <v>15000000</v>
      </c>
      <c r="J51" s="160">
        <v>3</v>
      </c>
      <c r="K51" s="161">
        <f>(Tabla3[[#This Row],[CANT4]]*500000)</f>
        <v>1500000</v>
      </c>
      <c r="L51" s="160"/>
      <c r="M51" s="161"/>
      <c r="N51" s="160"/>
      <c r="O51" s="161"/>
      <c r="P51" s="160"/>
      <c r="Q51" s="161"/>
      <c r="R51" s="48">
        <f>(Tabla3[[#This Row],[MONTO]]+Tabla3[[#This Row],[MONTO2]]+Tabla3[[#This Row],[MONTO3]]+Tabla3[[#This Row],[MONTO4]]+Tabla3[[#This Row],[MONTO5]]+Tabla3[[#This Row],[MONTO6]]+Tabla3[[#This Row],[MONTO7]])</f>
        <v>606500000</v>
      </c>
      <c r="S51" s="63">
        <f t="shared" si="7"/>
        <v>545850000</v>
      </c>
      <c r="T51" s="51">
        <f t="shared" si="8"/>
        <v>5458500</v>
      </c>
      <c r="U51" s="118">
        <f>(Tabla3[[#This Row],[TOTAL -10%]]*Tabla3[[#This Row],[FIDUCIA]])</f>
        <v>540391500</v>
      </c>
      <c r="V51" s="118">
        <f>(Tabla3[[#This Row],[TOTAL -10%]]*Tabla3[[#This Row],[NUBE]])</f>
        <v>0</v>
      </c>
      <c r="W51" s="80" t="s">
        <v>40</v>
      </c>
      <c r="X51" s="78" t="s">
        <v>42</v>
      </c>
      <c r="Y51" s="79">
        <v>0.01</v>
      </c>
      <c r="Z51" s="79">
        <v>0.99</v>
      </c>
      <c r="AA51" s="79"/>
      <c r="AB51" s="81">
        <f t="shared" si="9"/>
        <v>1</v>
      </c>
      <c r="AC51" s="76" t="str">
        <f t="shared" si="4"/>
        <v>OK</v>
      </c>
    </row>
    <row r="52" spans="1:29" ht="31.5" x14ac:dyDescent="0.5">
      <c r="A52" s="65">
        <f t="shared" si="2"/>
        <v>32</v>
      </c>
      <c r="B52" s="149">
        <v>1053848679</v>
      </c>
      <c r="C52" s="157" t="s">
        <v>842</v>
      </c>
      <c r="D52" s="151">
        <v>2</v>
      </c>
      <c r="E52" s="152">
        <f>(Tabla3[[#This Row],[CANT]]*5000000)</f>
        <v>10000000</v>
      </c>
      <c r="F52" s="158">
        <v>5</v>
      </c>
      <c r="G52" s="152">
        <f>(Tabla3[[#This Row],[CANT2]]*10000000)</f>
        <v>50000000</v>
      </c>
      <c r="H52" s="159">
        <v>1</v>
      </c>
      <c r="I52" s="152">
        <f>(Tabla3[[#This Row],[CANT3]]*7500000)</f>
        <v>7500000</v>
      </c>
      <c r="J52" s="160"/>
      <c r="K52" s="161"/>
      <c r="L52" s="160"/>
      <c r="M52" s="161"/>
      <c r="N52" s="160"/>
      <c r="O52" s="161"/>
      <c r="P52" s="160"/>
      <c r="Q52" s="161"/>
      <c r="R52" s="48">
        <f>(Tabla3[[#This Row],[MONTO]]+Tabla3[[#This Row],[MONTO2]]+Tabla3[[#This Row],[MONTO3]]+Tabla3[[#This Row],[MONTO4]]+Tabla3[[#This Row],[MONTO5]]+Tabla3[[#This Row],[MONTO6]]+Tabla3[[#This Row],[MONTO7]])</f>
        <v>67500000</v>
      </c>
      <c r="S52" s="63">
        <f t="shared" si="7"/>
        <v>60750000</v>
      </c>
      <c r="T52" s="51">
        <f t="shared" si="8"/>
        <v>607500</v>
      </c>
      <c r="U52" s="118">
        <f>(Tabla3[[#This Row],[TOTAL -10%]]*Tabla3[[#This Row],[FIDUCIA]])</f>
        <v>0</v>
      </c>
      <c r="V52" s="118">
        <f>(Tabla3[[#This Row],[TOTAL -10%]]*Tabla3[[#This Row],[NUBE]])</f>
        <v>60142500</v>
      </c>
      <c r="W52" s="80" t="s">
        <v>40</v>
      </c>
      <c r="X52" s="78" t="s">
        <v>43</v>
      </c>
      <c r="Y52" s="79">
        <v>0.01</v>
      </c>
      <c r="Z52" s="79"/>
      <c r="AA52" s="79">
        <v>0.99</v>
      </c>
      <c r="AB52" s="81">
        <f t="shared" si="9"/>
        <v>1</v>
      </c>
      <c r="AC52" s="76" t="str">
        <f t="shared" si="4"/>
        <v>OK</v>
      </c>
    </row>
    <row r="53" spans="1:29" ht="31.5" x14ac:dyDescent="0.5">
      <c r="A53" s="65">
        <f t="shared" si="2"/>
        <v>33</v>
      </c>
      <c r="B53" s="149">
        <v>1063812968</v>
      </c>
      <c r="C53" s="157" t="s">
        <v>829</v>
      </c>
      <c r="D53" s="151">
        <v>4</v>
      </c>
      <c r="E53" s="152">
        <f>(Tabla3[[#This Row],[CANT]]*5000000)</f>
        <v>20000000</v>
      </c>
      <c r="F53" s="158">
        <v>6</v>
      </c>
      <c r="G53" s="152">
        <f>(Tabla3[[#This Row],[CANT2]]*10000000)</f>
        <v>60000000</v>
      </c>
      <c r="H53" s="159">
        <v>4</v>
      </c>
      <c r="I53" s="152">
        <f>(Tabla3[[#This Row],[CANT3]]*7500000)</f>
        <v>30000000</v>
      </c>
      <c r="J53" s="160"/>
      <c r="K53" s="161"/>
      <c r="L53" s="160"/>
      <c r="M53" s="161"/>
      <c r="N53" s="160"/>
      <c r="O53" s="161"/>
      <c r="P53" s="160"/>
      <c r="Q53" s="161"/>
      <c r="R53" s="48">
        <f>(Tabla3[[#This Row],[MONTO]]+Tabla3[[#This Row],[MONTO2]]+Tabla3[[#This Row],[MONTO3]]+Tabla3[[#This Row],[MONTO4]]+Tabla3[[#This Row],[MONTO5]]+Tabla3[[#This Row],[MONTO6]]+Tabla3[[#This Row],[MONTO7]])</f>
        <v>110000000</v>
      </c>
      <c r="S53" s="63">
        <f t="shared" si="7"/>
        <v>99000000</v>
      </c>
      <c r="T53" s="51">
        <f t="shared" si="8"/>
        <v>990000</v>
      </c>
      <c r="U53" s="118">
        <f>(Tabla3[[#This Row],[TOTAL -10%]]*Tabla3[[#This Row],[FIDUCIA]])</f>
        <v>98010000</v>
      </c>
      <c r="V53" s="118">
        <f>(Tabla3[[#This Row],[TOTAL -10%]]*Tabla3[[#This Row],[NUBE]])</f>
        <v>0</v>
      </c>
      <c r="W53" s="80" t="s">
        <v>40</v>
      </c>
      <c r="X53" s="78" t="s">
        <v>42</v>
      </c>
      <c r="Y53" s="79">
        <v>0.01</v>
      </c>
      <c r="Z53" s="79">
        <v>0.99</v>
      </c>
      <c r="AA53" s="79"/>
      <c r="AB53" s="81">
        <f t="shared" si="9"/>
        <v>1</v>
      </c>
      <c r="AC53" s="76" t="str">
        <f t="shared" si="4"/>
        <v>OK</v>
      </c>
    </row>
    <row r="54" spans="1:29" ht="31.5" x14ac:dyDescent="0.5">
      <c r="A54" s="65">
        <f t="shared" si="2"/>
        <v>34</v>
      </c>
      <c r="B54" s="149">
        <v>31423160</v>
      </c>
      <c r="C54" s="157" t="s">
        <v>823</v>
      </c>
      <c r="D54" s="151">
        <v>5</v>
      </c>
      <c r="E54" s="152">
        <f>(Tabla3[[#This Row],[CANT]]*5000000)</f>
        <v>25000000</v>
      </c>
      <c r="F54" s="158"/>
      <c r="G54" s="152"/>
      <c r="H54" s="159"/>
      <c r="I54" s="152"/>
      <c r="J54" s="160"/>
      <c r="K54" s="161"/>
      <c r="L54" s="160"/>
      <c r="M54" s="161"/>
      <c r="N54" s="160"/>
      <c r="O54" s="161"/>
      <c r="P54" s="160"/>
      <c r="Q54" s="161"/>
      <c r="R54" s="48">
        <f>(Tabla3[[#This Row],[MONTO]]+Tabla3[[#This Row],[MONTO2]]+Tabla3[[#This Row],[MONTO3]]+Tabla3[[#This Row],[MONTO4]]+Tabla3[[#This Row],[MONTO5]]+Tabla3[[#This Row],[MONTO6]]+Tabla3[[#This Row],[MONTO7]])</f>
        <v>25000000</v>
      </c>
      <c r="S54" s="63">
        <f t="shared" si="7"/>
        <v>22500000</v>
      </c>
      <c r="T54" s="51">
        <f t="shared" si="8"/>
        <v>225000</v>
      </c>
      <c r="U54" s="118">
        <f>(Tabla3[[#This Row],[TOTAL -10%]]*Tabla3[[#This Row],[FIDUCIA]])</f>
        <v>0</v>
      </c>
      <c r="V54" s="118">
        <f>(Tabla3[[#This Row],[TOTAL -10%]]*Tabla3[[#This Row],[NUBE]])</f>
        <v>22275000</v>
      </c>
      <c r="W54" s="80" t="s">
        <v>40</v>
      </c>
      <c r="X54" s="78" t="s">
        <v>43</v>
      </c>
      <c r="Y54" s="79">
        <v>0.01</v>
      </c>
      <c r="Z54" s="79"/>
      <c r="AA54" s="79">
        <v>0.99</v>
      </c>
      <c r="AB54" s="81">
        <f t="shared" si="9"/>
        <v>1</v>
      </c>
      <c r="AC54" s="76" t="str">
        <f t="shared" si="4"/>
        <v>OK</v>
      </c>
    </row>
    <row r="55" spans="1:29" ht="31.5" x14ac:dyDescent="0.5">
      <c r="A55" s="65">
        <f t="shared" si="2"/>
        <v>35</v>
      </c>
      <c r="B55" s="149">
        <v>801588047</v>
      </c>
      <c r="C55" s="157" t="s">
        <v>817</v>
      </c>
      <c r="D55" s="151">
        <v>2</v>
      </c>
      <c r="E55" s="152">
        <f>(Tabla3[[#This Row],[CANT]]*5000000)</f>
        <v>10000000</v>
      </c>
      <c r="F55" s="158">
        <v>2</v>
      </c>
      <c r="G55" s="152">
        <f>(Tabla3[[#This Row],[CANT2]]*10000000)</f>
        <v>20000000</v>
      </c>
      <c r="H55" s="159"/>
      <c r="I55" s="152"/>
      <c r="J55" s="160"/>
      <c r="K55" s="161"/>
      <c r="L55" s="160"/>
      <c r="M55" s="161"/>
      <c r="N55" s="160"/>
      <c r="O55" s="161"/>
      <c r="P55" s="160"/>
      <c r="Q55" s="161"/>
      <c r="R55" s="48">
        <f>(Tabla3[[#This Row],[MONTO]]+Tabla3[[#This Row],[MONTO2]]+Tabla3[[#This Row],[MONTO3]]+Tabla3[[#This Row],[MONTO4]]+Tabla3[[#This Row],[MONTO5]]+Tabla3[[#This Row],[MONTO6]]+Tabla3[[#This Row],[MONTO7]])</f>
        <v>30000000</v>
      </c>
      <c r="S55" s="63">
        <f t="shared" si="7"/>
        <v>27000000</v>
      </c>
      <c r="T55" s="51">
        <f t="shared" si="8"/>
        <v>270000</v>
      </c>
      <c r="U55" s="118">
        <f>(Tabla3[[#This Row],[TOTAL -10%]]*Tabla3[[#This Row],[FIDUCIA]])</f>
        <v>0</v>
      </c>
      <c r="V55" s="118">
        <f>(Tabla3[[#This Row],[TOTAL -10%]]*Tabla3[[#This Row],[NUBE]])</f>
        <v>26730000</v>
      </c>
      <c r="W55" s="80" t="s">
        <v>40</v>
      </c>
      <c r="X55" s="78" t="s">
        <v>43</v>
      </c>
      <c r="Y55" s="79">
        <v>0.01</v>
      </c>
      <c r="Z55" s="79"/>
      <c r="AA55" s="79">
        <v>0.99</v>
      </c>
      <c r="AB55" s="81">
        <f t="shared" si="9"/>
        <v>1</v>
      </c>
      <c r="AC55" s="76" t="str">
        <f t="shared" si="4"/>
        <v>OK</v>
      </c>
    </row>
    <row r="56" spans="1:29" ht="31.5" x14ac:dyDescent="0.5">
      <c r="A56" s="65">
        <f t="shared" si="2"/>
        <v>36</v>
      </c>
      <c r="B56" s="149" t="s">
        <v>811</v>
      </c>
      <c r="C56" s="157" t="s">
        <v>1098</v>
      </c>
      <c r="D56" s="151">
        <v>5</v>
      </c>
      <c r="E56" s="152">
        <f>(Tabla3[[#This Row],[CANT]]*5000000)</f>
        <v>25000000</v>
      </c>
      <c r="F56" s="158">
        <v>1</v>
      </c>
      <c r="G56" s="152">
        <f>(Tabla3[[#This Row],[CANT2]]*10000000)</f>
        <v>10000000</v>
      </c>
      <c r="H56" s="159"/>
      <c r="I56" s="152"/>
      <c r="J56" s="160"/>
      <c r="K56" s="161"/>
      <c r="L56" s="160"/>
      <c r="M56" s="161"/>
      <c r="N56" s="160"/>
      <c r="O56" s="161"/>
      <c r="P56" s="160"/>
      <c r="Q56" s="161"/>
      <c r="R56" s="48">
        <f>(Tabla3[[#This Row],[MONTO]]+Tabla3[[#This Row],[MONTO2]]+Tabla3[[#This Row],[MONTO3]]+Tabla3[[#This Row],[MONTO4]]+Tabla3[[#This Row],[MONTO5]]+Tabla3[[#This Row],[MONTO6]]+Tabla3[[#This Row],[MONTO7]])</f>
        <v>35000000</v>
      </c>
      <c r="S56" s="63">
        <f t="shared" si="7"/>
        <v>31500000</v>
      </c>
      <c r="T56" s="51">
        <f t="shared" si="8"/>
        <v>315000</v>
      </c>
      <c r="U56" s="118">
        <f>(Tabla3[[#This Row],[TOTAL -10%]]*Tabla3[[#This Row],[FIDUCIA]])</f>
        <v>0</v>
      </c>
      <c r="V56" s="118">
        <f>(Tabla3[[#This Row],[TOTAL -10%]]*Tabla3[[#This Row],[NUBE]])</f>
        <v>31185000</v>
      </c>
      <c r="W56" s="80" t="s">
        <v>40</v>
      </c>
      <c r="X56" s="78" t="s">
        <v>43</v>
      </c>
      <c r="Y56" s="79">
        <v>0.01</v>
      </c>
      <c r="Z56" s="79"/>
      <c r="AA56" s="79">
        <v>0.99</v>
      </c>
      <c r="AB56" s="81">
        <f t="shared" si="9"/>
        <v>1</v>
      </c>
      <c r="AC56" s="76" t="str">
        <f t="shared" si="4"/>
        <v>OK</v>
      </c>
    </row>
    <row r="57" spans="1:29" ht="31.5" x14ac:dyDescent="0.5">
      <c r="A57" s="65">
        <f t="shared" si="2"/>
        <v>37</v>
      </c>
      <c r="B57" s="149">
        <v>94287342</v>
      </c>
      <c r="C57" s="157" t="s">
        <v>802</v>
      </c>
      <c r="D57" s="151">
        <v>7</v>
      </c>
      <c r="E57" s="152">
        <f>(Tabla3[[#This Row],[CANT]]*5000000)</f>
        <v>35000000</v>
      </c>
      <c r="F57" s="158">
        <v>2</v>
      </c>
      <c r="G57" s="152">
        <f>(Tabla3[[#This Row],[CANT2]]*10000000)</f>
        <v>20000000</v>
      </c>
      <c r="H57" s="159"/>
      <c r="I57" s="152"/>
      <c r="J57" s="160"/>
      <c r="K57" s="161"/>
      <c r="L57" s="160"/>
      <c r="M57" s="161"/>
      <c r="N57" s="160"/>
      <c r="O57" s="161"/>
      <c r="P57" s="160"/>
      <c r="Q57" s="161"/>
      <c r="R57" s="48">
        <f>(Tabla3[[#This Row],[MONTO]]+Tabla3[[#This Row],[MONTO2]]+Tabla3[[#This Row],[MONTO3]]+Tabla3[[#This Row],[MONTO4]]+Tabla3[[#This Row],[MONTO5]]+Tabla3[[#This Row],[MONTO6]]+Tabla3[[#This Row],[MONTO7]])</f>
        <v>55000000</v>
      </c>
      <c r="S57" s="63">
        <f t="shared" si="7"/>
        <v>49500000</v>
      </c>
      <c r="T57" s="51">
        <f t="shared" si="8"/>
        <v>495000</v>
      </c>
      <c r="U57" s="118">
        <f>(Tabla3[[#This Row],[TOTAL -10%]]*Tabla3[[#This Row],[FIDUCIA]])</f>
        <v>49005000</v>
      </c>
      <c r="V57" s="118">
        <f>(Tabla3[[#This Row],[TOTAL -10%]]*Tabla3[[#This Row],[NUBE]])</f>
        <v>0</v>
      </c>
      <c r="W57" s="80" t="s">
        <v>40</v>
      </c>
      <c r="X57" s="78" t="s">
        <v>42</v>
      </c>
      <c r="Y57" s="79">
        <v>0.01</v>
      </c>
      <c r="Z57" s="79">
        <v>0.99</v>
      </c>
      <c r="AA57" s="79"/>
      <c r="AB57" s="81">
        <f t="shared" si="9"/>
        <v>1</v>
      </c>
      <c r="AC57" s="76" t="str">
        <f t="shared" si="4"/>
        <v>OK</v>
      </c>
    </row>
    <row r="58" spans="1:29" ht="31.5" x14ac:dyDescent="0.5">
      <c r="A58" s="65">
        <f t="shared" si="2"/>
        <v>38</v>
      </c>
      <c r="B58" s="149">
        <v>25154026</v>
      </c>
      <c r="C58" s="157" t="s">
        <v>796</v>
      </c>
      <c r="D58" s="151">
        <v>18</v>
      </c>
      <c r="E58" s="152">
        <f>(Tabla3[[#This Row],[CANT]]*5000000)</f>
        <v>90000000</v>
      </c>
      <c r="F58" s="158"/>
      <c r="G58" s="152"/>
      <c r="H58" s="159"/>
      <c r="I58" s="152"/>
      <c r="J58" s="160">
        <v>1</v>
      </c>
      <c r="K58" s="161">
        <f>(Tabla3[[#This Row],[CANT4]]*500000)</f>
        <v>500000</v>
      </c>
      <c r="L58" s="160"/>
      <c r="M58" s="161"/>
      <c r="N58" s="160"/>
      <c r="O58" s="161"/>
      <c r="P58" s="160"/>
      <c r="Q58" s="161"/>
      <c r="R58" s="48">
        <f>(Tabla3[[#This Row],[MONTO]]+Tabla3[[#This Row],[MONTO2]]+Tabla3[[#This Row],[MONTO3]]+Tabla3[[#This Row],[MONTO4]]+Tabla3[[#This Row],[MONTO5]]+Tabla3[[#This Row],[MONTO6]]+Tabla3[[#This Row],[MONTO7]])</f>
        <v>90500000</v>
      </c>
      <c r="S58" s="63">
        <f t="shared" si="7"/>
        <v>81450000</v>
      </c>
      <c r="T58" s="51">
        <f t="shared" si="8"/>
        <v>814500</v>
      </c>
      <c r="U58" s="118">
        <f>(Tabla3[[#This Row],[TOTAL -10%]]*Tabla3[[#This Row],[FIDUCIA]])</f>
        <v>80635500</v>
      </c>
      <c r="V58" s="118">
        <f>(Tabla3[[#This Row],[TOTAL -10%]]*Tabla3[[#This Row],[NUBE]])</f>
        <v>0</v>
      </c>
      <c r="W58" s="80" t="s">
        <v>40</v>
      </c>
      <c r="X58" s="78" t="s">
        <v>42</v>
      </c>
      <c r="Y58" s="79">
        <v>0.01</v>
      </c>
      <c r="Z58" s="79">
        <v>0.99</v>
      </c>
      <c r="AA58" s="79"/>
      <c r="AB58" s="81">
        <f t="shared" si="9"/>
        <v>1</v>
      </c>
      <c r="AC58" s="76" t="str">
        <f t="shared" si="4"/>
        <v>OK</v>
      </c>
    </row>
    <row r="59" spans="1:29" ht="31.5" x14ac:dyDescent="0.5">
      <c r="A59" s="65">
        <f t="shared" si="2"/>
        <v>39</v>
      </c>
      <c r="B59" s="149">
        <v>10268009</v>
      </c>
      <c r="C59" s="157" t="s">
        <v>786</v>
      </c>
      <c r="D59" s="151">
        <v>2</v>
      </c>
      <c r="E59" s="152">
        <f>(Tabla3[[#This Row],[CANT]]*5000000)</f>
        <v>10000000</v>
      </c>
      <c r="F59" s="158">
        <v>2</v>
      </c>
      <c r="G59" s="152">
        <f>(Tabla3[[#This Row],[CANT2]]*10000000)</f>
        <v>20000000</v>
      </c>
      <c r="H59" s="159"/>
      <c r="I59" s="152"/>
      <c r="J59" s="160"/>
      <c r="K59" s="161"/>
      <c r="L59" s="160"/>
      <c r="M59" s="161"/>
      <c r="N59" s="160"/>
      <c r="O59" s="161"/>
      <c r="P59" s="160"/>
      <c r="Q59" s="161"/>
      <c r="R59" s="48">
        <f>(Tabla3[[#This Row],[MONTO]]+Tabla3[[#This Row],[MONTO2]]+Tabla3[[#This Row],[MONTO3]]+Tabla3[[#This Row],[MONTO4]]+Tabla3[[#This Row],[MONTO5]]+Tabla3[[#This Row],[MONTO6]]+Tabla3[[#This Row],[MONTO7]])</f>
        <v>30000000</v>
      </c>
      <c r="S59" s="63">
        <f t="shared" si="7"/>
        <v>27000000</v>
      </c>
      <c r="T59" s="51">
        <f t="shared" si="8"/>
        <v>270000</v>
      </c>
      <c r="U59" s="118">
        <f>(Tabla3[[#This Row],[TOTAL -10%]]*Tabla3[[#This Row],[FIDUCIA]])</f>
        <v>26730000</v>
      </c>
      <c r="V59" s="118">
        <f>(Tabla3[[#This Row],[TOTAL -10%]]*Tabla3[[#This Row],[NUBE]])</f>
        <v>0</v>
      </c>
      <c r="W59" s="80" t="s">
        <v>40</v>
      </c>
      <c r="X59" s="78" t="s">
        <v>42</v>
      </c>
      <c r="Y59" s="79">
        <v>0.01</v>
      </c>
      <c r="Z59" s="79">
        <v>0.99</v>
      </c>
      <c r="AA59" s="79"/>
      <c r="AB59" s="81">
        <f t="shared" si="9"/>
        <v>1</v>
      </c>
      <c r="AC59" s="76" t="str">
        <f t="shared" si="4"/>
        <v>OK</v>
      </c>
    </row>
    <row r="60" spans="1:29" ht="31.5" x14ac:dyDescent="0.5">
      <c r="A60" s="65">
        <f t="shared" si="2"/>
        <v>40</v>
      </c>
      <c r="B60" s="149">
        <v>98663385</v>
      </c>
      <c r="C60" s="157" t="s">
        <v>780</v>
      </c>
      <c r="D60" s="151">
        <v>21</v>
      </c>
      <c r="E60" s="152">
        <f>(Tabla3[[#This Row],[CANT]]*5000000)</f>
        <v>105000000</v>
      </c>
      <c r="F60" s="158"/>
      <c r="G60" s="152"/>
      <c r="H60" s="159"/>
      <c r="I60" s="152"/>
      <c r="J60" s="160"/>
      <c r="K60" s="161"/>
      <c r="L60" s="160"/>
      <c r="M60" s="161"/>
      <c r="N60" s="160"/>
      <c r="O60" s="161"/>
      <c r="P60" s="160"/>
      <c r="Q60" s="161"/>
      <c r="R60" s="48">
        <f>(Tabla3[[#This Row],[MONTO]]+Tabla3[[#This Row],[MONTO2]]+Tabla3[[#This Row],[MONTO3]]+Tabla3[[#This Row],[MONTO4]]+Tabla3[[#This Row],[MONTO5]]+Tabla3[[#This Row],[MONTO6]]+Tabla3[[#This Row],[MONTO7]])</f>
        <v>105000000</v>
      </c>
      <c r="S60" s="63">
        <f t="shared" si="7"/>
        <v>94500000</v>
      </c>
      <c r="T60" s="51">
        <f t="shared" si="8"/>
        <v>945000</v>
      </c>
      <c r="U60" s="118">
        <f>(Tabla3[[#This Row],[TOTAL -10%]]*Tabla3[[#This Row],[FIDUCIA]])</f>
        <v>93555000</v>
      </c>
      <c r="V60" s="118">
        <f>(Tabla3[[#This Row],[TOTAL -10%]]*Tabla3[[#This Row],[NUBE]])</f>
        <v>0</v>
      </c>
      <c r="W60" s="80" t="s">
        <v>40</v>
      </c>
      <c r="X60" s="78" t="s">
        <v>42</v>
      </c>
      <c r="Y60" s="79">
        <v>0.01</v>
      </c>
      <c r="Z60" s="79">
        <v>0.99</v>
      </c>
      <c r="AA60" s="79"/>
      <c r="AB60" s="81">
        <f t="shared" si="9"/>
        <v>1</v>
      </c>
      <c r="AC60" s="76" t="str">
        <f t="shared" si="4"/>
        <v>OK</v>
      </c>
    </row>
    <row r="61" spans="1:29" ht="31.5" x14ac:dyDescent="0.5">
      <c r="A61" s="65">
        <f t="shared" si="2"/>
        <v>41</v>
      </c>
      <c r="B61" s="149">
        <v>802346288</v>
      </c>
      <c r="C61" s="157" t="s">
        <v>775</v>
      </c>
      <c r="D61" s="151">
        <v>2</v>
      </c>
      <c r="E61" s="152">
        <f>(Tabla3[[#This Row],[CANT]]*5000000)</f>
        <v>10000000</v>
      </c>
      <c r="F61" s="158">
        <v>3</v>
      </c>
      <c r="G61" s="152">
        <f>(Tabla3[[#This Row],[CANT2]]*10000000)</f>
        <v>30000000</v>
      </c>
      <c r="H61" s="159">
        <v>2</v>
      </c>
      <c r="I61" s="152">
        <f>(Tabla3[[#This Row],[CANT3]]*7500000)</f>
        <v>15000000</v>
      </c>
      <c r="J61" s="160"/>
      <c r="K61" s="161"/>
      <c r="L61" s="160"/>
      <c r="M61" s="161"/>
      <c r="N61" s="160"/>
      <c r="O61" s="161"/>
      <c r="P61" s="160"/>
      <c r="Q61" s="161"/>
      <c r="R61" s="48">
        <f>(Tabla3[[#This Row],[MONTO]]+Tabla3[[#This Row],[MONTO2]]+Tabla3[[#This Row],[MONTO3]]+Tabla3[[#This Row],[MONTO4]]+Tabla3[[#This Row],[MONTO5]]+Tabla3[[#This Row],[MONTO6]]+Tabla3[[#This Row],[MONTO7]])</f>
        <v>55000000</v>
      </c>
      <c r="S61" s="63">
        <f t="shared" si="7"/>
        <v>49500000</v>
      </c>
      <c r="T61" s="51">
        <f t="shared" si="8"/>
        <v>495000</v>
      </c>
      <c r="U61" s="118">
        <f>(Tabla3[[#This Row],[TOTAL -10%]]*Tabla3[[#This Row],[FIDUCIA]])</f>
        <v>0</v>
      </c>
      <c r="V61" s="118">
        <f>(Tabla3[[#This Row],[TOTAL -10%]]*Tabla3[[#This Row],[NUBE]])</f>
        <v>49005000</v>
      </c>
      <c r="W61" s="80" t="s">
        <v>40</v>
      </c>
      <c r="X61" s="78" t="s">
        <v>43</v>
      </c>
      <c r="Y61" s="79">
        <v>0.01</v>
      </c>
      <c r="Z61" s="79"/>
      <c r="AA61" s="79">
        <v>0.99</v>
      </c>
      <c r="AB61" s="81">
        <f t="shared" si="9"/>
        <v>1</v>
      </c>
      <c r="AC61" s="76" t="str">
        <f t="shared" si="4"/>
        <v>OK</v>
      </c>
    </row>
    <row r="62" spans="1:29" ht="31.5" x14ac:dyDescent="0.5">
      <c r="A62" s="65">
        <f t="shared" si="2"/>
        <v>42</v>
      </c>
      <c r="B62" s="149">
        <v>1047367059</v>
      </c>
      <c r="C62" s="157" t="s">
        <v>769</v>
      </c>
      <c r="D62" s="151">
        <v>11</v>
      </c>
      <c r="E62" s="152">
        <f>(Tabla3[[#This Row],[CANT]]*5000000)</f>
        <v>55000000</v>
      </c>
      <c r="F62" s="158">
        <v>8</v>
      </c>
      <c r="G62" s="152">
        <f>(Tabla3[[#This Row],[CANT2]]*10000000)</f>
        <v>80000000</v>
      </c>
      <c r="H62" s="159"/>
      <c r="I62" s="152"/>
      <c r="J62" s="160"/>
      <c r="K62" s="161"/>
      <c r="L62" s="160"/>
      <c r="M62" s="161"/>
      <c r="N62" s="160"/>
      <c r="O62" s="161"/>
      <c r="P62" s="160"/>
      <c r="Q62" s="161"/>
      <c r="R62" s="48">
        <f>(Tabla3[[#This Row],[MONTO]]+Tabla3[[#This Row],[MONTO2]]+Tabla3[[#This Row],[MONTO3]]+Tabla3[[#This Row],[MONTO4]]+Tabla3[[#This Row],[MONTO5]]+Tabla3[[#This Row],[MONTO6]]+Tabla3[[#This Row],[MONTO7]])</f>
        <v>135000000</v>
      </c>
      <c r="S62" s="63">
        <f t="shared" si="7"/>
        <v>121500000</v>
      </c>
      <c r="T62" s="51">
        <f t="shared" si="8"/>
        <v>1215000</v>
      </c>
      <c r="U62" s="118">
        <f>(Tabla3[[#This Row],[TOTAL -10%]]*Tabla3[[#This Row],[FIDUCIA]])</f>
        <v>0</v>
      </c>
      <c r="V62" s="118">
        <f>(Tabla3[[#This Row],[TOTAL -10%]]*Tabla3[[#This Row],[NUBE]])</f>
        <v>120285000</v>
      </c>
      <c r="W62" s="80" t="s">
        <v>40</v>
      </c>
      <c r="X62" s="78" t="s">
        <v>43</v>
      </c>
      <c r="Y62" s="79">
        <v>0.01</v>
      </c>
      <c r="Z62" s="79"/>
      <c r="AA62" s="79">
        <v>0.99</v>
      </c>
      <c r="AB62" s="81">
        <f t="shared" si="9"/>
        <v>1</v>
      </c>
      <c r="AC62" s="76" t="str">
        <f t="shared" si="4"/>
        <v>OK</v>
      </c>
    </row>
    <row r="63" spans="1:29" ht="31.5" x14ac:dyDescent="0.5">
      <c r="A63" s="65">
        <f t="shared" si="2"/>
        <v>43</v>
      </c>
      <c r="B63" s="149">
        <v>10009797</v>
      </c>
      <c r="C63" s="157" t="s">
        <v>759</v>
      </c>
      <c r="D63" s="151">
        <v>22</v>
      </c>
      <c r="E63" s="152">
        <f>(Tabla3[[#This Row],[CANT]]*5000000)</f>
        <v>110000000</v>
      </c>
      <c r="F63" s="158">
        <v>1</v>
      </c>
      <c r="G63" s="152">
        <f>(Tabla3[[#This Row],[CANT2]]*10000000)</f>
        <v>10000000</v>
      </c>
      <c r="H63" s="159">
        <v>1</v>
      </c>
      <c r="I63" s="152">
        <f>(Tabla3[[#This Row],[CANT3]]*7500000)</f>
        <v>7500000</v>
      </c>
      <c r="J63" s="160"/>
      <c r="K63" s="161"/>
      <c r="L63" s="160"/>
      <c r="M63" s="161"/>
      <c r="N63" s="160"/>
      <c r="O63" s="161"/>
      <c r="P63" s="160"/>
      <c r="Q63" s="161"/>
      <c r="R63" s="48">
        <f>(Tabla3[[#This Row],[MONTO]]+Tabla3[[#This Row],[MONTO2]]+Tabla3[[#This Row],[MONTO3]]+Tabla3[[#This Row],[MONTO4]]+Tabla3[[#This Row],[MONTO5]]+Tabla3[[#This Row],[MONTO6]]+Tabla3[[#This Row],[MONTO7]])</f>
        <v>127500000</v>
      </c>
      <c r="S63" s="63">
        <f t="shared" si="7"/>
        <v>114750000</v>
      </c>
      <c r="T63" s="51">
        <f t="shared" si="8"/>
        <v>1147500</v>
      </c>
      <c r="U63" s="118">
        <f>(Tabla3[[#This Row],[TOTAL -10%]]*Tabla3[[#This Row],[FIDUCIA]])</f>
        <v>113602500</v>
      </c>
      <c r="V63" s="118">
        <f>(Tabla3[[#This Row],[TOTAL -10%]]*Tabla3[[#This Row],[NUBE]])</f>
        <v>0</v>
      </c>
      <c r="W63" s="80" t="s">
        <v>40</v>
      </c>
      <c r="X63" s="78" t="s">
        <v>42</v>
      </c>
      <c r="Y63" s="79">
        <v>0.01</v>
      </c>
      <c r="Z63" s="79">
        <v>0.99</v>
      </c>
      <c r="AA63" s="79"/>
      <c r="AB63" s="81">
        <f t="shared" si="9"/>
        <v>1</v>
      </c>
      <c r="AC63" s="76" t="str">
        <f t="shared" si="4"/>
        <v>OK</v>
      </c>
    </row>
    <row r="64" spans="1:29" ht="31.5" x14ac:dyDescent="0.5">
      <c r="A64" s="65">
        <f t="shared" si="2"/>
        <v>44</v>
      </c>
      <c r="B64" s="149">
        <v>802949131</v>
      </c>
      <c r="C64" s="157" t="s">
        <v>752</v>
      </c>
      <c r="D64" s="151">
        <v>4</v>
      </c>
      <c r="E64" s="152">
        <f>(Tabla3[[#This Row],[CANT]]*5000000)</f>
        <v>20000000</v>
      </c>
      <c r="F64" s="162">
        <v>4</v>
      </c>
      <c r="G64" s="152">
        <f>(Tabla3[[#This Row],[CANT2]]*10000000)</f>
        <v>40000000</v>
      </c>
      <c r="H64" s="159">
        <v>2</v>
      </c>
      <c r="I64" s="152">
        <f>(Tabla3[[#This Row],[CANT3]]*7500000)</f>
        <v>15000000</v>
      </c>
      <c r="J64" s="160"/>
      <c r="K64" s="161"/>
      <c r="L64" s="160"/>
      <c r="M64" s="161"/>
      <c r="N64" s="160"/>
      <c r="O64" s="161"/>
      <c r="P64" s="160"/>
      <c r="Q64" s="161"/>
      <c r="R64" s="48">
        <f>(Tabla3[[#This Row],[MONTO]]+Tabla3[[#This Row],[MONTO2]]+Tabla3[[#This Row],[MONTO3]]+Tabla3[[#This Row],[MONTO4]]+Tabla3[[#This Row],[MONTO5]]+Tabla3[[#This Row],[MONTO6]]+Tabla3[[#This Row],[MONTO7]])</f>
        <v>75000000</v>
      </c>
      <c r="S64" s="63">
        <f t="shared" si="7"/>
        <v>67500000</v>
      </c>
      <c r="T64" s="51">
        <f t="shared" si="8"/>
        <v>675000</v>
      </c>
      <c r="U64" s="118">
        <f>(Tabla3[[#This Row],[TOTAL -10%]]*Tabla3[[#This Row],[FIDUCIA]])</f>
        <v>0</v>
      </c>
      <c r="V64" s="118">
        <f>(Tabla3[[#This Row],[TOTAL -10%]]*Tabla3[[#This Row],[NUBE]])</f>
        <v>66825000</v>
      </c>
      <c r="W64" s="80" t="s">
        <v>40</v>
      </c>
      <c r="X64" s="78" t="s">
        <v>43</v>
      </c>
      <c r="Y64" s="79">
        <v>0.01</v>
      </c>
      <c r="Z64" s="79"/>
      <c r="AA64" s="79">
        <v>0.99</v>
      </c>
      <c r="AB64" s="81">
        <f t="shared" si="9"/>
        <v>1</v>
      </c>
      <c r="AC64" s="76" t="str">
        <f t="shared" si="4"/>
        <v>OK</v>
      </c>
    </row>
    <row r="65" spans="1:29" ht="31.5" x14ac:dyDescent="0.5">
      <c r="A65" s="65">
        <f t="shared" si="2"/>
        <v>45</v>
      </c>
      <c r="B65" s="149">
        <v>1012360238</v>
      </c>
      <c r="C65" s="157" t="s">
        <v>743</v>
      </c>
      <c r="D65" s="151"/>
      <c r="E65" s="152"/>
      <c r="F65" s="158"/>
      <c r="G65" s="152"/>
      <c r="H65" s="159">
        <v>1</v>
      </c>
      <c r="I65" s="152">
        <f>(Tabla3[[#This Row],[CANT3]]*7500000)</f>
        <v>7500000</v>
      </c>
      <c r="J65" s="160"/>
      <c r="K65" s="161"/>
      <c r="L65" s="160"/>
      <c r="M65" s="161"/>
      <c r="N65" s="160"/>
      <c r="O65" s="161"/>
      <c r="P65" s="160"/>
      <c r="Q65" s="161"/>
      <c r="R65" s="48">
        <f>(Tabla3[[#This Row],[MONTO]]+Tabla3[[#This Row],[MONTO2]]+Tabla3[[#This Row],[MONTO3]]+Tabla3[[#This Row],[MONTO4]]+Tabla3[[#This Row],[MONTO5]]+Tabla3[[#This Row],[MONTO6]]+Tabla3[[#This Row],[MONTO7]])</f>
        <v>7500000</v>
      </c>
      <c r="S65" s="63">
        <f t="shared" si="7"/>
        <v>6750000</v>
      </c>
      <c r="T65" s="51">
        <f t="shared" si="8"/>
        <v>67500</v>
      </c>
      <c r="U65" s="118">
        <f>(Tabla3[[#This Row],[TOTAL -10%]]*Tabla3[[#This Row],[FIDUCIA]])</f>
        <v>6682500</v>
      </c>
      <c r="V65" s="118">
        <f>(Tabla3[[#This Row],[TOTAL -10%]]*Tabla3[[#This Row],[NUBE]])</f>
        <v>0</v>
      </c>
      <c r="W65" s="80" t="s">
        <v>40</v>
      </c>
      <c r="X65" s="78" t="s">
        <v>42</v>
      </c>
      <c r="Y65" s="79">
        <v>0.01</v>
      </c>
      <c r="Z65" s="79">
        <v>0.99</v>
      </c>
      <c r="AA65" s="79"/>
      <c r="AB65" s="81">
        <f t="shared" si="9"/>
        <v>1</v>
      </c>
      <c r="AC65" s="76" t="str">
        <f t="shared" si="4"/>
        <v>OK</v>
      </c>
    </row>
    <row r="66" spans="1:29" ht="31.5" x14ac:dyDescent="0.5">
      <c r="A66" s="65">
        <f t="shared" si="2"/>
        <v>46</v>
      </c>
      <c r="B66" s="149">
        <v>1061822047</v>
      </c>
      <c r="C66" s="157" t="s">
        <v>736</v>
      </c>
      <c r="D66" s="151">
        <v>1</v>
      </c>
      <c r="E66" s="152">
        <f>(Tabla3[[#This Row],[CANT]]*5000000)</f>
        <v>5000000</v>
      </c>
      <c r="F66" s="158"/>
      <c r="G66" s="152"/>
      <c r="H66" s="159"/>
      <c r="I66" s="152"/>
      <c r="J66" s="160"/>
      <c r="K66" s="161"/>
      <c r="L66" s="160"/>
      <c r="M66" s="161"/>
      <c r="N66" s="160"/>
      <c r="O66" s="161"/>
      <c r="P66" s="160"/>
      <c r="Q66" s="161"/>
      <c r="R66" s="48">
        <f>(Tabla3[[#This Row],[MONTO]]+Tabla3[[#This Row],[MONTO2]]+Tabla3[[#This Row],[MONTO3]]+Tabla3[[#This Row],[MONTO4]]+Tabla3[[#This Row],[MONTO5]]+Tabla3[[#This Row],[MONTO6]]+Tabla3[[#This Row],[MONTO7]])</f>
        <v>5000000</v>
      </c>
      <c r="S66" s="63">
        <f t="shared" ref="S66:S97" si="10">R66-(R66*10%)</f>
        <v>4500000</v>
      </c>
      <c r="T66" s="51">
        <f t="shared" ref="T66:T97" si="11">(S66*1%)</f>
        <v>45000</v>
      </c>
      <c r="U66" s="118">
        <f>(Tabla3[[#This Row],[TOTAL -10%]]*Tabla3[[#This Row],[FIDUCIA]])</f>
        <v>0</v>
      </c>
      <c r="V66" s="118">
        <f>(Tabla3[[#This Row],[TOTAL -10%]]*Tabla3[[#This Row],[NUBE]])</f>
        <v>4455000</v>
      </c>
      <c r="W66" s="80" t="s">
        <v>40</v>
      </c>
      <c r="X66" s="78" t="s">
        <v>43</v>
      </c>
      <c r="Y66" s="79">
        <v>0.01</v>
      </c>
      <c r="Z66" s="79"/>
      <c r="AA66" s="79">
        <v>0.99</v>
      </c>
      <c r="AB66" s="81">
        <f t="shared" ref="AB66:AB97" si="12">SUM(Y66:AA66)</f>
        <v>1</v>
      </c>
      <c r="AC66" s="76" t="str">
        <f t="shared" si="4"/>
        <v>OK</v>
      </c>
    </row>
    <row r="67" spans="1:29" ht="31.5" x14ac:dyDescent="0.5">
      <c r="A67" s="65">
        <f t="shared" si="2"/>
        <v>47</v>
      </c>
      <c r="B67" s="149">
        <v>1045417404</v>
      </c>
      <c r="C67" s="157" t="s">
        <v>725</v>
      </c>
      <c r="D67" s="151">
        <v>5</v>
      </c>
      <c r="E67" s="152">
        <f>(Tabla3[[#This Row],[CANT]]*5000000)</f>
        <v>25000000</v>
      </c>
      <c r="F67" s="158"/>
      <c r="G67" s="152"/>
      <c r="H67" s="159"/>
      <c r="I67" s="152"/>
      <c r="J67" s="160"/>
      <c r="K67" s="161"/>
      <c r="L67" s="160"/>
      <c r="M67" s="161"/>
      <c r="N67" s="160"/>
      <c r="O67" s="161"/>
      <c r="P67" s="160"/>
      <c r="Q67" s="161"/>
      <c r="R67" s="48">
        <f>(Tabla3[[#This Row],[MONTO]]+Tabla3[[#This Row],[MONTO2]]+Tabla3[[#This Row],[MONTO3]]+Tabla3[[#This Row],[MONTO4]]+Tabla3[[#This Row],[MONTO5]]+Tabla3[[#This Row],[MONTO6]]+Tabla3[[#This Row],[MONTO7]])</f>
        <v>25000000</v>
      </c>
      <c r="S67" s="63">
        <f t="shared" si="10"/>
        <v>22500000</v>
      </c>
      <c r="T67" s="51">
        <f t="shared" si="11"/>
        <v>225000</v>
      </c>
      <c r="U67" s="118">
        <f>(Tabla3[[#This Row],[TOTAL -10%]]*Tabla3[[#This Row],[FIDUCIA]])</f>
        <v>0</v>
      </c>
      <c r="V67" s="118">
        <f>(Tabla3[[#This Row],[TOTAL -10%]]*Tabla3[[#This Row],[NUBE]])</f>
        <v>22275000</v>
      </c>
      <c r="W67" s="80" t="s">
        <v>40</v>
      </c>
      <c r="X67" s="78" t="s">
        <v>43</v>
      </c>
      <c r="Y67" s="79">
        <v>0.01</v>
      </c>
      <c r="Z67" s="79"/>
      <c r="AA67" s="79">
        <v>0.99</v>
      </c>
      <c r="AB67" s="81">
        <f t="shared" si="12"/>
        <v>1</v>
      </c>
      <c r="AC67" s="76" t="str">
        <f t="shared" si="4"/>
        <v>OK</v>
      </c>
    </row>
    <row r="68" spans="1:29" ht="31.5" x14ac:dyDescent="0.5">
      <c r="A68" s="65">
        <f t="shared" si="2"/>
        <v>48</v>
      </c>
      <c r="B68" s="149">
        <v>18510129</v>
      </c>
      <c r="C68" s="157" t="s">
        <v>705</v>
      </c>
      <c r="D68" s="151">
        <v>146</v>
      </c>
      <c r="E68" s="152">
        <f>(Tabla3[[#This Row],[CANT]]*5000000)</f>
        <v>730000000</v>
      </c>
      <c r="F68" s="158">
        <v>60</v>
      </c>
      <c r="G68" s="152">
        <f>(Tabla3[[#This Row],[CANT2]]*10000000)</f>
        <v>600000000</v>
      </c>
      <c r="H68" s="159">
        <v>16</v>
      </c>
      <c r="I68" s="152">
        <f>(Tabla3[[#This Row],[CANT3]]*7500000)</f>
        <v>120000000</v>
      </c>
      <c r="J68" s="160">
        <v>6</v>
      </c>
      <c r="K68" s="161">
        <f>(Tabla3[[#This Row],[CANT4]]*500000)</f>
        <v>3000000</v>
      </c>
      <c r="L68" s="160"/>
      <c r="M68" s="161"/>
      <c r="N68" s="160"/>
      <c r="O68" s="161"/>
      <c r="P68" s="160"/>
      <c r="Q68" s="161"/>
      <c r="R68" s="48">
        <f>(Tabla3[[#This Row],[MONTO]]+Tabla3[[#This Row],[MONTO2]]+Tabla3[[#This Row],[MONTO3]]+Tabla3[[#This Row],[MONTO4]]+Tabla3[[#This Row],[MONTO5]]+Tabla3[[#This Row],[MONTO6]]+Tabla3[[#This Row],[MONTO7]])</f>
        <v>1453000000</v>
      </c>
      <c r="S68" s="63">
        <f t="shared" si="10"/>
        <v>1307700000</v>
      </c>
      <c r="T68" s="51">
        <f t="shared" si="11"/>
        <v>13077000</v>
      </c>
      <c r="U68" s="118">
        <f>(Tabla3[[#This Row],[TOTAL -10%]]*Tabla3[[#This Row],[FIDUCIA]])</f>
        <v>0</v>
      </c>
      <c r="V68" s="118">
        <f>(Tabla3[[#This Row],[TOTAL -10%]]*Tabla3[[#This Row],[NUBE]])</f>
        <v>1294623000</v>
      </c>
      <c r="W68" s="80" t="s">
        <v>40</v>
      </c>
      <c r="X68" s="78" t="s">
        <v>43</v>
      </c>
      <c r="Y68" s="79">
        <v>0.01</v>
      </c>
      <c r="Z68" s="79"/>
      <c r="AA68" s="79">
        <v>0.99</v>
      </c>
      <c r="AB68" s="81">
        <f t="shared" si="12"/>
        <v>1</v>
      </c>
      <c r="AC68" s="76" t="str">
        <f t="shared" si="4"/>
        <v>OK</v>
      </c>
    </row>
    <row r="69" spans="1:29" ht="31.5" x14ac:dyDescent="0.5">
      <c r="A69" s="65">
        <f t="shared" si="2"/>
        <v>49</v>
      </c>
      <c r="B69" s="149">
        <v>12916817</v>
      </c>
      <c r="C69" s="157" t="s">
        <v>702</v>
      </c>
      <c r="D69" s="151">
        <v>5</v>
      </c>
      <c r="E69" s="152">
        <f>(Tabla3[[#This Row],[CANT]]*5000000)</f>
        <v>25000000</v>
      </c>
      <c r="F69" s="158"/>
      <c r="G69" s="152"/>
      <c r="H69" s="159"/>
      <c r="I69" s="152"/>
      <c r="J69" s="160"/>
      <c r="K69" s="161"/>
      <c r="L69" s="160"/>
      <c r="M69" s="161"/>
      <c r="N69" s="160"/>
      <c r="O69" s="161"/>
      <c r="P69" s="160"/>
      <c r="Q69" s="161"/>
      <c r="R69" s="48">
        <f>(Tabla3[[#This Row],[MONTO]]+Tabla3[[#This Row],[MONTO2]]+Tabla3[[#This Row],[MONTO3]]+Tabla3[[#This Row],[MONTO4]]+Tabla3[[#This Row],[MONTO5]]+Tabla3[[#This Row],[MONTO6]]+Tabla3[[#This Row],[MONTO7]])</f>
        <v>25000000</v>
      </c>
      <c r="S69" s="63">
        <f t="shared" si="10"/>
        <v>22500000</v>
      </c>
      <c r="T69" s="51">
        <f t="shared" si="11"/>
        <v>225000</v>
      </c>
      <c r="U69" s="118">
        <f>(Tabla3[[#This Row],[TOTAL -10%]]*Tabla3[[#This Row],[FIDUCIA]])</f>
        <v>0</v>
      </c>
      <c r="V69" s="118">
        <f>(Tabla3[[#This Row],[TOTAL -10%]]*Tabla3[[#This Row],[NUBE]])</f>
        <v>22275000</v>
      </c>
      <c r="W69" s="80" t="s">
        <v>40</v>
      </c>
      <c r="X69" s="78" t="s">
        <v>43</v>
      </c>
      <c r="Y69" s="79">
        <v>0.01</v>
      </c>
      <c r="Z69" s="79"/>
      <c r="AA69" s="79">
        <v>0.99</v>
      </c>
      <c r="AB69" s="81">
        <f t="shared" si="12"/>
        <v>1</v>
      </c>
      <c r="AC69" s="76" t="str">
        <f t="shared" si="4"/>
        <v>OK</v>
      </c>
    </row>
    <row r="70" spans="1:29" ht="31.5" x14ac:dyDescent="0.5">
      <c r="A70" s="65">
        <f t="shared" si="2"/>
        <v>50</v>
      </c>
      <c r="B70" s="149">
        <v>801051038</v>
      </c>
      <c r="C70" s="157" t="s">
        <v>696</v>
      </c>
      <c r="D70" s="151">
        <v>1</v>
      </c>
      <c r="E70" s="152">
        <f>(Tabla3[[#This Row],[CANT]]*5000000)</f>
        <v>5000000</v>
      </c>
      <c r="F70" s="158">
        <v>1</v>
      </c>
      <c r="G70" s="152">
        <f>(Tabla3[[#This Row],[CANT2]]*10000000)</f>
        <v>10000000</v>
      </c>
      <c r="H70" s="159">
        <v>2</v>
      </c>
      <c r="I70" s="152">
        <f>(Tabla3[[#This Row],[CANT3]]*7500000)</f>
        <v>15000000</v>
      </c>
      <c r="J70" s="160"/>
      <c r="K70" s="161"/>
      <c r="L70" s="160"/>
      <c r="M70" s="161"/>
      <c r="N70" s="160"/>
      <c r="O70" s="161"/>
      <c r="P70" s="160"/>
      <c r="Q70" s="161"/>
      <c r="R70" s="48">
        <f>(Tabla3[[#This Row],[MONTO]]+Tabla3[[#This Row],[MONTO2]]+Tabla3[[#This Row],[MONTO3]]+Tabla3[[#This Row],[MONTO4]]+Tabla3[[#This Row],[MONTO5]]+Tabla3[[#This Row],[MONTO6]]+Tabla3[[#This Row],[MONTO7]])</f>
        <v>30000000</v>
      </c>
      <c r="S70" s="63">
        <f t="shared" si="10"/>
        <v>27000000</v>
      </c>
      <c r="T70" s="51">
        <f t="shared" si="11"/>
        <v>270000</v>
      </c>
      <c r="U70" s="118">
        <f>(Tabla3[[#This Row],[TOTAL -10%]]*Tabla3[[#This Row],[FIDUCIA]])</f>
        <v>0</v>
      </c>
      <c r="V70" s="118">
        <f>(Tabla3[[#This Row],[TOTAL -10%]]*Tabla3[[#This Row],[NUBE]])</f>
        <v>26730000</v>
      </c>
      <c r="W70" s="80" t="s">
        <v>40</v>
      </c>
      <c r="X70" s="78" t="s">
        <v>43</v>
      </c>
      <c r="Y70" s="79">
        <v>0.01</v>
      </c>
      <c r="Z70" s="79"/>
      <c r="AA70" s="79">
        <v>0.99</v>
      </c>
      <c r="AB70" s="81">
        <f t="shared" si="12"/>
        <v>1</v>
      </c>
      <c r="AC70" s="76" t="str">
        <f t="shared" si="4"/>
        <v>OK</v>
      </c>
    </row>
    <row r="71" spans="1:29" ht="31.5" x14ac:dyDescent="0.5">
      <c r="A71" s="65">
        <f t="shared" si="2"/>
        <v>51</v>
      </c>
      <c r="B71" s="149">
        <v>85477130</v>
      </c>
      <c r="C71" s="157" t="s">
        <v>690</v>
      </c>
      <c r="D71" s="151">
        <v>5</v>
      </c>
      <c r="E71" s="152">
        <f>(Tabla3[[#This Row],[CANT]]*5000000)</f>
        <v>25000000</v>
      </c>
      <c r="F71" s="158">
        <v>2</v>
      </c>
      <c r="G71" s="152">
        <f>(Tabla3[[#This Row],[CANT2]]*10000000)</f>
        <v>20000000</v>
      </c>
      <c r="H71" s="159"/>
      <c r="I71" s="152"/>
      <c r="J71" s="160"/>
      <c r="K71" s="161"/>
      <c r="L71" s="160"/>
      <c r="M71" s="161"/>
      <c r="N71" s="160"/>
      <c r="O71" s="161"/>
      <c r="P71" s="160"/>
      <c r="Q71" s="161"/>
      <c r="R71" s="48">
        <f>(Tabla3[[#This Row],[MONTO]]+Tabla3[[#This Row],[MONTO2]]+Tabla3[[#This Row],[MONTO3]]+Tabla3[[#This Row],[MONTO4]]+Tabla3[[#This Row],[MONTO5]]+Tabla3[[#This Row],[MONTO6]]+Tabla3[[#This Row],[MONTO7]])</f>
        <v>45000000</v>
      </c>
      <c r="S71" s="63">
        <f t="shared" si="10"/>
        <v>40500000</v>
      </c>
      <c r="T71" s="51">
        <f t="shared" si="11"/>
        <v>405000</v>
      </c>
      <c r="U71" s="118">
        <f>(Tabla3[[#This Row],[TOTAL -10%]]*Tabla3[[#This Row],[FIDUCIA]])</f>
        <v>0</v>
      </c>
      <c r="V71" s="118">
        <f>(Tabla3[[#This Row],[TOTAL -10%]]*Tabla3[[#This Row],[NUBE]])</f>
        <v>40095000</v>
      </c>
      <c r="W71" s="80" t="s">
        <v>40</v>
      </c>
      <c r="X71" s="78" t="s">
        <v>43</v>
      </c>
      <c r="Y71" s="79">
        <v>0.01</v>
      </c>
      <c r="Z71" s="79"/>
      <c r="AA71" s="79">
        <v>0.99</v>
      </c>
      <c r="AB71" s="81">
        <f t="shared" si="12"/>
        <v>1</v>
      </c>
      <c r="AC71" s="76" t="str">
        <f t="shared" si="4"/>
        <v>OK</v>
      </c>
    </row>
    <row r="72" spans="1:29" ht="31.5" x14ac:dyDescent="0.5">
      <c r="A72" s="65">
        <f t="shared" si="2"/>
        <v>52</v>
      </c>
      <c r="B72" s="149">
        <v>1053808723</v>
      </c>
      <c r="C72" s="157" t="s">
        <v>673</v>
      </c>
      <c r="D72" s="151">
        <v>140</v>
      </c>
      <c r="E72" s="152">
        <f>(Tabla3[[#This Row],[CANT]]*5000000)</f>
        <v>700000000</v>
      </c>
      <c r="F72" s="158">
        <v>8</v>
      </c>
      <c r="G72" s="152">
        <f>(Tabla3[[#This Row],[CANT2]]*10000000)</f>
        <v>80000000</v>
      </c>
      <c r="H72" s="159">
        <v>75</v>
      </c>
      <c r="I72" s="152">
        <f>(Tabla3[[#This Row],[CANT3]]*7500000)</f>
        <v>562500000</v>
      </c>
      <c r="J72" s="160">
        <v>48</v>
      </c>
      <c r="K72" s="161">
        <f>(Tabla3[[#This Row],[CANT4]]*500000)</f>
        <v>24000000</v>
      </c>
      <c r="L72" s="160"/>
      <c r="M72" s="161"/>
      <c r="N72" s="160">
        <v>2</v>
      </c>
      <c r="O72" s="161">
        <f>(N72*200000)</f>
        <v>400000</v>
      </c>
      <c r="P72" s="160" t="s">
        <v>140</v>
      </c>
      <c r="Q72" s="161">
        <f>(20*15000000)</f>
        <v>300000000</v>
      </c>
      <c r="R72" s="48">
        <f>(Tabla3[[#This Row],[MONTO]]+Tabla3[[#This Row],[MONTO2]]+Tabla3[[#This Row],[MONTO3]]+Tabla3[[#This Row],[MONTO4]]+Tabla3[[#This Row],[MONTO5]]+Tabla3[[#This Row],[MONTO6]]+Tabla3[[#This Row],[MONTO7]])</f>
        <v>1666900000</v>
      </c>
      <c r="S72" s="63">
        <f t="shared" si="10"/>
        <v>1500210000</v>
      </c>
      <c r="T72" s="51">
        <f t="shared" si="11"/>
        <v>15002100</v>
      </c>
      <c r="U72" s="118">
        <f>(Tabla3[[#This Row],[TOTAL -10%]]*Tabla3[[#This Row],[FIDUCIA]])</f>
        <v>0</v>
      </c>
      <c r="V72" s="118">
        <f>(Tabla3[[#This Row],[TOTAL -10%]]*Tabla3[[#This Row],[NUBE]])</f>
        <v>1485207900</v>
      </c>
      <c r="W72" s="80" t="s">
        <v>40</v>
      </c>
      <c r="X72" s="78" t="s">
        <v>43</v>
      </c>
      <c r="Y72" s="79">
        <v>0.01</v>
      </c>
      <c r="Z72" s="79"/>
      <c r="AA72" s="79">
        <v>0.99</v>
      </c>
      <c r="AB72" s="81">
        <f t="shared" si="12"/>
        <v>1</v>
      </c>
      <c r="AC72" s="76" t="str">
        <f t="shared" si="4"/>
        <v>OK</v>
      </c>
    </row>
    <row r="73" spans="1:29" ht="31.5" x14ac:dyDescent="0.5">
      <c r="A73" s="65">
        <f t="shared" si="2"/>
        <v>53</v>
      </c>
      <c r="B73" s="149">
        <v>1094879054</v>
      </c>
      <c r="C73" s="157" t="s">
        <v>666</v>
      </c>
      <c r="D73" s="151">
        <v>20</v>
      </c>
      <c r="E73" s="152">
        <f>(Tabla3[[#This Row],[CANT]]*5000000)</f>
        <v>100000000</v>
      </c>
      <c r="F73" s="158"/>
      <c r="G73" s="152"/>
      <c r="H73" s="159"/>
      <c r="I73" s="152"/>
      <c r="J73" s="160"/>
      <c r="K73" s="161"/>
      <c r="L73" s="160"/>
      <c r="M73" s="161"/>
      <c r="N73" s="160"/>
      <c r="O73" s="161"/>
      <c r="P73" s="160"/>
      <c r="Q73" s="161"/>
      <c r="R73" s="48">
        <f>(Tabla3[[#This Row],[MONTO]]+Tabla3[[#This Row],[MONTO2]]+Tabla3[[#This Row],[MONTO3]]+Tabla3[[#This Row],[MONTO4]]+Tabla3[[#This Row],[MONTO5]]+Tabla3[[#This Row],[MONTO6]]+Tabla3[[#This Row],[MONTO7]])</f>
        <v>100000000</v>
      </c>
      <c r="S73" s="63">
        <f t="shared" si="10"/>
        <v>90000000</v>
      </c>
      <c r="T73" s="51">
        <f t="shared" si="11"/>
        <v>900000</v>
      </c>
      <c r="U73" s="118">
        <f>(Tabla3[[#This Row],[TOTAL -10%]]*Tabla3[[#This Row],[FIDUCIA]])</f>
        <v>89100000</v>
      </c>
      <c r="V73" s="118">
        <f>(Tabla3[[#This Row],[TOTAL -10%]]*Tabla3[[#This Row],[NUBE]])</f>
        <v>0</v>
      </c>
      <c r="W73" s="80" t="s">
        <v>40</v>
      </c>
      <c r="X73" s="78" t="s">
        <v>42</v>
      </c>
      <c r="Y73" s="79">
        <v>0.01</v>
      </c>
      <c r="Z73" s="79">
        <v>0.99</v>
      </c>
      <c r="AA73" s="79"/>
      <c r="AB73" s="81">
        <f t="shared" si="12"/>
        <v>1</v>
      </c>
      <c r="AC73" s="76" t="str">
        <f t="shared" si="4"/>
        <v>OK</v>
      </c>
    </row>
    <row r="74" spans="1:29" ht="31.5" x14ac:dyDescent="0.5">
      <c r="A74" s="65">
        <f t="shared" si="2"/>
        <v>54</v>
      </c>
      <c r="B74" s="149">
        <v>98593548</v>
      </c>
      <c r="C74" s="157" t="s">
        <v>644</v>
      </c>
      <c r="D74" s="151">
        <v>2</v>
      </c>
      <c r="E74" s="152">
        <f>(Tabla3[[#This Row],[CANT]]*5000000)</f>
        <v>10000000</v>
      </c>
      <c r="F74" s="158">
        <v>2</v>
      </c>
      <c r="G74" s="152">
        <f>(Tabla3[[#This Row],[CANT2]]*10000000)</f>
        <v>20000000</v>
      </c>
      <c r="H74" s="159">
        <v>1</v>
      </c>
      <c r="I74" s="152">
        <f>(Tabla3[[#This Row],[CANT3]]*7500000)</f>
        <v>7500000</v>
      </c>
      <c r="J74" s="160"/>
      <c r="K74" s="161"/>
      <c r="L74" s="160"/>
      <c r="M74" s="161"/>
      <c r="N74" s="160"/>
      <c r="O74" s="161"/>
      <c r="P74" s="160"/>
      <c r="Q74" s="161"/>
      <c r="R74" s="48">
        <f>(Tabla3[[#This Row],[MONTO]]+Tabla3[[#This Row],[MONTO2]]+Tabla3[[#This Row],[MONTO3]]+Tabla3[[#This Row],[MONTO4]]+Tabla3[[#This Row],[MONTO5]]+Tabla3[[#This Row],[MONTO6]]+Tabla3[[#This Row],[MONTO7]])</f>
        <v>37500000</v>
      </c>
      <c r="S74" s="63">
        <f t="shared" si="10"/>
        <v>33750000</v>
      </c>
      <c r="T74" s="51">
        <f t="shared" si="11"/>
        <v>337500</v>
      </c>
      <c r="U74" s="118">
        <f>(Tabla3[[#This Row],[TOTAL -10%]]*Tabla3[[#This Row],[FIDUCIA]])</f>
        <v>33412500</v>
      </c>
      <c r="V74" s="118">
        <f>(Tabla3[[#This Row],[TOTAL -10%]]*Tabla3[[#This Row],[NUBE]])</f>
        <v>0</v>
      </c>
      <c r="W74" s="80" t="s">
        <v>40</v>
      </c>
      <c r="X74" s="78" t="s">
        <v>42</v>
      </c>
      <c r="Y74" s="79">
        <v>0.01</v>
      </c>
      <c r="Z74" s="79">
        <v>0.99</v>
      </c>
      <c r="AA74" s="79"/>
      <c r="AB74" s="81">
        <f t="shared" si="12"/>
        <v>1</v>
      </c>
      <c r="AC74" s="76" t="str">
        <f t="shared" si="4"/>
        <v>OK</v>
      </c>
    </row>
    <row r="75" spans="1:29" ht="31.5" x14ac:dyDescent="0.5">
      <c r="A75" s="65">
        <f t="shared" si="2"/>
        <v>55</v>
      </c>
      <c r="B75" s="149">
        <v>1061822050</v>
      </c>
      <c r="C75" s="157" t="s">
        <v>637</v>
      </c>
      <c r="D75" s="151">
        <v>1</v>
      </c>
      <c r="E75" s="152">
        <f>(Tabla3[[#This Row],[CANT]]*5000000)</f>
        <v>5000000</v>
      </c>
      <c r="F75" s="158"/>
      <c r="G75" s="152"/>
      <c r="H75" s="159"/>
      <c r="I75" s="152"/>
      <c r="J75" s="160"/>
      <c r="K75" s="161"/>
      <c r="L75" s="160"/>
      <c r="M75" s="161"/>
      <c r="N75" s="160"/>
      <c r="O75" s="161"/>
      <c r="P75" s="160"/>
      <c r="Q75" s="161"/>
      <c r="R75" s="48">
        <f>(Tabla3[[#This Row],[MONTO]]+Tabla3[[#This Row],[MONTO2]]+Tabla3[[#This Row],[MONTO3]]+Tabla3[[#This Row],[MONTO4]]+Tabla3[[#This Row],[MONTO5]]+Tabla3[[#This Row],[MONTO6]]+Tabla3[[#This Row],[MONTO7]])</f>
        <v>5000000</v>
      </c>
      <c r="S75" s="63">
        <f t="shared" si="10"/>
        <v>4500000</v>
      </c>
      <c r="T75" s="51">
        <f t="shared" si="11"/>
        <v>45000</v>
      </c>
      <c r="U75" s="118">
        <f>(Tabla3[[#This Row],[TOTAL -10%]]*Tabla3[[#This Row],[FIDUCIA]])</f>
        <v>4455000</v>
      </c>
      <c r="V75" s="118">
        <f>(Tabla3[[#This Row],[TOTAL -10%]]*Tabla3[[#This Row],[NUBE]])</f>
        <v>0</v>
      </c>
      <c r="W75" s="80" t="s">
        <v>40</v>
      </c>
      <c r="X75" s="78" t="s">
        <v>42</v>
      </c>
      <c r="Y75" s="79">
        <v>0.01</v>
      </c>
      <c r="Z75" s="79">
        <v>0.99</v>
      </c>
      <c r="AA75" s="79"/>
      <c r="AB75" s="81">
        <f t="shared" si="12"/>
        <v>1</v>
      </c>
      <c r="AC75" s="76" t="str">
        <f t="shared" si="4"/>
        <v>OK</v>
      </c>
    </row>
    <row r="76" spans="1:29" ht="31.5" x14ac:dyDescent="0.5">
      <c r="A76" s="65">
        <f t="shared" si="2"/>
        <v>56</v>
      </c>
      <c r="B76" s="149">
        <v>7542612</v>
      </c>
      <c r="C76" s="157" t="s">
        <v>630</v>
      </c>
      <c r="D76" s="151">
        <v>45</v>
      </c>
      <c r="E76" s="152">
        <f>(Tabla3[[#This Row],[CANT]]*5000000)</f>
        <v>225000000</v>
      </c>
      <c r="F76" s="158">
        <v>5</v>
      </c>
      <c r="G76" s="152">
        <f>(Tabla3[[#This Row],[CANT2]]*10000000)</f>
        <v>50000000</v>
      </c>
      <c r="H76" s="159">
        <v>3</v>
      </c>
      <c r="I76" s="152">
        <f>(Tabla3[[#This Row],[CANT3]]*7500000)</f>
        <v>22500000</v>
      </c>
      <c r="J76" s="160"/>
      <c r="K76" s="161"/>
      <c r="L76" s="160"/>
      <c r="M76" s="161"/>
      <c r="N76" s="160"/>
      <c r="O76" s="161"/>
      <c r="P76" s="160"/>
      <c r="Q76" s="161"/>
      <c r="R76" s="48">
        <f>(Tabla3[[#This Row],[MONTO]]+Tabla3[[#This Row],[MONTO2]]+Tabla3[[#This Row],[MONTO3]]+Tabla3[[#This Row],[MONTO4]]+Tabla3[[#This Row],[MONTO5]]+Tabla3[[#This Row],[MONTO6]]+Tabla3[[#This Row],[MONTO7]])</f>
        <v>297500000</v>
      </c>
      <c r="S76" s="63">
        <f t="shared" si="10"/>
        <v>267750000</v>
      </c>
      <c r="T76" s="51">
        <f t="shared" si="11"/>
        <v>2677500</v>
      </c>
      <c r="U76" s="118">
        <f>(Tabla3[[#This Row],[TOTAL -10%]]*Tabla3[[#This Row],[FIDUCIA]])</f>
        <v>265072500</v>
      </c>
      <c r="V76" s="118">
        <f>(Tabla3[[#This Row],[TOTAL -10%]]*Tabla3[[#This Row],[NUBE]])</f>
        <v>0</v>
      </c>
      <c r="W76" s="80" t="s">
        <v>40</v>
      </c>
      <c r="X76" s="78" t="s">
        <v>42</v>
      </c>
      <c r="Y76" s="79">
        <v>0.01</v>
      </c>
      <c r="Z76" s="79">
        <v>0.99</v>
      </c>
      <c r="AA76" s="79"/>
      <c r="AB76" s="81">
        <f t="shared" si="12"/>
        <v>1</v>
      </c>
      <c r="AC76" s="76" t="str">
        <f t="shared" si="4"/>
        <v>OK</v>
      </c>
    </row>
    <row r="77" spans="1:29" ht="31.5" x14ac:dyDescent="0.5">
      <c r="A77" s="65">
        <f t="shared" si="2"/>
        <v>57</v>
      </c>
      <c r="B77" s="149">
        <v>802700575</v>
      </c>
      <c r="C77" s="157" t="s">
        <v>618</v>
      </c>
      <c r="D77" s="151">
        <v>7</v>
      </c>
      <c r="E77" s="152">
        <f>(Tabla3[[#This Row],[CANT]]*5000000)</f>
        <v>35000000</v>
      </c>
      <c r="F77" s="158">
        <v>19</v>
      </c>
      <c r="G77" s="152">
        <f>(Tabla3[[#This Row],[CANT2]]*10000000)</f>
        <v>190000000</v>
      </c>
      <c r="H77" s="159">
        <v>9</v>
      </c>
      <c r="I77" s="152">
        <f>(Tabla3[[#This Row],[CANT3]]*7500000)</f>
        <v>67500000</v>
      </c>
      <c r="J77" s="160"/>
      <c r="K77" s="161"/>
      <c r="L77" s="160"/>
      <c r="M77" s="161"/>
      <c r="N77" s="160"/>
      <c r="O77" s="161"/>
      <c r="P77" s="160"/>
      <c r="Q77" s="161"/>
      <c r="R77" s="48">
        <f>(Tabla3[[#This Row],[MONTO]]+Tabla3[[#This Row],[MONTO2]]+Tabla3[[#This Row],[MONTO3]]+Tabla3[[#This Row],[MONTO4]]+Tabla3[[#This Row],[MONTO5]]+Tabla3[[#This Row],[MONTO6]]+Tabla3[[#This Row],[MONTO7]])</f>
        <v>292500000</v>
      </c>
      <c r="S77" s="63">
        <f t="shared" si="10"/>
        <v>263250000</v>
      </c>
      <c r="T77" s="51">
        <f t="shared" si="11"/>
        <v>2632500</v>
      </c>
      <c r="U77" s="118">
        <f>(Tabla3[[#This Row],[TOTAL -10%]]*Tabla3[[#This Row],[FIDUCIA]])</f>
        <v>0</v>
      </c>
      <c r="V77" s="118">
        <f>(Tabla3[[#This Row],[TOTAL -10%]]*Tabla3[[#This Row],[NUBE]])</f>
        <v>260617500</v>
      </c>
      <c r="W77" s="80" t="s">
        <v>40</v>
      </c>
      <c r="X77" s="78" t="s">
        <v>43</v>
      </c>
      <c r="Y77" s="79">
        <v>0.01</v>
      </c>
      <c r="Z77" s="79"/>
      <c r="AA77" s="79">
        <v>0.99</v>
      </c>
      <c r="AB77" s="81">
        <f t="shared" si="12"/>
        <v>1</v>
      </c>
      <c r="AC77" s="76" t="str">
        <f t="shared" si="4"/>
        <v>OK</v>
      </c>
    </row>
    <row r="78" spans="1:29" ht="31.5" x14ac:dyDescent="0.5">
      <c r="A78" s="65">
        <f t="shared" si="2"/>
        <v>58</v>
      </c>
      <c r="B78" s="149" t="s">
        <v>612</v>
      </c>
      <c r="C78" s="157" t="s">
        <v>613</v>
      </c>
      <c r="D78" s="151">
        <v>2</v>
      </c>
      <c r="E78" s="152">
        <f>(Tabla3[[#This Row],[CANT]]*5000000)</f>
        <v>10000000</v>
      </c>
      <c r="F78" s="158">
        <v>3</v>
      </c>
      <c r="G78" s="152">
        <f>(Tabla3[[#This Row],[CANT2]]*10000000)</f>
        <v>30000000</v>
      </c>
      <c r="H78" s="159"/>
      <c r="I78" s="152"/>
      <c r="J78" s="160"/>
      <c r="K78" s="161"/>
      <c r="L78" s="160"/>
      <c r="M78" s="161"/>
      <c r="N78" s="160"/>
      <c r="O78" s="161"/>
      <c r="P78" s="160"/>
      <c r="Q78" s="161"/>
      <c r="R78" s="48">
        <f>(Tabla3[[#This Row],[MONTO]]+Tabla3[[#This Row],[MONTO2]]+Tabla3[[#This Row],[MONTO3]]+Tabla3[[#This Row],[MONTO4]]+Tabla3[[#This Row],[MONTO5]]+Tabla3[[#This Row],[MONTO6]]+Tabla3[[#This Row],[MONTO7]])</f>
        <v>40000000</v>
      </c>
      <c r="S78" s="63">
        <f t="shared" si="10"/>
        <v>36000000</v>
      </c>
      <c r="T78" s="51">
        <f t="shared" si="11"/>
        <v>360000</v>
      </c>
      <c r="U78" s="118">
        <f>(Tabla3[[#This Row],[TOTAL -10%]]*Tabla3[[#This Row],[FIDUCIA]])</f>
        <v>0</v>
      </c>
      <c r="V78" s="118">
        <f>(Tabla3[[#This Row],[TOTAL -10%]]*Tabla3[[#This Row],[NUBE]])</f>
        <v>35640000</v>
      </c>
      <c r="W78" s="80" t="s">
        <v>40</v>
      </c>
      <c r="X78" s="78" t="s">
        <v>43</v>
      </c>
      <c r="Y78" s="79">
        <v>0.01</v>
      </c>
      <c r="Z78" s="79"/>
      <c r="AA78" s="79">
        <v>0.99</v>
      </c>
      <c r="AB78" s="81">
        <f t="shared" si="12"/>
        <v>1</v>
      </c>
      <c r="AC78" s="76" t="str">
        <f t="shared" si="4"/>
        <v>OK</v>
      </c>
    </row>
    <row r="79" spans="1:29" ht="31.5" x14ac:dyDescent="0.5">
      <c r="A79" s="65">
        <f t="shared" si="2"/>
        <v>59</v>
      </c>
      <c r="B79" s="149">
        <v>17410384</v>
      </c>
      <c r="C79" s="157" t="s">
        <v>606</v>
      </c>
      <c r="D79" s="151">
        <v>10</v>
      </c>
      <c r="E79" s="152">
        <f>(Tabla3[[#This Row],[CANT]]*5000000)</f>
        <v>50000000</v>
      </c>
      <c r="F79" s="158"/>
      <c r="G79" s="152"/>
      <c r="H79" s="159"/>
      <c r="I79" s="152"/>
      <c r="J79" s="160"/>
      <c r="K79" s="161"/>
      <c r="L79" s="160"/>
      <c r="M79" s="161"/>
      <c r="N79" s="160"/>
      <c r="O79" s="161"/>
      <c r="P79" s="160"/>
      <c r="Q79" s="161"/>
      <c r="R79" s="48">
        <f>(Tabla3[[#This Row],[MONTO]]+Tabla3[[#This Row],[MONTO2]]+Tabla3[[#This Row],[MONTO3]]+Tabla3[[#This Row],[MONTO4]]+Tabla3[[#This Row],[MONTO5]]+Tabla3[[#This Row],[MONTO6]]+Tabla3[[#This Row],[MONTO7]])</f>
        <v>50000000</v>
      </c>
      <c r="S79" s="63">
        <f t="shared" si="10"/>
        <v>45000000</v>
      </c>
      <c r="T79" s="51">
        <f t="shared" si="11"/>
        <v>450000</v>
      </c>
      <c r="U79" s="118">
        <f>(Tabla3[[#This Row],[TOTAL -10%]]*Tabla3[[#This Row],[FIDUCIA]])</f>
        <v>0</v>
      </c>
      <c r="V79" s="118">
        <f>(Tabla3[[#This Row],[TOTAL -10%]]*Tabla3[[#This Row],[NUBE]])</f>
        <v>44550000</v>
      </c>
      <c r="W79" s="80" t="s">
        <v>40</v>
      </c>
      <c r="X79" s="78" t="s">
        <v>43</v>
      </c>
      <c r="Y79" s="79">
        <v>0.01</v>
      </c>
      <c r="Z79" s="79"/>
      <c r="AA79" s="79">
        <v>0.99</v>
      </c>
      <c r="AB79" s="81">
        <f t="shared" si="12"/>
        <v>1</v>
      </c>
      <c r="AC79" s="76" t="str">
        <f t="shared" si="4"/>
        <v>OK</v>
      </c>
    </row>
    <row r="80" spans="1:29" ht="31.5" x14ac:dyDescent="0.5">
      <c r="A80" s="65">
        <f t="shared" si="2"/>
        <v>60</v>
      </c>
      <c r="B80" s="149">
        <v>1097397130</v>
      </c>
      <c r="C80" s="157" t="s">
        <v>596</v>
      </c>
      <c r="D80" s="151">
        <v>22</v>
      </c>
      <c r="E80" s="152">
        <f>(Tabla3[[#This Row],[CANT]]*5000000)</f>
        <v>110000000</v>
      </c>
      <c r="F80" s="158">
        <v>5</v>
      </c>
      <c r="G80" s="152">
        <f>(Tabla3[[#This Row],[CANT2]]*10000000)</f>
        <v>50000000</v>
      </c>
      <c r="H80" s="159"/>
      <c r="I80" s="152"/>
      <c r="J80" s="160"/>
      <c r="K80" s="161"/>
      <c r="L80" s="160"/>
      <c r="M80" s="161"/>
      <c r="N80" s="160"/>
      <c r="O80" s="161"/>
      <c r="P80" s="160"/>
      <c r="Q80" s="161"/>
      <c r="R80" s="48">
        <f>(Tabla3[[#This Row],[MONTO]]+Tabla3[[#This Row],[MONTO2]]+Tabla3[[#This Row],[MONTO3]]+Tabla3[[#This Row],[MONTO4]]+Tabla3[[#This Row],[MONTO5]]+Tabla3[[#This Row],[MONTO6]]+Tabla3[[#This Row],[MONTO7]])</f>
        <v>160000000</v>
      </c>
      <c r="S80" s="63">
        <f t="shared" si="10"/>
        <v>144000000</v>
      </c>
      <c r="T80" s="51">
        <f t="shared" si="11"/>
        <v>1440000</v>
      </c>
      <c r="U80" s="118">
        <f>(Tabla3[[#This Row],[TOTAL -10%]]*Tabla3[[#This Row],[FIDUCIA]])</f>
        <v>0</v>
      </c>
      <c r="V80" s="118">
        <f>(Tabla3[[#This Row],[TOTAL -10%]]*Tabla3[[#This Row],[NUBE]])</f>
        <v>142560000</v>
      </c>
      <c r="W80" s="80" t="s">
        <v>40</v>
      </c>
      <c r="X80" s="78" t="s">
        <v>43</v>
      </c>
      <c r="Y80" s="79">
        <v>0.01</v>
      </c>
      <c r="Z80" s="79"/>
      <c r="AA80" s="79">
        <v>0.99</v>
      </c>
      <c r="AB80" s="81">
        <f t="shared" si="12"/>
        <v>1</v>
      </c>
      <c r="AC80" s="76" t="str">
        <f t="shared" si="4"/>
        <v>OK</v>
      </c>
    </row>
    <row r="81" spans="1:29" ht="31.5" x14ac:dyDescent="0.5">
      <c r="A81" s="65">
        <f t="shared" si="2"/>
        <v>61</v>
      </c>
      <c r="B81" s="149">
        <v>30856126</v>
      </c>
      <c r="C81" s="157" t="s">
        <v>588</v>
      </c>
      <c r="D81" s="151">
        <v>7</v>
      </c>
      <c r="E81" s="152">
        <f>(Tabla3[[#This Row],[CANT]]*5000000)</f>
        <v>35000000</v>
      </c>
      <c r="F81" s="158">
        <v>7</v>
      </c>
      <c r="G81" s="152">
        <f>(Tabla3[[#This Row],[CANT2]]*10000000)</f>
        <v>70000000</v>
      </c>
      <c r="H81" s="159"/>
      <c r="I81" s="152"/>
      <c r="J81" s="160"/>
      <c r="K81" s="161"/>
      <c r="L81" s="160"/>
      <c r="M81" s="161"/>
      <c r="N81" s="160"/>
      <c r="O81" s="161"/>
      <c r="P81" s="160"/>
      <c r="Q81" s="161"/>
      <c r="R81" s="48">
        <f>(Tabla3[[#This Row],[MONTO]]+Tabla3[[#This Row],[MONTO2]]+Tabla3[[#This Row],[MONTO3]]+Tabla3[[#This Row],[MONTO4]]+Tabla3[[#This Row],[MONTO5]]+Tabla3[[#This Row],[MONTO6]]+Tabla3[[#This Row],[MONTO7]])</f>
        <v>105000000</v>
      </c>
      <c r="S81" s="63">
        <f t="shared" si="10"/>
        <v>94500000</v>
      </c>
      <c r="T81" s="51">
        <f t="shared" si="11"/>
        <v>945000</v>
      </c>
      <c r="U81" s="118">
        <f>(Tabla3[[#This Row],[TOTAL -10%]]*Tabla3[[#This Row],[FIDUCIA]])</f>
        <v>0</v>
      </c>
      <c r="V81" s="118">
        <f>(Tabla3[[#This Row],[TOTAL -10%]]*Tabla3[[#This Row],[NUBE]])</f>
        <v>93555000</v>
      </c>
      <c r="W81" s="80" t="s">
        <v>40</v>
      </c>
      <c r="X81" s="78" t="s">
        <v>43</v>
      </c>
      <c r="Y81" s="79">
        <v>0.01</v>
      </c>
      <c r="Z81" s="79"/>
      <c r="AA81" s="79">
        <v>0.99</v>
      </c>
      <c r="AB81" s="81">
        <f t="shared" si="12"/>
        <v>1</v>
      </c>
      <c r="AC81" s="76" t="str">
        <f t="shared" si="4"/>
        <v>OK</v>
      </c>
    </row>
    <row r="82" spans="1:29" ht="31.5" x14ac:dyDescent="0.5">
      <c r="A82" s="65">
        <f t="shared" si="2"/>
        <v>62</v>
      </c>
      <c r="B82" s="149">
        <v>1305590745</v>
      </c>
      <c r="C82" s="157" t="s">
        <v>580</v>
      </c>
      <c r="D82" s="151">
        <v>5</v>
      </c>
      <c r="E82" s="152">
        <f>(Tabla3[[#This Row],[CANT]]*5000000)</f>
        <v>25000000</v>
      </c>
      <c r="F82" s="162"/>
      <c r="G82" s="152"/>
      <c r="H82" s="159"/>
      <c r="I82" s="152"/>
      <c r="J82" s="160"/>
      <c r="K82" s="161"/>
      <c r="L82" s="160"/>
      <c r="M82" s="161"/>
      <c r="N82" s="160"/>
      <c r="O82" s="161"/>
      <c r="P82" s="160"/>
      <c r="Q82" s="161"/>
      <c r="R82" s="48">
        <f>(Tabla3[[#This Row],[MONTO]]+Tabla3[[#This Row],[MONTO2]]+Tabla3[[#This Row],[MONTO3]]+Tabla3[[#This Row],[MONTO4]]+Tabla3[[#This Row],[MONTO5]]+Tabla3[[#This Row],[MONTO6]]+Tabla3[[#This Row],[MONTO7]])</f>
        <v>25000000</v>
      </c>
      <c r="S82" s="63">
        <f t="shared" si="10"/>
        <v>22500000</v>
      </c>
      <c r="T82" s="51">
        <f t="shared" si="11"/>
        <v>225000</v>
      </c>
      <c r="U82" s="118">
        <f>(Tabla3[[#This Row],[TOTAL -10%]]*Tabla3[[#This Row],[FIDUCIA]])</f>
        <v>0</v>
      </c>
      <c r="V82" s="118">
        <f>(Tabla3[[#This Row],[TOTAL -10%]]*Tabla3[[#This Row],[NUBE]])</f>
        <v>22275000</v>
      </c>
      <c r="W82" s="80" t="s">
        <v>40</v>
      </c>
      <c r="X82" s="78" t="s">
        <v>43</v>
      </c>
      <c r="Y82" s="79">
        <v>0.01</v>
      </c>
      <c r="Z82" s="79"/>
      <c r="AA82" s="79">
        <v>0.99</v>
      </c>
      <c r="AB82" s="81">
        <f t="shared" si="12"/>
        <v>1</v>
      </c>
      <c r="AC82" s="76" t="str">
        <f t="shared" si="4"/>
        <v>OK</v>
      </c>
    </row>
    <row r="83" spans="1:29" ht="31.5" x14ac:dyDescent="0.5">
      <c r="A83" s="65">
        <f t="shared" si="2"/>
        <v>63</v>
      </c>
      <c r="B83" s="149">
        <v>1088355401</v>
      </c>
      <c r="C83" s="157" t="s">
        <v>573</v>
      </c>
      <c r="D83" s="151">
        <v>2</v>
      </c>
      <c r="E83" s="152">
        <f>(Tabla3[[#This Row],[CANT]]*5000000)</f>
        <v>10000000</v>
      </c>
      <c r="F83" s="158"/>
      <c r="G83" s="152"/>
      <c r="H83" s="159"/>
      <c r="I83" s="152"/>
      <c r="J83" s="160"/>
      <c r="K83" s="161"/>
      <c r="L83" s="160"/>
      <c r="M83" s="161"/>
      <c r="N83" s="160"/>
      <c r="O83" s="161"/>
      <c r="P83" s="160"/>
      <c r="Q83" s="161"/>
      <c r="R83" s="48">
        <f>(Tabla3[[#This Row],[MONTO]]+Tabla3[[#This Row],[MONTO2]]+Tabla3[[#This Row],[MONTO3]]+Tabla3[[#This Row],[MONTO4]]+Tabla3[[#This Row],[MONTO5]]+Tabla3[[#This Row],[MONTO6]]+Tabla3[[#This Row],[MONTO7]])</f>
        <v>10000000</v>
      </c>
      <c r="S83" s="63">
        <f t="shared" si="10"/>
        <v>9000000</v>
      </c>
      <c r="T83" s="51">
        <f t="shared" si="11"/>
        <v>90000</v>
      </c>
      <c r="U83" s="118">
        <f>(Tabla3[[#This Row],[TOTAL -10%]]*Tabla3[[#This Row],[FIDUCIA]])</f>
        <v>0</v>
      </c>
      <c r="V83" s="118">
        <f>(Tabla3[[#This Row],[TOTAL -10%]]*Tabla3[[#This Row],[NUBE]])</f>
        <v>8910000</v>
      </c>
      <c r="W83" s="80" t="s">
        <v>40</v>
      </c>
      <c r="X83" s="78" t="s">
        <v>43</v>
      </c>
      <c r="Y83" s="79">
        <v>0.01</v>
      </c>
      <c r="Z83" s="79"/>
      <c r="AA83" s="79">
        <v>0.99</v>
      </c>
      <c r="AB83" s="81">
        <f t="shared" si="12"/>
        <v>1</v>
      </c>
      <c r="AC83" s="76" t="str">
        <f t="shared" si="4"/>
        <v>OK</v>
      </c>
    </row>
    <row r="84" spans="1:29" ht="31.5" x14ac:dyDescent="0.5">
      <c r="A84" s="65">
        <f t="shared" si="2"/>
        <v>64</v>
      </c>
      <c r="B84" s="149">
        <v>10525194</v>
      </c>
      <c r="C84" s="157" t="s">
        <v>566</v>
      </c>
      <c r="D84" s="151">
        <v>1</v>
      </c>
      <c r="E84" s="152">
        <f>(Tabla3[[#This Row],[CANT]]*5000000)</f>
        <v>5000000</v>
      </c>
      <c r="F84" s="158"/>
      <c r="G84" s="152"/>
      <c r="H84" s="159"/>
      <c r="I84" s="152"/>
      <c r="J84" s="160"/>
      <c r="K84" s="161"/>
      <c r="L84" s="160"/>
      <c r="M84" s="161"/>
      <c r="N84" s="160"/>
      <c r="O84" s="161"/>
      <c r="P84" s="160"/>
      <c r="Q84" s="161"/>
      <c r="R84" s="48">
        <f>(Tabla3[[#This Row],[MONTO]]+Tabla3[[#This Row],[MONTO2]]+Tabla3[[#This Row],[MONTO3]]+Tabla3[[#This Row],[MONTO4]]+Tabla3[[#This Row],[MONTO5]]+Tabla3[[#This Row],[MONTO6]]+Tabla3[[#This Row],[MONTO7]])</f>
        <v>5000000</v>
      </c>
      <c r="S84" s="63">
        <f t="shared" si="10"/>
        <v>4500000</v>
      </c>
      <c r="T84" s="51">
        <f t="shared" si="11"/>
        <v>45000</v>
      </c>
      <c r="U84" s="118">
        <f>(Tabla3[[#This Row],[TOTAL -10%]]*Tabla3[[#This Row],[FIDUCIA]])</f>
        <v>4455000</v>
      </c>
      <c r="V84" s="118">
        <f>(Tabla3[[#This Row],[TOTAL -10%]]*Tabla3[[#This Row],[NUBE]])</f>
        <v>0</v>
      </c>
      <c r="W84" s="80" t="s">
        <v>40</v>
      </c>
      <c r="X84" s="78" t="s">
        <v>42</v>
      </c>
      <c r="Y84" s="79">
        <v>0.01</v>
      </c>
      <c r="Z84" s="79">
        <v>0.99</v>
      </c>
      <c r="AA84" s="79"/>
      <c r="AB84" s="81">
        <f t="shared" si="12"/>
        <v>1</v>
      </c>
      <c r="AC84" s="76" t="str">
        <f t="shared" si="4"/>
        <v>OK</v>
      </c>
    </row>
    <row r="85" spans="1:29" ht="31.5" x14ac:dyDescent="0.5">
      <c r="A85" s="65">
        <f t="shared" si="2"/>
        <v>65</v>
      </c>
      <c r="B85" s="149">
        <v>18502052</v>
      </c>
      <c r="C85" s="157" t="s">
        <v>558</v>
      </c>
      <c r="D85" s="151">
        <v>14</v>
      </c>
      <c r="E85" s="152">
        <f>(Tabla3[[#This Row],[CANT]]*5000000)</f>
        <v>70000000</v>
      </c>
      <c r="F85" s="158"/>
      <c r="G85" s="152"/>
      <c r="H85" s="159">
        <v>1</v>
      </c>
      <c r="I85" s="152">
        <f>(Tabla3[[#This Row],[CANT3]]*7500000)</f>
        <v>7500000</v>
      </c>
      <c r="J85" s="160"/>
      <c r="K85" s="161"/>
      <c r="L85" s="160"/>
      <c r="M85" s="161"/>
      <c r="N85" s="160"/>
      <c r="O85" s="161"/>
      <c r="P85" s="160"/>
      <c r="Q85" s="161"/>
      <c r="R85" s="48">
        <f>(Tabla3[[#This Row],[MONTO]]+Tabla3[[#This Row],[MONTO2]]+Tabla3[[#This Row],[MONTO3]]+Tabla3[[#This Row],[MONTO4]]+Tabla3[[#This Row],[MONTO5]]+Tabla3[[#This Row],[MONTO6]]+Tabla3[[#This Row],[MONTO7]])</f>
        <v>77500000</v>
      </c>
      <c r="S85" s="63">
        <f t="shared" si="10"/>
        <v>69750000</v>
      </c>
      <c r="T85" s="51">
        <f t="shared" si="11"/>
        <v>697500</v>
      </c>
      <c r="U85" s="118">
        <f>(Tabla3[[#This Row],[TOTAL -10%]]*Tabla3[[#This Row],[FIDUCIA]])</f>
        <v>69052500</v>
      </c>
      <c r="V85" s="118">
        <f>(Tabla3[[#This Row],[TOTAL -10%]]*Tabla3[[#This Row],[NUBE]])</f>
        <v>0</v>
      </c>
      <c r="W85" s="80" t="s">
        <v>40</v>
      </c>
      <c r="X85" s="78" t="s">
        <v>42</v>
      </c>
      <c r="Y85" s="79">
        <v>0.01</v>
      </c>
      <c r="Z85" s="79">
        <v>0.99</v>
      </c>
      <c r="AA85" s="79"/>
      <c r="AB85" s="81">
        <f t="shared" si="12"/>
        <v>1</v>
      </c>
      <c r="AC85" s="76" t="str">
        <f t="shared" ref="AC85:AC144" si="13">IF(AB85="","",IF(AB85=100%,"OK","ERROR"))</f>
        <v>OK</v>
      </c>
    </row>
    <row r="86" spans="1:29" ht="31.5" x14ac:dyDescent="0.5">
      <c r="A86" s="65">
        <f t="shared" ref="A86:A144" si="14">(A85+1)</f>
        <v>66</v>
      </c>
      <c r="B86" s="149">
        <v>16216869</v>
      </c>
      <c r="C86" s="157" t="s">
        <v>555</v>
      </c>
      <c r="D86" s="151">
        <v>1000</v>
      </c>
      <c r="E86" s="152">
        <f>(Tabla3[[#This Row],[CANT]]*5000000)</f>
        <v>5000000000</v>
      </c>
      <c r="F86" s="158"/>
      <c r="G86" s="152"/>
      <c r="H86" s="159"/>
      <c r="I86" s="152"/>
      <c r="J86" s="160"/>
      <c r="K86" s="161"/>
      <c r="L86" s="160"/>
      <c r="M86" s="161"/>
      <c r="N86" s="160"/>
      <c r="O86" s="161"/>
      <c r="P86" s="160"/>
      <c r="Q86" s="161"/>
      <c r="R86" s="48">
        <f>(Tabla3[[#This Row],[MONTO]]+Tabla3[[#This Row],[MONTO2]]+Tabla3[[#This Row],[MONTO3]]+Tabla3[[#This Row],[MONTO4]]+Tabla3[[#This Row],[MONTO5]]+Tabla3[[#This Row],[MONTO6]]+Tabla3[[#This Row],[MONTO7]])</f>
        <v>5000000000</v>
      </c>
      <c r="S86" s="63">
        <f t="shared" si="10"/>
        <v>4500000000</v>
      </c>
      <c r="T86" s="51">
        <f t="shared" si="11"/>
        <v>45000000</v>
      </c>
      <c r="U86" s="118">
        <f>(Tabla3[[#This Row],[TOTAL -10%]]*Tabla3[[#This Row],[FIDUCIA]])</f>
        <v>0</v>
      </c>
      <c r="V86" s="118">
        <f>(Tabla3[[#This Row],[TOTAL -10%]]*Tabla3[[#This Row],[NUBE]])</f>
        <v>4455000000</v>
      </c>
      <c r="W86" s="80" t="s">
        <v>40</v>
      </c>
      <c r="X86" s="78" t="s">
        <v>43</v>
      </c>
      <c r="Y86" s="79">
        <v>0.01</v>
      </c>
      <c r="Z86" s="79"/>
      <c r="AA86" s="79">
        <v>0.99</v>
      </c>
      <c r="AB86" s="81">
        <f t="shared" si="12"/>
        <v>1</v>
      </c>
      <c r="AC86" s="76" t="str">
        <f t="shared" si="13"/>
        <v>OK</v>
      </c>
    </row>
    <row r="87" spans="1:29" ht="31.5" x14ac:dyDescent="0.5">
      <c r="A87" s="65">
        <f t="shared" si="14"/>
        <v>67</v>
      </c>
      <c r="B87" s="149">
        <v>11301248</v>
      </c>
      <c r="C87" s="157" t="s">
        <v>542</v>
      </c>
      <c r="D87" s="151">
        <v>48</v>
      </c>
      <c r="E87" s="152">
        <f>(Tabla3[[#This Row],[CANT]]*5000000)</f>
        <v>240000000</v>
      </c>
      <c r="F87" s="158">
        <v>19</v>
      </c>
      <c r="G87" s="152">
        <f>(Tabla3[[#This Row],[CANT2]]*10000000)</f>
        <v>190000000</v>
      </c>
      <c r="H87" s="159">
        <v>7</v>
      </c>
      <c r="I87" s="152">
        <f>(Tabla3[[#This Row],[CANT3]]*7500000)</f>
        <v>52500000</v>
      </c>
      <c r="J87" s="160"/>
      <c r="K87" s="161"/>
      <c r="L87" s="160"/>
      <c r="M87" s="161"/>
      <c r="N87" s="160"/>
      <c r="O87" s="161"/>
      <c r="P87" s="160"/>
      <c r="Q87" s="161"/>
      <c r="R87" s="48">
        <f>(Tabla3[[#This Row],[MONTO]]+Tabla3[[#This Row],[MONTO2]]+Tabla3[[#This Row],[MONTO3]]+Tabla3[[#This Row],[MONTO4]]+Tabla3[[#This Row],[MONTO5]]+Tabla3[[#This Row],[MONTO6]]+Tabla3[[#This Row],[MONTO7]])</f>
        <v>482500000</v>
      </c>
      <c r="S87" s="63">
        <f t="shared" si="10"/>
        <v>434250000</v>
      </c>
      <c r="T87" s="51">
        <f t="shared" si="11"/>
        <v>4342500</v>
      </c>
      <c r="U87" s="118">
        <f>(Tabla3[[#This Row],[TOTAL -10%]]*Tabla3[[#This Row],[FIDUCIA]])</f>
        <v>429907500</v>
      </c>
      <c r="V87" s="118">
        <f>(Tabla3[[#This Row],[TOTAL -10%]]*Tabla3[[#This Row],[NUBE]])</f>
        <v>0</v>
      </c>
      <c r="W87" s="80" t="s">
        <v>40</v>
      </c>
      <c r="X87" s="78" t="s">
        <v>42</v>
      </c>
      <c r="Y87" s="79">
        <v>0.01</v>
      </c>
      <c r="Z87" s="79">
        <v>0.99</v>
      </c>
      <c r="AA87" s="79"/>
      <c r="AB87" s="81">
        <f t="shared" si="12"/>
        <v>1</v>
      </c>
      <c r="AC87" s="76" t="str">
        <f t="shared" si="13"/>
        <v>OK</v>
      </c>
    </row>
    <row r="88" spans="1:29" ht="31.5" x14ac:dyDescent="0.5">
      <c r="A88" s="65">
        <f t="shared" si="14"/>
        <v>68</v>
      </c>
      <c r="B88" s="149">
        <v>98430509</v>
      </c>
      <c r="C88" s="157" t="s">
        <v>537</v>
      </c>
      <c r="D88" s="151">
        <v>5</v>
      </c>
      <c r="E88" s="152">
        <f>(Tabla3[[#This Row],[CANT]]*5000000)</f>
        <v>25000000</v>
      </c>
      <c r="F88" s="158"/>
      <c r="G88" s="152"/>
      <c r="H88" s="159"/>
      <c r="I88" s="152"/>
      <c r="J88" s="160"/>
      <c r="K88" s="161"/>
      <c r="L88" s="160"/>
      <c r="M88" s="161"/>
      <c r="N88" s="160"/>
      <c r="O88" s="161"/>
      <c r="P88" s="160"/>
      <c r="Q88" s="161"/>
      <c r="R88" s="48">
        <f>(Tabla3[[#This Row],[MONTO]]+Tabla3[[#This Row],[MONTO2]]+Tabla3[[#This Row],[MONTO3]]+Tabla3[[#This Row],[MONTO4]]+Tabla3[[#This Row],[MONTO5]]+Tabla3[[#This Row],[MONTO6]]+Tabla3[[#This Row],[MONTO7]])</f>
        <v>25000000</v>
      </c>
      <c r="S88" s="63">
        <f t="shared" si="10"/>
        <v>22500000</v>
      </c>
      <c r="T88" s="51">
        <f t="shared" si="11"/>
        <v>225000</v>
      </c>
      <c r="U88" s="118">
        <f>(Tabla3[[#This Row],[TOTAL -10%]]*Tabla3[[#This Row],[FIDUCIA]])</f>
        <v>22275000</v>
      </c>
      <c r="V88" s="118">
        <f>(Tabla3[[#This Row],[TOTAL -10%]]*Tabla3[[#This Row],[NUBE]])</f>
        <v>0</v>
      </c>
      <c r="W88" s="80" t="s">
        <v>40</v>
      </c>
      <c r="X88" s="78" t="s">
        <v>42</v>
      </c>
      <c r="Y88" s="79">
        <v>0.01</v>
      </c>
      <c r="Z88" s="79">
        <v>0.99</v>
      </c>
      <c r="AA88" s="79"/>
      <c r="AB88" s="81">
        <f t="shared" si="12"/>
        <v>1</v>
      </c>
      <c r="AC88" s="76" t="str">
        <f t="shared" si="13"/>
        <v>OK</v>
      </c>
    </row>
    <row r="89" spans="1:29" ht="31.5" x14ac:dyDescent="0.5">
      <c r="A89" s="65">
        <f t="shared" si="14"/>
        <v>69</v>
      </c>
      <c r="B89" s="149">
        <v>11319563</v>
      </c>
      <c r="C89" s="157" t="s">
        <v>531</v>
      </c>
      <c r="D89" s="151">
        <v>2</v>
      </c>
      <c r="E89" s="152">
        <f>(Tabla3[[#This Row],[CANT]]*5000000)</f>
        <v>10000000</v>
      </c>
      <c r="F89" s="158">
        <v>2</v>
      </c>
      <c r="G89" s="152">
        <f>(Tabla3[[#This Row],[CANT2]]*10000000)</f>
        <v>20000000</v>
      </c>
      <c r="H89" s="159"/>
      <c r="I89" s="152"/>
      <c r="J89" s="160"/>
      <c r="K89" s="161"/>
      <c r="L89" s="160"/>
      <c r="M89" s="161"/>
      <c r="N89" s="160"/>
      <c r="O89" s="161"/>
      <c r="P89" s="160"/>
      <c r="Q89" s="161"/>
      <c r="R89" s="48">
        <f>(Tabla3[[#This Row],[MONTO]]+Tabla3[[#This Row],[MONTO2]]+Tabla3[[#This Row],[MONTO3]]+Tabla3[[#This Row],[MONTO4]]+Tabla3[[#This Row],[MONTO5]]+Tabla3[[#This Row],[MONTO6]]+Tabla3[[#This Row],[MONTO7]])</f>
        <v>30000000</v>
      </c>
      <c r="S89" s="63">
        <f t="shared" si="10"/>
        <v>27000000</v>
      </c>
      <c r="T89" s="51">
        <f t="shared" si="11"/>
        <v>270000</v>
      </c>
      <c r="U89" s="118">
        <f>(Tabla3[[#This Row],[TOTAL -10%]]*Tabla3[[#This Row],[FIDUCIA]])</f>
        <v>26730000</v>
      </c>
      <c r="V89" s="118">
        <f>(Tabla3[[#This Row],[TOTAL -10%]]*Tabla3[[#This Row],[NUBE]])</f>
        <v>0</v>
      </c>
      <c r="W89" s="80" t="s">
        <v>40</v>
      </c>
      <c r="X89" s="78" t="s">
        <v>42</v>
      </c>
      <c r="Y89" s="79">
        <v>0.01</v>
      </c>
      <c r="Z89" s="79">
        <v>0.99</v>
      </c>
      <c r="AA89" s="79"/>
      <c r="AB89" s="81">
        <f t="shared" si="12"/>
        <v>1</v>
      </c>
      <c r="AC89" s="76" t="str">
        <f t="shared" si="13"/>
        <v>OK</v>
      </c>
    </row>
    <row r="90" spans="1:29" ht="31.5" x14ac:dyDescent="0.5">
      <c r="A90" s="65">
        <f t="shared" si="14"/>
        <v>70</v>
      </c>
      <c r="B90" s="149">
        <v>12130726</v>
      </c>
      <c r="C90" s="157" t="s">
        <v>522</v>
      </c>
      <c r="D90" s="151">
        <v>7</v>
      </c>
      <c r="E90" s="152">
        <f>(Tabla3[[#This Row],[CANT]]*5000000)</f>
        <v>35000000</v>
      </c>
      <c r="F90" s="158"/>
      <c r="G90" s="152"/>
      <c r="H90" s="159"/>
      <c r="I90" s="152"/>
      <c r="J90" s="160"/>
      <c r="K90" s="161"/>
      <c r="L90" s="160"/>
      <c r="M90" s="161"/>
      <c r="N90" s="160"/>
      <c r="O90" s="161"/>
      <c r="P90" s="160"/>
      <c r="Q90" s="161"/>
      <c r="R90" s="48">
        <f>(Tabla3[[#This Row],[MONTO]]+Tabla3[[#This Row],[MONTO2]]+Tabla3[[#This Row],[MONTO3]]+Tabla3[[#This Row],[MONTO4]]+Tabla3[[#This Row],[MONTO5]]+Tabla3[[#This Row],[MONTO6]]+Tabla3[[#This Row],[MONTO7]])</f>
        <v>35000000</v>
      </c>
      <c r="S90" s="63">
        <f t="shared" si="10"/>
        <v>31500000</v>
      </c>
      <c r="T90" s="51">
        <f t="shared" si="11"/>
        <v>315000</v>
      </c>
      <c r="U90" s="118">
        <f>(Tabla3[[#This Row],[TOTAL -10%]]*Tabla3[[#This Row],[FIDUCIA]])</f>
        <v>0</v>
      </c>
      <c r="V90" s="118">
        <f>(Tabla3[[#This Row],[TOTAL -10%]]*Tabla3[[#This Row],[NUBE]])</f>
        <v>31185000</v>
      </c>
      <c r="W90" s="80" t="s">
        <v>40</v>
      </c>
      <c r="X90" s="78" t="s">
        <v>43</v>
      </c>
      <c r="Y90" s="79">
        <v>0.01</v>
      </c>
      <c r="Z90" s="79"/>
      <c r="AA90" s="79">
        <v>0.99</v>
      </c>
      <c r="AB90" s="81">
        <f t="shared" si="12"/>
        <v>1</v>
      </c>
      <c r="AC90" s="76" t="str">
        <f t="shared" si="13"/>
        <v>OK</v>
      </c>
    </row>
    <row r="91" spans="1:29" ht="31.5" x14ac:dyDescent="0.5">
      <c r="A91" s="65">
        <f t="shared" si="14"/>
        <v>71</v>
      </c>
      <c r="B91" s="149">
        <v>16225101</v>
      </c>
      <c r="C91" s="157" t="s">
        <v>513</v>
      </c>
      <c r="D91" s="151">
        <v>8</v>
      </c>
      <c r="E91" s="152">
        <f>(Tabla3[[#This Row],[CANT]]*5000000)</f>
        <v>40000000</v>
      </c>
      <c r="F91" s="158">
        <v>2</v>
      </c>
      <c r="G91" s="152">
        <f>(Tabla3[[#This Row],[CANT2]]*10000000)</f>
        <v>20000000</v>
      </c>
      <c r="H91" s="159"/>
      <c r="I91" s="152"/>
      <c r="J91" s="160"/>
      <c r="K91" s="161"/>
      <c r="L91" s="160"/>
      <c r="M91" s="161"/>
      <c r="N91" s="160"/>
      <c r="O91" s="161"/>
      <c r="P91" s="160"/>
      <c r="Q91" s="161"/>
      <c r="R91" s="48">
        <f>(Tabla3[[#This Row],[MONTO]]+Tabla3[[#This Row],[MONTO2]]+Tabla3[[#This Row],[MONTO3]]+Tabla3[[#This Row],[MONTO4]]+Tabla3[[#This Row],[MONTO5]]+Tabla3[[#This Row],[MONTO6]]+Tabla3[[#This Row],[MONTO7]])</f>
        <v>60000000</v>
      </c>
      <c r="S91" s="63">
        <f t="shared" si="10"/>
        <v>54000000</v>
      </c>
      <c r="T91" s="51">
        <f t="shared" si="11"/>
        <v>540000</v>
      </c>
      <c r="U91" s="118">
        <f>(Tabla3[[#This Row],[TOTAL -10%]]*Tabla3[[#This Row],[FIDUCIA]])</f>
        <v>0</v>
      </c>
      <c r="V91" s="118">
        <f>(Tabla3[[#This Row],[TOTAL -10%]]*Tabla3[[#This Row],[NUBE]])</f>
        <v>53460000</v>
      </c>
      <c r="W91" s="80" t="s">
        <v>40</v>
      </c>
      <c r="X91" s="78" t="s">
        <v>43</v>
      </c>
      <c r="Y91" s="79">
        <v>0.01</v>
      </c>
      <c r="Z91" s="79"/>
      <c r="AA91" s="79">
        <v>0.99</v>
      </c>
      <c r="AB91" s="81">
        <f t="shared" si="12"/>
        <v>1</v>
      </c>
      <c r="AC91" s="76" t="str">
        <f t="shared" si="13"/>
        <v>OK</v>
      </c>
    </row>
    <row r="92" spans="1:29" ht="31.5" x14ac:dyDescent="0.5">
      <c r="A92" s="65">
        <f t="shared" si="14"/>
        <v>72</v>
      </c>
      <c r="B92" s="149">
        <v>801463712</v>
      </c>
      <c r="C92" s="157" t="s">
        <v>508</v>
      </c>
      <c r="D92" s="151">
        <v>2</v>
      </c>
      <c r="E92" s="152">
        <f>(Tabla3[[#This Row],[CANT]]*5000000)</f>
        <v>10000000</v>
      </c>
      <c r="F92" s="158">
        <v>2</v>
      </c>
      <c r="G92" s="152">
        <f>(Tabla3[[#This Row],[CANT2]]*10000000)</f>
        <v>20000000</v>
      </c>
      <c r="H92" s="159"/>
      <c r="I92" s="152"/>
      <c r="J92" s="160"/>
      <c r="K92" s="161"/>
      <c r="L92" s="160"/>
      <c r="M92" s="161"/>
      <c r="N92" s="160"/>
      <c r="O92" s="161"/>
      <c r="P92" s="160"/>
      <c r="Q92" s="161"/>
      <c r="R92" s="48">
        <f>(Tabla3[[#This Row],[MONTO]]+Tabla3[[#This Row],[MONTO2]]+Tabla3[[#This Row],[MONTO3]]+Tabla3[[#This Row],[MONTO4]]+Tabla3[[#This Row],[MONTO5]]+Tabla3[[#This Row],[MONTO6]]+Tabla3[[#This Row],[MONTO7]])</f>
        <v>30000000</v>
      </c>
      <c r="S92" s="63">
        <f t="shared" si="10"/>
        <v>27000000</v>
      </c>
      <c r="T92" s="51">
        <f t="shared" si="11"/>
        <v>270000</v>
      </c>
      <c r="U92" s="118">
        <f>(Tabla3[[#This Row],[TOTAL -10%]]*Tabla3[[#This Row],[FIDUCIA]])</f>
        <v>0</v>
      </c>
      <c r="V92" s="118">
        <f>(Tabla3[[#This Row],[TOTAL -10%]]*Tabla3[[#This Row],[NUBE]])</f>
        <v>26730000</v>
      </c>
      <c r="W92" s="80" t="s">
        <v>40</v>
      </c>
      <c r="X92" s="78" t="s">
        <v>43</v>
      </c>
      <c r="Y92" s="79">
        <v>0.01</v>
      </c>
      <c r="Z92" s="79"/>
      <c r="AA92" s="79">
        <v>0.99</v>
      </c>
      <c r="AB92" s="81">
        <f t="shared" si="12"/>
        <v>1</v>
      </c>
      <c r="AC92" s="76" t="str">
        <f t="shared" si="13"/>
        <v>OK</v>
      </c>
    </row>
    <row r="93" spans="1:29" ht="31.5" x14ac:dyDescent="0.5">
      <c r="A93" s="65">
        <f t="shared" si="14"/>
        <v>73</v>
      </c>
      <c r="B93" s="149" t="s">
        <v>500</v>
      </c>
      <c r="C93" s="157" t="s">
        <v>501</v>
      </c>
      <c r="D93" s="151">
        <v>5</v>
      </c>
      <c r="E93" s="152">
        <f>(Tabla3[[#This Row],[CANT]]*5000000)</f>
        <v>25000000</v>
      </c>
      <c r="F93" s="158"/>
      <c r="G93" s="152"/>
      <c r="H93" s="159"/>
      <c r="I93" s="152"/>
      <c r="J93" s="160"/>
      <c r="K93" s="161"/>
      <c r="L93" s="160"/>
      <c r="M93" s="161"/>
      <c r="N93" s="160"/>
      <c r="O93" s="161"/>
      <c r="P93" s="160"/>
      <c r="Q93" s="161"/>
      <c r="R93" s="48">
        <f>(Tabla3[[#This Row],[MONTO]]+Tabla3[[#This Row],[MONTO2]]+Tabla3[[#This Row],[MONTO3]]+Tabla3[[#This Row],[MONTO4]]+Tabla3[[#This Row],[MONTO5]]+Tabla3[[#This Row],[MONTO6]]+Tabla3[[#This Row],[MONTO7]])</f>
        <v>25000000</v>
      </c>
      <c r="S93" s="63">
        <f t="shared" si="10"/>
        <v>22500000</v>
      </c>
      <c r="T93" s="51">
        <f t="shared" si="11"/>
        <v>225000</v>
      </c>
      <c r="U93" s="118">
        <f>(Tabla3[[#This Row],[TOTAL -10%]]*Tabla3[[#This Row],[FIDUCIA]])</f>
        <v>0</v>
      </c>
      <c r="V93" s="118">
        <f>(Tabla3[[#This Row],[TOTAL -10%]]*Tabla3[[#This Row],[NUBE]])</f>
        <v>22275000</v>
      </c>
      <c r="W93" s="80" t="s">
        <v>40</v>
      </c>
      <c r="X93" s="78" t="s">
        <v>43</v>
      </c>
      <c r="Y93" s="79">
        <v>0.01</v>
      </c>
      <c r="Z93" s="79"/>
      <c r="AA93" s="79">
        <v>0.99</v>
      </c>
      <c r="AB93" s="81">
        <f t="shared" si="12"/>
        <v>1</v>
      </c>
      <c r="AC93" s="76" t="str">
        <f t="shared" si="13"/>
        <v>OK</v>
      </c>
    </row>
    <row r="94" spans="1:29" ht="31.5" x14ac:dyDescent="0.5">
      <c r="A94" s="65">
        <f t="shared" si="14"/>
        <v>74</v>
      </c>
      <c r="B94" s="149">
        <v>26649101</v>
      </c>
      <c r="C94" s="157" t="s">
        <v>493</v>
      </c>
      <c r="D94" s="151">
        <v>10</v>
      </c>
      <c r="E94" s="152">
        <f>(Tabla3[[#This Row],[CANT]]*5000000)</f>
        <v>50000000</v>
      </c>
      <c r="F94" s="158"/>
      <c r="G94" s="152"/>
      <c r="H94" s="159"/>
      <c r="I94" s="152"/>
      <c r="J94" s="160"/>
      <c r="K94" s="161"/>
      <c r="L94" s="160"/>
      <c r="M94" s="161"/>
      <c r="N94" s="160"/>
      <c r="O94" s="161"/>
      <c r="P94" s="160"/>
      <c r="Q94" s="161"/>
      <c r="R94" s="48">
        <f>(Tabla3[[#This Row],[MONTO]]+Tabla3[[#This Row],[MONTO2]]+Tabla3[[#This Row],[MONTO3]]+Tabla3[[#This Row],[MONTO4]]+Tabla3[[#This Row],[MONTO5]]+Tabla3[[#This Row],[MONTO6]]+Tabla3[[#This Row],[MONTO7]])</f>
        <v>50000000</v>
      </c>
      <c r="S94" s="63">
        <f t="shared" si="10"/>
        <v>45000000</v>
      </c>
      <c r="T94" s="51">
        <f t="shared" si="11"/>
        <v>450000</v>
      </c>
      <c r="U94" s="118">
        <f>(Tabla3[[#This Row],[TOTAL -10%]]*Tabla3[[#This Row],[FIDUCIA]])</f>
        <v>0</v>
      </c>
      <c r="V94" s="118">
        <f>(Tabla3[[#This Row],[TOTAL -10%]]*Tabla3[[#This Row],[NUBE]])</f>
        <v>44550000</v>
      </c>
      <c r="W94" s="80" t="s">
        <v>40</v>
      </c>
      <c r="X94" s="78" t="s">
        <v>43</v>
      </c>
      <c r="Y94" s="79">
        <v>0.01</v>
      </c>
      <c r="Z94" s="79"/>
      <c r="AA94" s="79">
        <v>0.99</v>
      </c>
      <c r="AB94" s="81">
        <f t="shared" si="12"/>
        <v>1</v>
      </c>
      <c r="AC94" s="76" t="str">
        <f t="shared" si="13"/>
        <v>OK</v>
      </c>
    </row>
    <row r="95" spans="1:29" ht="31.5" x14ac:dyDescent="0.5">
      <c r="A95" s="65">
        <f t="shared" si="14"/>
        <v>75</v>
      </c>
      <c r="B95" s="149">
        <v>42095093</v>
      </c>
      <c r="C95" s="157" t="s">
        <v>477</v>
      </c>
      <c r="D95" s="151">
        <v>15</v>
      </c>
      <c r="E95" s="152">
        <f>(Tabla3[[#This Row],[CANT]]*5000000)</f>
        <v>75000000</v>
      </c>
      <c r="F95" s="158">
        <v>11</v>
      </c>
      <c r="G95" s="152">
        <f>(Tabla3[[#This Row],[CANT2]]*10000000)</f>
        <v>110000000</v>
      </c>
      <c r="H95" s="159">
        <v>7</v>
      </c>
      <c r="I95" s="152">
        <f>(Tabla3[[#This Row],[CANT3]]*7500000)</f>
        <v>52500000</v>
      </c>
      <c r="J95" s="160"/>
      <c r="K95" s="161"/>
      <c r="L95" s="160"/>
      <c r="M95" s="161"/>
      <c r="N95" s="160"/>
      <c r="O95" s="161"/>
      <c r="P95" s="160"/>
      <c r="Q95" s="161"/>
      <c r="R95" s="48">
        <f>(Tabla3[[#This Row],[MONTO]]+Tabla3[[#This Row],[MONTO2]]+Tabla3[[#This Row],[MONTO3]]+Tabla3[[#This Row],[MONTO4]]+Tabla3[[#This Row],[MONTO5]]+Tabla3[[#This Row],[MONTO6]]+Tabla3[[#This Row],[MONTO7]])</f>
        <v>237500000</v>
      </c>
      <c r="S95" s="63">
        <f t="shared" si="10"/>
        <v>213750000</v>
      </c>
      <c r="T95" s="51">
        <f t="shared" si="11"/>
        <v>2137500</v>
      </c>
      <c r="U95" s="118">
        <f>(Tabla3[[#This Row],[TOTAL -10%]]*Tabla3[[#This Row],[FIDUCIA]])</f>
        <v>0</v>
      </c>
      <c r="V95" s="118">
        <f>(Tabla3[[#This Row],[TOTAL -10%]]*Tabla3[[#This Row],[NUBE]])</f>
        <v>211612500</v>
      </c>
      <c r="W95" s="80" t="s">
        <v>40</v>
      </c>
      <c r="X95" s="78" t="s">
        <v>43</v>
      </c>
      <c r="Y95" s="79">
        <v>0.01</v>
      </c>
      <c r="Z95" s="79"/>
      <c r="AA95" s="79">
        <v>0.99</v>
      </c>
      <c r="AB95" s="81">
        <f t="shared" si="12"/>
        <v>1</v>
      </c>
      <c r="AC95" s="76" t="str">
        <f t="shared" si="13"/>
        <v>OK</v>
      </c>
    </row>
    <row r="96" spans="1:29" ht="31.5" x14ac:dyDescent="0.5">
      <c r="A96" s="65">
        <f t="shared" si="14"/>
        <v>76</v>
      </c>
      <c r="B96" s="149">
        <v>10273172</v>
      </c>
      <c r="C96" s="157" t="s">
        <v>470</v>
      </c>
      <c r="D96" s="151">
        <v>4</v>
      </c>
      <c r="E96" s="152">
        <f>(Tabla3[[#This Row],[CANT]]*5000000)</f>
        <v>20000000</v>
      </c>
      <c r="F96" s="158">
        <v>3</v>
      </c>
      <c r="G96" s="152">
        <f>(Tabla3[[#This Row],[CANT2]]*10000000)</f>
        <v>30000000</v>
      </c>
      <c r="H96" s="159">
        <v>2</v>
      </c>
      <c r="I96" s="152">
        <f>(Tabla3[[#This Row],[CANT3]]*7500000)</f>
        <v>15000000</v>
      </c>
      <c r="J96" s="160"/>
      <c r="K96" s="161"/>
      <c r="L96" s="160"/>
      <c r="M96" s="161"/>
      <c r="N96" s="160"/>
      <c r="O96" s="161"/>
      <c r="P96" s="160"/>
      <c r="Q96" s="161"/>
      <c r="R96" s="48">
        <f>(Tabla3[[#This Row],[MONTO]]+Tabla3[[#This Row],[MONTO2]]+Tabla3[[#This Row],[MONTO3]]+Tabla3[[#This Row],[MONTO4]]+Tabla3[[#This Row],[MONTO5]]+Tabla3[[#This Row],[MONTO6]]+Tabla3[[#This Row],[MONTO7]])</f>
        <v>65000000</v>
      </c>
      <c r="S96" s="63">
        <f t="shared" si="10"/>
        <v>58500000</v>
      </c>
      <c r="T96" s="51">
        <f t="shared" si="11"/>
        <v>585000</v>
      </c>
      <c r="U96" s="118">
        <f>(Tabla3[[#This Row],[TOTAL -10%]]*Tabla3[[#This Row],[FIDUCIA]])</f>
        <v>57915000</v>
      </c>
      <c r="V96" s="118">
        <f>(Tabla3[[#This Row],[TOTAL -10%]]*Tabla3[[#This Row],[NUBE]])</f>
        <v>0</v>
      </c>
      <c r="W96" s="80" t="s">
        <v>40</v>
      </c>
      <c r="X96" s="78" t="s">
        <v>42</v>
      </c>
      <c r="Y96" s="79">
        <v>0.01</v>
      </c>
      <c r="Z96" s="79">
        <v>0.99</v>
      </c>
      <c r="AA96" s="79"/>
      <c r="AB96" s="81">
        <f t="shared" si="12"/>
        <v>1</v>
      </c>
      <c r="AC96" s="76" t="str">
        <f t="shared" si="13"/>
        <v>OK</v>
      </c>
    </row>
    <row r="97" spans="1:29" ht="31.5" x14ac:dyDescent="0.5">
      <c r="A97" s="65">
        <f t="shared" si="14"/>
        <v>77</v>
      </c>
      <c r="B97" s="149">
        <v>1121944121</v>
      </c>
      <c r="C97" s="157" t="s">
        <v>462</v>
      </c>
      <c r="D97" s="151">
        <v>7</v>
      </c>
      <c r="E97" s="152">
        <f>(Tabla3[[#This Row],[CANT]]*5000000)</f>
        <v>35000000</v>
      </c>
      <c r="F97" s="158"/>
      <c r="G97" s="152"/>
      <c r="H97" s="159"/>
      <c r="I97" s="152"/>
      <c r="J97" s="160"/>
      <c r="K97" s="161"/>
      <c r="L97" s="160"/>
      <c r="M97" s="161"/>
      <c r="N97" s="160"/>
      <c r="O97" s="161"/>
      <c r="P97" s="160"/>
      <c r="Q97" s="161"/>
      <c r="R97" s="48">
        <f>(Tabla3[[#This Row],[MONTO]]+Tabla3[[#This Row],[MONTO2]]+Tabla3[[#This Row],[MONTO3]]+Tabla3[[#This Row],[MONTO4]]+Tabla3[[#This Row],[MONTO5]]+Tabla3[[#This Row],[MONTO6]]+Tabla3[[#This Row],[MONTO7]])</f>
        <v>35000000</v>
      </c>
      <c r="S97" s="63">
        <f t="shared" si="10"/>
        <v>31500000</v>
      </c>
      <c r="T97" s="51">
        <f t="shared" si="11"/>
        <v>315000</v>
      </c>
      <c r="U97" s="118">
        <f>(Tabla3[[#This Row],[TOTAL -10%]]*Tabla3[[#This Row],[FIDUCIA]])</f>
        <v>0</v>
      </c>
      <c r="V97" s="118">
        <f>(Tabla3[[#This Row],[TOTAL -10%]]*Tabla3[[#This Row],[NUBE]])</f>
        <v>31185000</v>
      </c>
      <c r="W97" s="80" t="s">
        <v>40</v>
      </c>
      <c r="X97" s="78" t="s">
        <v>43</v>
      </c>
      <c r="Y97" s="79">
        <v>0.01</v>
      </c>
      <c r="Z97" s="79"/>
      <c r="AA97" s="79">
        <v>0.99</v>
      </c>
      <c r="AB97" s="81">
        <f t="shared" si="12"/>
        <v>1</v>
      </c>
      <c r="AC97" s="76" t="str">
        <f t="shared" si="13"/>
        <v>OK</v>
      </c>
    </row>
    <row r="98" spans="1:29" ht="31.5" x14ac:dyDescent="0.5">
      <c r="A98" s="65">
        <f t="shared" si="14"/>
        <v>78</v>
      </c>
      <c r="B98" s="149">
        <v>25170435</v>
      </c>
      <c r="C98" s="157" t="s">
        <v>456</v>
      </c>
      <c r="D98" s="151">
        <v>7</v>
      </c>
      <c r="E98" s="152">
        <f>(Tabla3[[#This Row],[CANT]]*5000000)</f>
        <v>35000000</v>
      </c>
      <c r="F98" s="158"/>
      <c r="G98" s="152"/>
      <c r="H98" s="159"/>
      <c r="I98" s="152"/>
      <c r="J98" s="160"/>
      <c r="K98" s="161"/>
      <c r="L98" s="160"/>
      <c r="M98" s="161"/>
      <c r="N98" s="160"/>
      <c r="O98" s="161"/>
      <c r="P98" s="160"/>
      <c r="Q98" s="161"/>
      <c r="R98" s="48">
        <f>(Tabla3[[#This Row],[MONTO]]+Tabla3[[#This Row],[MONTO2]]+Tabla3[[#This Row],[MONTO3]]+Tabla3[[#This Row],[MONTO4]]+Tabla3[[#This Row],[MONTO5]]+Tabla3[[#This Row],[MONTO6]]+Tabla3[[#This Row],[MONTO7]])</f>
        <v>35000000</v>
      </c>
      <c r="S98" s="63">
        <f t="shared" ref="S98:S109" si="15">R98-(R98*10%)</f>
        <v>31500000</v>
      </c>
      <c r="T98" s="51">
        <f t="shared" ref="T98:T109" si="16">(S98*1%)</f>
        <v>315000</v>
      </c>
      <c r="U98" s="118">
        <f>(Tabla3[[#This Row],[TOTAL -10%]]*Tabla3[[#This Row],[FIDUCIA]])</f>
        <v>31185000</v>
      </c>
      <c r="V98" s="118">
        <f>(Tabla3[[#This Row],[TOTAL -10%]]*Tabla3[[#This Row],[NUBE]])</f>
        <v>0</v>
      </c>
      <c r="W98" s="80" t="s">
        <v>40</v>
      </c>
      <c r="X98" s="78" t="s">
        <v>42</v>
      </c>
      <c r="Y98" s="79">
        <v>0.01</v>
      </c>
      <c r="Z98" s="79">
        <v>0.99</v>
      </c>
      <c r="AA98" s="79"/>
      <c r="AB98" s="81">
        <f t="shared" ref="AB98:AB109" si="17">SUM(Y98:AA98)</f>
        <v>1</v>
      </c>
      <c r="AC98" s="76" t="str">
        <f t="shared" si="13"/>
        <v>OK</v>
      </c>
    </row>
    <row r="99" spans="1:29" ht="31.5" x14ac:dyDescent="0.5">
      <c r="A99" s="65">
        <f t="shared" si="14"/>
        <v>79</v>
      </c>
      <c r="B99" s="149">
        <v>34533946</v>
      </c>
      <c r="C99" s="157" t="s">
        <v>453</v>
      </c>
      <c r="D99" s="151">
        <v>2</v>
      </c>
      <c r="E99" s="152">
        <f>(Tabla3[[#This Row],[CANT]]*5000000)</f>
        <v>10000000</v>
      </c>
      <c r="F99" s="158"/>
      <c r="G99" s="152"/>
      <c r="H99" s="159"/>
      <c r="I99" s="152"/>
      <c r="J99" s="160"/>
      <c r="K99" s="161"/>
      <c r="L99" s="160"/>
      <c r="M99" s="161"/>
      <c r="N99" s="160"/>
      <c r="O99" s="161"/>
      <c r="P99" s="160"/>
      <c r="Q99" s="161"/>
      <c r="R99" s="48">
        <f>(Tabla3[[#This Row],[MONTO]]+Tabla3[[#This Row],[MONTO2]]+Tabla3[[#This Row],[MONTO3]]+Tabla3[[#This Row],[MONTO4]]+Tabla3[[#This Row],[MONTO5]]+Tabla3[[#This Row],[MONTO6]]+Tabla3[[#This Row],[MONTO7]])</f>
        <v>10000000</v>
      </c>
      <c r="S99" s="63">
        <f t="shared" si="15"/>
        <v>9000000</v>
      </c>
      <c r="T99" s="51">
        <f t="shared" si="16"/>
        <v>90000</v>
      </c>
      <c r="U99" s="118">
        <f>(Tabla3[[#This Row],[TOTAL -10%]]*Tabla3[[#This Row],[FIDUCIA]])</f>
        <v>8910000</v>
      </c>
      <c r="V99" s="118">
        <f>(Tabla3[[#This Row],[TOTAL -10%]]*Tabla3[[#This Row],[NUBE]])</f>
        <v>0</v>
      </c>
      <c r="W99" s="80" t="s">
        <v>40</v>
      </c>
      <c r="X99" s="78" t="s">
        <v>42</v>
      </c>
      <c r="Y99" s="79">
        <v>0.01</v>
      </c>
      <c r="Z99" s="79">
        <v>0.99</v>
      </c>
      <c r="AA99" s="79"/>
      <c r="AB99" s="81">
        <f t="shared" si="17"/>
        <v>1</v>
      </c>
      <c r="AC99" s="76" t="str">
        <f t="shared" si="13"/>
        <v>OK</v>
      </c>
    </row>
    <row r="100" spans="1:29" ht="31.5" x14ac:dyDescent="0.5">
      <c r="A100" s="65">
        <f t="shared" si="14"/>
        <v>80</v>
      </c>
      <c r="B100" s="149">
        <v>29820961</v>
      </c>
      <c r="C100" s="157" t="s">
        <v>443</v>
      </c>
      <c r="D100" s="151">
        <v>5</v>
      </c>
      <c r="E100" s="152">
        <f>(Tabla3[[#This Row],[CANT]]*5000000)</f>
        <v>25000000</v>
      </c>
      <c r="F100" s="158"/>
      <c r="G100" s="152"/>
      <c r="H100" s="159"/>
      <c r="I100" s="152"/>
      <c r="J100" s="160"/>
      <c r="K100" s="161"/>
      <c r="L100" s="160"/>
      <c r="M100" s="161"/>
      <c r="N100" s="160"/>
      <c r="O100" s="161"/>
      <c r="P100" s="160"/>
      <c r="Q100" s="161"/>
      <c r="R100" s="48">
        <f>(Tabla3[[#This Row],[MONTO]]+Tabla3[[#This Row],[MONTO2]]+Tabla3[[#This Row],[MONTO3]]+Tabla3[[#This Row],[MONTO4]]+Tabla3[[#This Row],[MONTO5]]+Tabla3[[#This Row],[MONTO6]]+Tabla3[[#This Row],[MONTO7]])</f>
        <v>25000000</v>
      </c>
      <c r="S100" s="63">
        <f t="shared" si="15"/>
        <v>22500000</v>
      </c>
      <c r="T100" s="51">
        <f t="shared" si="16"/>
        <v>225000</v>
      </c>
      <c r="U100" s="118">
        <f>(Tabla3[[#This Row],[TOTAL -10%]]*Tabla3[[#This Row],[FIDUCIA]])</f>
        <v>22275000</v>
      </c>
      <c r="V100" s="118">
        <f>(Tabla3[[#This Row],[TOTAL -10%]]*Tabla3[[#This Row],[NUBE]])</f>
        <v>0</v>
      </c>
      <c r="W100" s="80" t="s">
        <v>40</v>
      </c>
      <c r="X100" s="78" t="s">
        <v>42</v>
      </c>
      <c r="Y100" s="79">
        <v>0.01</v>
      </c>
      <c r="Z100" s="79">
        <v>0.99</v>
      </c>
      <c r="AA100" s="79"/>
      <c r="AB100" s="81">
        <f t="shared" si="17"/>
        <v>1</v>
      </c>
      <c r="AC100" s="76" t="str">
        <f t="shared" si="13"/>
        <v>OK</v>
      </c>
    </row>
    <row r="101" spans="1:29" ht="31.5" x14ac:dyDescent="0.5">
      <c r="A101" s="65">
        <f t="shared" si="14"/>
        <v>81</v>
      </c>
      <c r="B101" s="149">
        <v>24950300</v>
      </c>
      <c r="C101" s="157" t="s">
        <v>433</v>
      </c>
      <c r="D101" s="151">
        <v>25</v>
      </c>
      <c r="E101" s="152">
        <f>(Tabla3[[#This Row],[CANT]]*5000000)</f>
        <v>125000000</v>
      </c>
      <c r="F101" s="162">
        <v>14</v>
      </c>
      <c r="G101" s="152">
        <f>(Tabla3[[#This Row],[CANT2]]*10000000)</f>
        <v>140000000</v>
      </c>
      <c r="H101" s="159">
        <v>4</v>
      </c>
      <c r="I101" s="152">
        <f>(Tabla3[[#This Row],[CANT3]]*7500000)</f>
        <v>30000000</v>
      </c>
      <c r="J101" s="160">
        <v>1</v>
      </c>
      <c r="K101" s="161">
        <f>(Tabla3[[#This Row],[CANT4]]*500000)</f>
        <v>500000</v>
      </c>
      <c r="L101" s="160"/>
      <c r="M101" s="161"/>
      <c r="N101" s="160"/>
      <c r="O101" s="161"/>
      <c r="P101" s="160"/>
      <c r="Q101" s="161"/>
      <c r="R101" s="48">
        <f>(Tabla3[[#This Row],[MONTO]]+Tabla3[[#This Row],[MONTO2]]+Tabla3[[#This Row],[MONTO3]]+Tabla3[[#This Row],[MONTO4]]+Tabla3[[#This Row],[MONTO5]]+Tabla3[[#This Row],[MONTO6]]+Tabla3[[#This Row],[MONTO7]])</f>
        <v>295500000</v>
      </c>
      <c r="S101" s="63">
        <f t="shared" si="15"/>
        <v>265950000</v>
      </c>
      <c r="T101" s="51">
        <f t="shared" si="16"/>
        <v>2659500</v>
      </c>
      <c r="U101" s="118">
        <f>(Tabla3[[#This Row],[TOTAL -10%]]*Tabla3[[#This Row],[FIDUCIA]])</f>
        <v>0</v>
      </c>
      <c r="V101" s="118">
        <f>(Tabla3[[#This Row],[TOTAL -10%]]*Tabla3[[#This Row],[NUBE]])</f>
        <v>263290500</v>
      </c>
      <c r="W101" s="80" t="s">
        <v>40</v>
      </c>
      <c r="X101" s="78" t="s">
        <v>43</v>
      </c>
      <c r="Y101" s="79">
        <v>0.01</v>
      </c>
      <c r="Z101" s="79"/>
      <c r="AA101" s="79">
        <v>0.99</v>
      </c>
      <c r="AB101" s="81">
        <f t="shared" si="17"/>
        <v>1</v>
      </c>
      <c r="AC101" s="76" t="str">
        <f t="shared" si="13"/>
        <v>OK</v>
      </c>
    </row>
    <row r="102" spans="1:29" ht="31.5" x14ac:dyDescent="0.5">
      <c r="A102" s="65">
        <f t="shared" si="14"/>
        <v>82</v>
      </c>
      <c r="B102" s="149">
        <v>42064137</v>
      </c>
      <c r="C102" s="157" t="s">
        <v>427</v>
      </c>
      <c r="D102" s="151">
        <v>5</v>
      </c>
      <c r="E102" s="152">
        <f>(Tabla3[[#This Row],[CANT]]*5000000)</f>
        <v>25000000</v>
      </c>
      <c r="F102" s="158"/>
      <c r="G102" s="152"/>
      <c r="H102" s="159"/>
      <c r="I102" s="152"/>
      <c r="J102" s="160"/>
      <c r="K102" s="161"/>
      <c r="L102" s="160"/>
      <c r="M102" s="161"/>
      <c r="N102" s="160"/>
      <c r="O102" s="161"/>
      <c r="P102" s="160"/>
      <c r="Q102" s="161"/>
      <c r="R102" s="48">
        <f>(Tabla3[[#This Row],[MONTO]]+Tabla3[[#This Row],[MONTO2]]+Tabla3[[#This Row],[MONTO3]]+Tabla3[[#This Row],[MONTO4]]+Tabla3[[#This Row],[MONTO5]]+Tabla3[[#This Row],[MONTO6]]+Tabla3[[#This Row],[MONTO7]])</f>
        <v>25000000</v>
      </c>
      <c r="S102" s="63">
        <f t="shared" si="15"/>
        <v>22500000</v>
      </c>
      <c r="T102" s="51">
        <f t="shared" si="16"/>
        <v>225000</v>
      </c>
      <c r="U102" s="118">
        <f>(Tabla3[[#This Row],[TOTAL -10%]]*Tabla3[[#This Row],[FIDUCIA]])</f>
        <v>22275000</v>
      </c>
      <c r="V102" s="118">
        <f>(Tabla3[[#This Row],[TOTAL -10%]]*Tabla3[[#This Row],[NUBE]])</f>
        <v>0</v>
      </c>
      <c r="W102" s="80" t="s">
        <v>40</v>
      </c>
      <c r="X102" s="78" t="s">
        <v>42</v>
      </c>
      <c r="Y102" s="79">
        <v>0.01</v>
      </c>
      <c r="Z102" s="79">
        <v>0.99</v>
      </c>
      <c r="AA102" s="79"/>
      <c r="AB102" s="81">
        <f t="shared" si="17"/>
        <v>1</v>
      </c>
      <c r="AC102" s="76" t="str">
        <f t="shared" si="13"/>
        <v>OK</v>
      </c>
    </row>
    <row r="103" spans="1:29" ht="31.5" x14ac:dyDescent="0.5">
      <c r="A103" s="65">
        <f t="shared" si="14"/>
        <v>83</v>
      </c>
      <c r="B103" s="149">
        <v>34537005</v>
      </c>
      <c r="C103" s="157" t="s">
        <v>421</v>
      </c>
      <c r="D103" s="151">
        <v>1</v>
      </c>
      <c r="E103" s="152">
        <f>(Tabla3[[#This Row],[CANT]]*5000000)</f>
        <v>5000000</v>
      </c>
      <c r="F103" s="158"/>
      <c r="G103" s="152"/>
      <c r="H103" s="159"/>
      <c r="I103" s="152"/>
      <c r="J103" s="160"/>
      <c r="K103" s="161"/>
      <c r="L103" s="160"/>
      <c r="M103" s="161"/>
      <c r="N103" s="160"/>
      <c r="O103" s="161"/>
      <c r="P103" s="160"/>
      <c r="Q103" s="161"/>
      <c r="R103" s="48">
        <f>(Tabla3[[#This Row],[MONTO]]+Tabla3[[#This Row],[MONTO2]]+Tabla3[[#This Row],[MONTO3]]+Tabla3[[#This Row],[MONTO4]]+Tabla3[[#This Row],[MONTO5]]+Tabla3[[#This Row],[MONTO6]]+Tabla3[[#This Row],[MONTO7]])</f>
        <v>5000000</v>
      </c>
      <c r="S103" s="63">
        <f t="shared" si="15"/>
        <v>4500000</v>
      </c>
      <c r="T103" s="51">
        <f t="shared" si="16"/>
        <v>45000</v>
      </c>
      <c r="U103" s="118">
        <f>(Tabla3[[#This Row],[TOTAL -10%]]*Tabla3[[#This Row],[FIDUCIA]])</f>
        <v>4455000</v>
      </c>
      <c r="V103" s="118">
        <f>(Tabla3[[#This Row],[TOTAL -10%]]*Tabla3[[#This Row],[NUBE]])</f>
        <v>0</v>
      </c>
      <c r="W103" s="80" t="s">
        <v>40</v>
      </c>
      <c r="X103" s="78" t="s">
        <v>42</v>
      </c>
      <c r="Y103" s="79">
        <v>0.01</v>
      </c>
      <c r="Z103" s="79">
        <v>0.99</v>
      </c>
      <c r="AA103" s="79"/>
      <c r="AB103" s="81">
        <f t="shared" si="17"/>
        <v>1</v>
      </c>
      <c r="AC103" s="76" t="str">
        <f t="shared" si="13"/>
        <v>OK</v>
      </c>
    </row>
    <row r="104" spans="1:29" ht="31.5" x14ac:dyDescent="0.5">
      <c r="A104" s="65">
        <f t="shared" si="14"/>
        <v>84</v>
      </c>
      <c r="B104" s="149">
        <v>46640316</v>
      </c>
      <c r="C104" s="157" t="s">
        <v>413</v>
      </c>
      <c r="D104" s="151">
        <v>6</v>
      </c>
      <c r="E104" s="152">
        <f>(Tabla3[[#This Row],[CANT]]*5000000)</f>
        <v>30000000</v>
      </c>
      <c r="F104" s="158">
        <v>3</v>
      </c>
      <c r="G104" s="152">
        <f>(Tabla3[[#This Row],[CANT2]]*10000000)</f>
        <v>30000000</v>
      </c>
      <c r="H104" s="159">
        <v>1</v>
      </c>
      <c r="I104" s="152">
        <f>(Tabla3[[#This Row],[CANT3]]*7500000)</f>
        <v>7500000</v>
      </c>
      <c r="J104" s="160"/>
      <c r="K104" s="161"/>
      <c r="L104" s="160"/>
      <c r="M104" s="161"/>
      <c r="N104" s="160"/>
      <c r="O104" s="161"/>
      <c r="P104" s="160"/>
      <c r="Q104" s="161"/>
      <c r="R104" s="48">
        <f>(Tabla3[[#This Row],[MONTO]]+Tabla3[[#This Row],[MONTO2]]+Tabla3[[#This Row],[MONTO3]]+Tabla3[[#This Row],[MONTO4]]+Tabla3[[#This Row],[MONTO5]]+Tabla3[[#This Row],[MONTO6]]+Tabla3[[#This Row],[MONTO7]])</f>
        <v>67500000</v>
      </c>
      <c r="S104" s="63">
        <f t="shared" si="15"/>
        <v>60750000</v>
      </c>
      <c r="T104" s="51">
        <f t="shared" si="16"/>
        <v>607500</v>
      </c>
      <c r="U104" s="118">
        <f>(Tabla3[[#This Row],[TOTAL -10%]]*Tabla3[[#This Row],[FIDUCIA]])</f>
        <v>60142500</v>
      </c>
      <c r="V104" s="118">
        <f>(Tabla3[[#This Row],[TOTAL -10%]]*Tabla3[[#This Row],[NUBE]])</f>
        <v>0</v>
      </c>
      <c r="W104" s="80" t="s">
        <v>40</v>
      </c>
      <c r="X104" s="78" t="s">
        <v>42</v>
      </c>
      <c r="Y104" s="79">
        <v>0.01</v>
      </c>
      <c r="Z104" s="79">
        <v>0.99</v>
      </c>
      <c r="AA104" s="79"/>
      <c r="AB104" s="81">
        <f t="shared" si="17"/>
        <v>1</v>
      </c>
      <c r="AC104" s="76" t="str">
        <f t="shared" si="13"/>
        <v>OK</v>
      </c>
    </row>
    <row r="105" spans="1:29" ht="31.5" x14ac:dyDescent="0.5">
      <c r="A105" s="65">
        <f t="shared" si="14"/>
        <v>85</v>
      </c>
      <c r="B105" s="149">
        <v>49670323</v>
      </c>
      <c r="C105" s="157" t="s">
        <v>405</v>
      </c>
      <c r="D105" s="151">
        <v>5</v>
      </c>
      <c r="E105" s="152">
        <f>(Tabla3[[#This Row],[CANT]]*5000000)</f>
        <v>25000000</v>
      </c>
      <c r="F105" s="158">
        <v>2</v>
      </c>
      <c r="G105" s="152">
        <f>(Tabla3[[#This Row],[CANT2]]*10000000)</f>
        <v>20000000</v>
      </c>
      <c r="H105" s="159">
        <v>2</v>
      </c>
      <c r="I105" s="152">
        <f>(Tabla3[[#This Row],[CANT3]]*7500000)</f>
        <v>15000000</v>
      </c>
      <c r="J105" s="160"/>
      <c r="K105" s="161"/>
      <c r="L105" s="160"/>
      <c r="M105" s="161"/>
      <c r="N105" s="160"/>
      <c r="O105" s="161"/>
      <c r="P105" s="160"/>
      <c r="Q105" s="161"/>
      <c r="R105" s="48">
        <f>(Tabla3[[#This Row],[MONTO]]+Tabla3[[#This Row],[MONTO2]]+Tabla3[[#This Row],[MONTO3]]+Tabla3[[#This Row],[MONTO4]]+Tabla3[[#This Row],[MONTO5]]+Tabla3[[#This Row],[MONTO6]]+Tabla3[[#This Row],[MONTO7]])</f>
        <v>60000000</v>
      </c>
      <c r="S105" s="63">
        <f t="shared" si="15"/>
        <v>54000000</v>
      </c>
      <c r="T105" s="51">
        <f t="shared" si="16"/>
        <v>540000</v>
      </c>
      <c r="U105" s="118">
        <f>(Tabla3[[#This Row],[TOTAL -10%]]*Tabla3[[#This Row],[FIDUCIA]])</f>
        <v>0</v>
      </c>
      <c r="V105" s="118">
        <f>(Tabla3[[#This Row],[TOTAL -10%]]*Tabla3[[#This Row],[NUBE]])</f>
        <v>53460000</v>
      </c>
      <c r="W105" s="80" t="s">
        <v>40</v>
      </c>
      <c r="X105" s="78" t="s">
        <v>43</v>
      </c>
      <c r="Y105" s="79">
        <v>0.01</v>
      </c>
      <c r="Z105" s="79"/>
      <c r="AA105" s="79">
        <v>0.99</v>
      </c>
      <c r="AB105" s="81">
        <f t="shared" si="17"/>
        <v>1</v>
      </c>
      <c r="AC105" s="76" t="str">
        <f t="shared" si="13"/>
        <v>OK</v>
      </c>
    </row>
    <row r="106" spans="1:29" ht="31.5" x14ac:dyDescent="0.5">
      <c r="A106" s="65">
        <f t="shared" si="14"/>
        <v>86</v>
      </c>
      <c r="B106" s="149">
        <v>38894024</v>
      </c>
      <c r="C106" s="157" t="s">
        <v>393</v>
      </c>
      <c r="D106" s="151">
        <v>15</v>
      </c>
      <c r="E106" s="152">
        <f>(Tabla3[[#This Row],[CANT]]*5000000)</f>
        <v>75000000</v>
      </c>
      <c r="F106" s="158">
        <v>12</v>
      </c>
      <c r="G106" s="152">
        <f>(Tabla3[[#This Row],[CANT2]]*10000000)</f>
        <v>120000000</v>
      </c>
      <c r="H106" s="159">
        <v>4</v>
      </c>
      <c r="I106" s="152">
        <f>(Tabla3[[#This Row],[CANT3]]*7500000)</f>
        <v>30000000</v>
      </c>
      <c r="J106" s="160">
        <v>1</v>
      </c>
      <c r="K106" s="161">
        <f>(Tabla3[[#This Row],[CANT4]]*500000)</f>
        <v>500000</v>
      </c>
      <c r="L106" s="160"/>
      <c r="M106" s="161"/>
      <c r="N106" s="160"/>
      <c r="O106" s="161"/>
      <c r="P106" s="160"/>
      <c r="Q106" s="161"/>
      <c r="R106" s="48">
        <f>(Tabla3[[#This Row],[MONTO]]+Tabla3[[#This Row],[MONTO2]]+Tabla3[[#This Row],[MONTO3]]+Tabla3[[#This Row],[MONTO4]]+Tabla3[[#This Row],[MONTO5]]+Tabla3[[#This Row],[MONTO6]]+Tabla3[[#This Row],[MONTO7]])</f>
        <v>225500000</v>
      </c>
      <c r="S106" s="63">
        <f t="shared" si="15"/>
        <v>202950000</v>
      </c>
      <c r="T106" s="51">
        <f t="shared" si="16"/>
        <v>2029500</v>
      </c>
      <c r="U106" s="118">
        <f>(Tabla3[[#This Row],[TOTAL -10%]]*Tabla3[[#This Row],[FIDUCIA]])</f>
        <v>0</v>
      </c>
      <c r="V106" s="118">
        <f>(Tabla3[[#This Row],[TOTAL -10%]]*Tabla3[[#This Row],[NUBE]])</f>
        <v>200920500</v>
      </c>
      <c r="W106" s="80" t="s">
        <v>40</v>
      </c>
      <c r="X106" s="78" t="s">
        <v>43</v>
      </c>
      <c r="Y106" s="79">
        <v>0.01</v>
      </c>
      <c r="Z106" s="79"/>
      <c r="AA106" s="79">
        <v>0.99</v>
      </c>
      <c r="AB106" s="81">
        <f t="shared" si="17"/>
        <v>1</v>
      </c>
      <c r="AC106" s="76" t="str">
        <f t="shared" si="13"/>
        <v>OK</v>
      </c>
    </row>
    <row r="107" spans="1:29" ht="31.5" x14ac:dyDescent="0.5">
      <c r="A107" s="65">
        <f t="shared" si="14"/>
        <v>87</v>
      </c>
      <c r="B107" s="149">
        <v>32535847</v>
      </c>
      <c r="C107" s="157" t="s">
        <v>389</v>
      </c>
      <c r="D107" s="151">
        <v>5</v>
      </c>
      <c r="E107" s="152">
        <f>(Tabla3[[#This Row],[CANT]]*5000000)</f>
        <v>25000000</v>
      </c>
      <c r="F107" s="158"/>
      <c r="G107" s="152"/>
      <c r="H107" s="159"/>
      <c r="I107" s="152"/>
      <c r="J107" s="160"/>
      <c r="K107" s="161"/>
      <c r="L107" s="160"/>
      <c r="M107" s="161"/>
      <c r="N107" s="160"/>
      <c r="O107" s="161"/>
      <c r="P107" s="160"/>
      <c r="Q107" s="161"/>
      <c r="R107" s="48">
        <f>(Tabla3[[#This Row],[MONTO]]+Tabla3[[#This Row],[MONTO2]]+Tabla3[[#This Row],[MONTO3]]+Tabla3[[#This Row],[MONTO4]]+Tabla3[[#This Row],[MONTO5]]+Tabla3[[#This Row],[MONTO6]]+Tabla3[[#This Row],[MONTO7]])</f>
        <v>25000000</v>
      </c>
      <c r="S107" s="63">
        <f t="shared" si="15"/>
        <v>22500000</v>
      </c>
      <c r="T107" s="51">
        <f t="shared" si="16"/>
        <v>225000</v>
      </c>
      <c r="U107" s="118">
        <f>(Tabla3[[#This Row],[TOTAL -10%]]*Tabla3[[#This Row],[FIDUCIA]])</f>
        <v>22275000</v>
      </c>
      <c r="V107" s="118">
        <f>(Tabla3[[#This Row],[TOTAL -10%]]*Tabla3[[#This Row],[NUBE]])</f>
        <v>0</v>
      </c>
      <c r="W107" s="80" t="s">
        <v>40</v>
      </c>
      <c r="X107" s="78" t="s">
        <v>42</v>
      </c>
      <c r="Y107" s="79">
        <v>0.01</v>
      </c>
      <c r="Z107" s="79">
        <v>0.99</v>
      </c>
      <c r="AA107" s="79"/>
      <c r="AB107" s="81">
        <f t="shared" si="17"/>
        <v>1</v>
      </c>
      <c r="AC107" s="76" t="str">
        <f t="shared" si="13"/>
        <v>OK</v>
      </c>
    </row>
    <row r="108" spans="1:29" ht="31.5" x14ac:dyDescent="0.5">
      <c r="A108" s="65">
        <f t="shared" si="14"/>
        <v>88</v>
      </c>
      <c r="B108" s="149">
        <v>38613836</v>
      </c>
      <c r="C108" s="157" t="s">
        <v>382</v>
      </c>
      <c r="D108" s="151">
        <v>5</v>
      </c>
      <c r="E108" s="152">
        <f>(Tabla3[[#This Row],[CANT]]*5000000)</f>
        <v>25000000</v>
      </c>
      <c r="F108" s="158"/>
      <c r="G108" s="152"/>
      <c r="H108" s="159"/>
      <c r="I108" s="152"/>
      <c r="J108" s="160"/>
      <c r="K108" s="161"/>
      <c r="L108" s="160"/>
      <c r="M108" s="161"/>
      <c r="N108" s="160"/>
      <c r="O108" s="161"/>
      <c r="P108" s="160"/>
      <c r="Q108" s="161"/>
      <c r="R108" s="48">
        <f>(Tabla3[[#This Row],[MONTO]]+Tabla3[[#This Row],[MONTO2]]+Tabla3[[#This Row],[MONTO3]]+Tabla3[[#This Row],[MONTO4]]+Tabla3[[#This Row],[MONTO5]]+Tabla3[[#This Row],[MONTO6]]+Tabla3[[#This Row],[MONTO7]])</f>
        <v>25000000</v>
      </c>
      <c r="S108" s="63">
        <f t="shared" si="15"/>
        <v>22500000</v>
      </c>
      <c r="T108" s="51">
        <f t="shared" si="16"/>
        <v>225000</v>
      </c>
      <c r="U108" s="118">
        <f>(Tabla3[[#This Row],[TOTAL -10%]]*Tabla3[[#This Row],[FIDUCIA]])</f>
        <v>22275000</v>
      </c>
      <c r="V108" s="118">
        <f>(Tabla3[[#This Row],[TOTAL -10%]]*Tabla3[[#This Row],[NUBE]])</f>
        <v>0</v>
      </c>
      <c r="W108" s="80" t="s">
        <v>40</v>
      </c>
      <c r="X108" s="78" t="s">
        <v>42</v>
      </c>
      <c r="Y108" s="79">
        <v>0.01</v>
      </c>
      <c r="Z108" s="79">
        <v>0.99</v>
      </c>
      <c r="AA108" s="79"/>
      <c r="AB108" s="81">
        <f t="shared" si="17"/>
        <v>1</v>
      </c>
      <c r="AC108" s="76" t="str">
        <f t="shared" si="13"/>
        <v>OK</v>
      </c>
    </row>
    <row r="109" spans="1:29" ht="31.5" x14ac:dyDescent="0.5">
      <c r="A109" s="65">
        <f t="shared" si="14"/>
        <v>89</v>
      </c>
      <c r="B109" s="149">
        <v>1053864707</v>
      </c>
      <c r="C109" s="157" t="s">
        <v>376</v>
      </c>
      <c r="D109" s="151">
        <v>6</v>
      </c>
      <c r="E109" s="152">
        <f>(Tabla3[[#This Row],[CANT]]*5000000)</f>
        <v>30000000</v>
      </c>
      <c r="F109" s="158"/>
      <c r="G109" s="152"/>
      <c r="H109" s="159"/>
      <c r="I109" s="152"/>
      <c r="J109" s="160"/>
      <c r="K109" s="161"/>
      <c r="L109" s="160"/>
      <c r="M109" s="161"/>
      <c r="N109" s="160"/>
      <c r="O109" s="161"/>
      <c r="P109" s="160"/>
      <c r="Q109" s="161"/>
      <c r="R109" s="48">
        <f>(Tabla3[[#This Row],[MONTO]]+Tabla3[[#This Row],[MONTO2]]+Tabla3[[#This Row],[MONTO3]]+Tabla3[[#This Row],[MONTO4]]+Tabla3[[#This Row],[MONTO5]]+Tabla3[[#This Row],[MONTO6]]+Tabla3[[#This Row],[MONTO7]])</f>
        <v>30000000</v>
      </c>
      <c r="S109" s="63">
        <f t="shared" si="15"/>
        <v>27000000</v>
      </c>
      <c r="T109" s="51">
        <f t="shared" si="16"/>
        <v>270000</v>
      </c>
      <c r="U109" s="118">
        <f>(Tabla3[[#This Row],[TOTAL -10%]]*Tabla3[[#This Row],[FIDUCIA]])</f>
        <v>26730000</v>
      </c>
      <c r="V109" s="118">
        <f>(Tabla3[[#This Row],[TOTAL -10%]]*Tabla3[[#This Row],[NUBE]])</f>
        <v>0</v>
      </c>
      <c r="W109" s="80" t="s">
        <v>40</v>
      </c>
      <c r="X109" s="78" t="s">
        <v>42</v>
      </c>
      <c r="Y109" s="79">
        <v>0.01</v>
      </c>
      <c r="Z109" s="79">
        <v>0.99</v>
      </c>
      <c r="AA109" s="79"/>
      <c r="AB109" s="81">
        <f t="shared" si="17"/>
        <v>1</v>
      </c>
      <c r="AC109" s="76" t="str">
        <f t="shared" si="13"/>
        <v>OK</v>
      </c>
    </row>
    <row r="110" spans="1:29" ht="31.5" x14ac:dyDescent="0.5">
      <c r="A110" s="65">
        <f t="shared" si="14"/>
        <v>90</v>
      </c>
      <c r="B110" s="149">
        <v>1010141206</v>
      </c>
      <c r="C110" s="157" t="s">
        <v>371</v>
      </c>
      <c r="D110" s="151">
        <v>20</v>
      </c>
      <c r="E110" s="152">
        <f>(Tabla3[[#This Row],[CANT]]*5000000)</f>
        <v>100000000</v>
      </c>
      <c r="F110" s="158"/>
      <c r="G110" s="152"/>
      <c r="H110" s="159"/>
      <c r="I110" s="152"/>
      <c r="J110" s="160"/>
      <c r="K110" s="161"/>
      <c r="L110" s="160"/>
      <c r="M110" s="161"/>
      <c r="N110" s="160"/>
      <c r="O110" s="161"/>
      <c r="P110" s="160"/>
      <c r="Q110" s="161"/>
      <c r="R110" s="48">
        <f>(Tabla3[[#This Row],[MONTO]]+Tabla3[[#This Row],[MONTO2]]+Tabla3[[#This Row],[MONTO3]]+Tabla3[[#This Row],[MONTO4]]+Tabla3[[#This Row],[MONTO5]]+Tabla3[[#This Row],[MONTO6]]+Tabla3[[#This Row],[MONTO7]])</f>
        <v>100000000</v>
      </c>
      <c r="S110" s="63">
        <f t="shared" ref="S110:S143" si="18">R110-(R110*10%)</f>
        <v>90000000</v>
      </c>
      <c r="T110" s="51">
        <f t="shared" ref="T110:T143" si="19">(S110*1%)</f>
        <v>900000</v>
      </c>
      <c r="U110" s="51">
        <f>(Tabla3[[#This Row],[TOTAL -10%]]*Tabla3[[#This Row],[FIDUCIA]])</f>
        <v>89100000</v>
      </c>
      <c r="V110" s="51">
        <f>(Tabla3[[#This Row],[TOTAL -10%]]*Tabla3[[#This Row],[NUBE]])</f>
        <v>0</v>
      </c>
      <c r="W110" s="80"/>
      <c r="X110" s="78" t="s">
        <v>42</v>
      </c>
      <c r="Y110" s="79">
        <v>0.01</v>
      </c>
      <c r="Z110" s="79">
        <v>0.99</v>
      </c>
      <c r="AA110" s="79"/>
      <c r="AB110" s="81">
        <f t="shared" ref="AB110:AB143" si="20">SUM(Y110:AA110)</f>
        <v>1</v>
      </c>
      <c r="AC110" s="76" t="str">
        <f t="shared" si="13"/>
        <v>OK</v>
      </c>
    </row>
    <row r="111" spans="1:29" ht="31.5" x14ac:dyDescent="0.5">
      <c r="A111" s="65">
        <f t="shared" si="14"/>
        <v>91</v>
      </c>
      <c r="B111" s="149">
        <v>30346524</v>
      </c>
      <c r="C111" s="157" t="s">
        <v>353</v>
      </c>
      <c r="D111" s="151">
        <v>59</v>
      </c>
      <c r="E111" s="152">
        <f>(Tabla3[[#This Row],[CANT]]*5000000)</f>
        <v>295000000</v>
      </c>
      <c r="F111" s="162">
        <v>8</v>
      </c>
      <c r="G111" s="152">
        <f>(Tabla3[[#This Row],[CANT2]]*10000000)</f>
        <v>80000000</v>
      </c>
      <c r="H111" s="159">
        <v>8</v>
      </c>
      <c r="I111" s="152">
        <f>(Tabla3[[#This Row],[CANT3]]*7500000)</f>
        <v>60000000</v>
      </c>
      <c r="J111" s="160">
        <v>1</v>
      </c>
      <c r="K111" s="161">
        <f>(Tabla3[[#This Row],[CANT4]]*500000)</f>
        <v>500000</v>
      </c>
      <c r="L111" s="160"/>
      <c r="M111" s="161"/>
      <c r="N111" s="160">
        <v>1</v>
      </c>
      <c r="O111" s="161">
        <f>(Tabla3[[#This Row],[CANT6]]*200000)</f>
        <v>200000</v>
      </c>
      <c r="P111" s="161" t="s">
        <v>361</v>
      </c>
      <c r="Q111" s="161">
        <v>500000000</v>
      </c>
      <c r="R111" s="48">
        <f>(Tabla3[[#This Row],[MONTO]]+Tabla3[[#This Row],[MONTO2]]+Tabla3[[#This Row],[MONTO3]]+Tabla3[[#This Row],[MONTO4]]+Tabla3[[#This Row],[MONTO5]]+Tabla3[[#This Row],[MONTO6]]+Tabla3[[#This Row],[MONTO7]])</f>
        <v>935700000</v>
      </c>
      <c r="S111" s="63">
        <f t="shared" si="18"/>
        <v>842130000</v>
      </c>
      <c r="T111" s="51">
        <f t="shared" si="19"/>
        <v>8421300</v>
      </c>
      <c r="U111" s="118">
        <f>(Tabla3[[#This Row],[TOTAL -10%]]*Tabla3[[#This Row],[FIDUCIA]])</f>
        <v>0</v>
      </c>
      <c r="V111" s="51">
        <f>(Tabla3[[#This Row],[TOTAL -10%]]*Tabla3[[#This Row],[NUBE]])</f>
        <v>833708700</v>
      </c>
      <c r="W111" s="80"/>
      <c r="X111" s="78" t="s">
        <v>43</v>
      </c>
      <c r="Y111" s="79">
        <v>0.01</v>
      </c>
      <c r="Z111" s="79"/>
      <c r="AA111" s="79">
        <v>0.99</v>
      </c>
      <c r="AB111" s="81">
        <f t="shared" si="20"/>
        <v>1</v>
      </c>
      <c r="AC111" s="76" t="str">
        <f t="shared" si="13"/>
        <v>OK</v>
      </c>
    </row>
    <row r="112" spans="1:29" ht="31.5" x14ac:dyDescent="0.5">
      <c r="A112" s="65">
        <f t="shared" si="14"/>
        <v>92</v>
      </c>
      <c r="B112" s="149">
        <v>91267483</v>
      </c>
      <c r="C112" s="157" t="s">
        <v>344</v>
      </c>
      <c r="D112" s="151">
        <v>11</v>
      </c>
      <c r="E112" s="152">
        <f>(Tabla3[[#This Row],[CANT]]*5000000)</f>
        <v>55000000</v>
      </c>
      <c r="F112" s="158">
        <v>4</v>
      </c>
      <c r="G112" s="152">
        <f>(Tabla3[[#This Row],[CANT2]]*10000000)</f>
        <v>40000000</v>
      </c>
      <c r="H112" s="159"/>
      <c r="I112" s="152"/>
      <c r="J112" s="160">
        <v>5</v>
      </c>
      <c r="K112" s="161">
        <f>(Tabla3[[#This Row],[CANT4]]*500000)</f>
        <v>2500000</v>
      </c>
      <c r="L112" s="160"/>
      <c r="M112" s="161"/>
      <c r="N112" s="160"/>
      <c r="O112" s="161"/>
      <c r="P112" s="160"/>
      <c r="Q112" s="161"/>
      <c r="R112" s="48">
        <f>(Tabla3[[#This Row],[MONTO]]+Tabla3[[#This Row],[MONTO2]]+Tabla3[[#This Row],[MONTO3]]+Tabla3[[#This Row],[MONTO4]]+Tabla3[[#This Row],[MONTO5]]+Tabla3[[#This Row],[MONTO6]]+Tabla3[[#This Row],[MONTO7]])</f>
        <v>97500000</v>
      </c>
      <c r="S112" s="63">
        <f t="shared" si="18"/>
        <v>87750000</v>
      </c>
      <c r="T112" s="51">
        <f t="shared" si="19"/>
        <v>877500</v>
      </c>
      <c r="U112" s="118">
        <f>(Tabla3[[#This Row],[TOTAL -10%]]*Tabla3[[#This Row],[FIDUCIA]])</f>
        <v>0</v>
      </c>
      <c r="V112" s="51">
        <f>(Tabla3[[#This Row],[TOTAL -10%]]*Tabla3[[#This Row],[NUBE]])</f>
        <v>86872500</v>
      </c>
      <c r="W112" s="80"/>
      <c r="X112" s="78" t="s">
        <v>43</v>
      </c>
      <c r="Y112" s="79">
        <v>0.01</v>
      </c>
      <c r="Z112" s="79"/>
      <c r="AA112" s="79">
        <v>0.99</v>
      </c>
      <c r="AB112" s="81">
        <f t="shared" si="20"/>
        <v>1</v>
      </c>
      <c r="AC112" s="76" t="str">
        <f t="shared" si="13"/>
        <v>OK</v>
      </c>
    </row>
    <row r="113" spans="1:29" ht="31.5" x14ac:dyDescent="0.5">
      <c r="A113" s="65">
        <f t="shared" si="14"/>
        <v>93</v>
      </c>
      <c r="B113" s="149">
        <v>1089906516</v>
      </c>
      <c r="C113" s="157" t="s">
        <v>339</v>
      </c>
      <c r="D113" s="151">
        <v>2</v>
      </c>
      <c r="E113" s="152">
        <f>(Tabla3[[#This Row],[CANT]]*5000000)</f>
        <v>10000000</v>
      </c>
      <c r="F113" s="158"/>
      <c r="G113" s="152"/>
      <c r="H113" s="159"/>
      <c r="I113" s="152"/>
      <c r="J113" s="160"/>
      <c r="K113" s="161"/>
      <c r="L113" s="160"/>
      <c r="M113" s="161"/>
      <c r="N113" s="160"/>
      <c r="O113" s="161"/>
      <c r="P113" s="160"/>
      <c r="Q113" s="161"/>
      <c r="R113" s="48">
        <f>(Tabla3[[#This Row],[MONTO]]+Tabla3[[#This Row],[MONTO2]]+Tabla3[[#This Row],[MONTO3]]+Tabla3[[#This Row],[MONTO4]]+Tabla3[[#This Row],[MONTO5]]+Tabla3[[#This Row],[MONTO6]]+Tabla3[[#This Row],[MONTO7]])</f>
        <v>10000000</v>
      </c>
      <c r="S113" s="63">
        <f t="shared" si="18"/>
        <v>9000000</v>
      </c>
      <c r="T113" s="51">
        <f t="shared" si="19"/>
        <v>90000</v>
      </c>
      <c r="U113" s="118">
        <f>(Tabla3[[#This Row],[TOTAL -10%]]*Tabla3[[#This Row],[FIDUCIA]])</f>
        <v>8910000</v>
      </c>
      <c r="V113" s="51">
        <f>(Tabla3[[#This Row],[TOTAL -10%]]*Tabla3[[#This Row],[NUBE]])</f>
        <v>0</v>
      </c>
      <c r="W113" s="80"/>
      <c r="X113" s="78" t="s">
        <v>42</v>
      </c>
      <c r="Y113" s="79">
        <v>0.01</v>
      </c>
      <c r="Z113" s="79">
        <v>0.99</v>
      </c>
      <c r="AA113" s="79"/>
      <c r="AB113" s="81">
        <f t="shared" si="20"/>
        <v>1</v>
      </c>
      <c r="AC113" s="76" t="str">
        <f t="shared" si="13"/>
        <v>OK</v>
      </c>
    </row>
    <row r="114" spans="1:29" ht="31.5" x14ac:dyDescent="0.5">
      <c r="A114" s="65">
        <f t="shared" si="14"/>
        <v>94</v>
      </c>
      <c r="B114" s="149">
        <v>34567500</v>
      </c>
      <c r="C114" s="157" t="s">
        <v>325</v>
      </c>
      <c r="D114" s="151">
        <v>14</v>
      </c>
      <c r="E114" s="152">
        <f>(Tabla3[[#This Row],[CANT]]*5000000)</f>
        <v>70000000</v>
      </c>
      <c r="F114" s="158">
        <v>1</v>
      </c>
      <c r="G114" s="152">
        <f>(Tabla3[[#This Row],[CANT2]]*10000000)</f>
        <v>10000000</v>
      </c>
      <c r="H114" s="159">
        <v>1</v>
      </c>
      <c r="I114" s="152">
        <f>(Tabla3[[#This Row],[CANT3]]*7500000)</f>
        <v>7500000</v>
      </c>
      <c r="J114" s="160">
        <v>1</v>
      </c>
      <c r="K114" s="161">
        <f>(Tabla3[[#This Row],[CANT4]]*500000)</f>
        <v>500000</v>
      </c>
      <c r="L114" s="160"/>
      <c r="M114" s="161"/>
      <c r="N114" s="160"/>
      <c r="O114" s="161"/>
      <c r="P114" s="160"/>
      <c r="Q114" s="161"/>
      <c r="R114" s="48">
        <f>(Tabla3[[#This Row],[MONTO]]+Tabla3[[#This Row],[MONTO2]]+Tabla3[[#This Row],[MONTO3]]+Tabla3[[#This Row],[MONTO4]]+Tabla3[[#This Row],[MONTO5]]+Tabla3[[#This Row],[MONTO6]]+Tabla3[[#This Row],[MONTO7]])</f>
        <v>88000000</v>
      </c>
      <c r="S114" s="63">
        <f t="shared" si="18"/>
        <v>79200000</v>
      </c>
      <c r="T114" s="51">
        <f t="shared" si="19"/>
        <v>792000</v>
      </c>
      <c r="U114" s="118">
        <f>(Tabla3[[#This Row],[TOTAL -10%]]*Tabla3[[#This Row],[FIDUCIA]])</f>
        <v>78408000</v>
      </c>
      <c r="V114" s="51">
        <f>(Tabla3[[#This Row],[TOTAL -10%]]*Tabla3[[#This Row],[NUBE]])</f>
        <v>0</v>
      </c>
      <c r="W114" s="80"/>
      <c r="X114" s="78" t="s">
        <v>42</v>
      </c>
      <c r="Y114" s="79">
        <v>0.01</v>
      </c>
      <c r="Z114" s="79">
        <v>0.99</v>
      </c>
      <c r="AA114" s="79"/>
      <c r="AB114" s="81">
        <f t="shared" si="20"/>
        <v>1</v>
      </c>
      <c r="AC114" s="76" t="str">
        <f t="shared" si="13"/>
        <v>OK</v>
      </c>
    </row>
    <row r="115" spans="1:29" ht="31.5" x14ac:dyDescent="0.5">
      <c r="A115" s="65">
        <f t="shared" si="14"/>
        <v>95</v>
      </c>
      <c r="B115" s="149">
        <v>40782037</v>
      </c>
      <c r="C115" s="157" t="s">
        <v>322</v>
      </c>
      <c r="D115" s="151">
        <v>20</v>
      </c>
      <c r="E115" s="152">
        <f>(Tabla3[[#This Row],[CANT]]*5000000)</f>
        <v>100000000</v>
      </c>
      <c r="F115" s="158"/>
      <c r="G115" s="152"/>
      <c r="H115" s="159"/>
      <c r="I115" s="152"/>
      <c r="J115" s="160"/>
      <c r="K115" s="161"/>
      <c r="L115" s="160"/>
      <c r="M115" s="161"/>
      <c r="N115" s="160"/>
      <c r="O115" s="161"/>
      <c r="P115" s="160"/>
      <c r="Q115" s="161"/>
      <c r="R115" s="48">
        <f>(Tabla3[[#This Row],[MONTO]]+Tabla3[[#This Row],[MONTO2]]+Tabla3[[#This Row],[MONTO3]]+Tabla3[[#This Row],[MONTO4]]+Tabla3[[#This Row],[MONTO5]]+Tabla3[[#This Row],[MONTO6]]+Tabla3[[#This Row],[MONTO7]])</f>
        <v>100000000</v>
      </c>
      <c r="S115" s="63">
        <f t="shared" si="18"/>
        <v>90000000</v>
      </c>
      <c r="T115" s="51">
        <f t="shared" si="19"/>
        <v>900000</v>
      </c>
      <c r="U115" s="118">
        <f>(Tabla3[[#This Row],[TOTAL -10%]]*Tabla3[[#This Row],[FIDUCIA]])</f>
        <v>0</v>
      </c>
      <c r="V115" s="51">
        <f>(Tabla3[[#This Row],[TOTAL -10%]]*Tabla3[[#This Row],[NUBE]])</f>
        <v>89100000</v>
      </c>
      <c r="W115" s="80"/>
      <c r="X115" s="78" t="s">
        <v>43</v>
      </c>
      <c r="Y115" s="79">
        <v>0.01</v>
      </c>
      <c r="Z115" s="79"/>
      <c r="AA115" s="79">
        <v>0.99</v>
      </c>
      <c r="AB115" s="81">
        <f t="shared" si="20"/>
        <v>1</v>
      </c>
      <c r="AC115" s="76" t="str">
        <f t="shared" si="13"/>
        <v>OK</v>
      </c>
    </row>
    <row r="116" spans="1:29" ht="31.5" x14ac:dyDescent="0.5">
      <c r="A116" s="65">
        <f t="shared" si="14"/>
        <v>96</v>
      </c>
      <c r="B116" s="149">
        <v>79104095</v>
      </c>
      <c r="C116" s="157" t="s">
        <v>313</v>
      </c>
      <c r="D116" s="151">
        <v>28</v>
      </c>
      <c r="E116" s="152">
        <f>(Tabla3[[#This Row],[CANT]]*5000000)</f>
        <v>140000000</v>
      </c>
      <c r="F116" s="158">
        <v>7</v>
      </c>
      <c r="G116" s="152">
        <f>(Tabla3[[#This Row],[CANT2]]*10000000)</f>
        <v>70000000</v>
      </c>
      <c r="H116" s="159">
        <v>2</v>
      </c>
      <c r="I116" s="152">
        <f>(Tabla3[[#This Row],[CANT3]]*7500000)</f>
        <v>15000000</v>
      </c>
      <c r="J116" s="160"/>
      <c r="K116" s="161"/>
      <c r="L116" s="160"/>
      <c r="M116" s="161"/>
      <c r="N116" s="160"/>
      <c r="O116" s="161"/>
      <c r="P116" s="160"/>
      <c r="Q116" s="161"/>
      <c r="R116" s="48">
        <f>(Tabla3[[#This Row],[MONTO]]+Tabla3[[#This Row],[MONTO2]]+Tabla3[[#This Row],[MONTO3]]+Tabla3[[#This Row],[MONTO4]]+Tabla3[[#This Row],[MONTO5]]+Tabla3[[#This Row],[MONTO6]]+Tabla3[[#This Row],[MONTO7]])</f>
        <v>225000000</v>
      </c>
      <c r="S116" s="63">
        <f t="shared" si="18"/>
        <v>202500000</v>
      </c>
      <c r="T116" s="51">
        <f t="shared" si="19"/>
        <v>2025000</v>
      </c>
      <c r="U116" s="118">
        <f>(Tabla3[[#This Row],[TOTAL -10%]]*Tabla3[[#This Row],[FIDUCIA]])</f>
        <v>200475000</v>
      </c>
      <c r="V116" s="51">
        <f>(Tabla3[[#This Row],[TOTAL -10%]]*Tabla3[[#This Row],[NUBE]])</f>
        <v>0</v>
      </c>
      <c r="W116" s="80"/>
      <c r="X116" s="78" t="s">
        <v>42</v>
      </c>
      <c r="Y116" s="79">
        <v>0.01</v>
      </c>
      <c r="Z116" s="79">
        <v>0.99</v>
      </c>
      <c r="AA116" s="79"/>
      <c r="AB116" s="81">
        <f t="shared" si="20"/>
        <v>1</v>
      </c>
      <c r="AC116" s="76" t="str">
        <f t="shared" si="13"/>
        <v>OK</v>
      </c>
    </row>
    <row r="117" spans="1:29" ht="31.5" x14ac:dyDescent="0.5">
      <c r="A117" s="65">
        <f t="shared" si="14"/>
        <v>97</v>
      </c>
      <c r="B117" s="149">
        <v>801857780</v>
      </c>
      <c r="C117" s="157" t="s">
        <v>308</v>
      </c>
      <c r="D117" s="151">
        <v>5</v>
      </c>
      <c r="E117" s="152">
        <f>(Tabla3[[#This Row],[CANT]]*5000000)</f>
        <v>25000000</v>
      </c>
      <c r="F117" s="158">
        <v>3</v>
      </c>
      <c r="G117" s="152">
        <f>(Tabla3[[#This Row],[CANT2]]*10000000)</f>
        <v>30000000</v>
      </c>
      <c r="H117" s="159"/>
      <c r="I117" s="152"/>
      <c r="J117" s="160"/>
      <c r="K117" s="161"/>
      <c r="L117" s="160"/>
      <c r="M117" s="161"/>
      <c r="N117" s="160"/>
      <c r="O117" s="161"/>
      <c r="P117" s="160"/>
      <c r="Q117" s="161"/>
      <c r="R117" s="48">
        <f>(Tabla3[[#This Row],[MONTO]]+Tabla3[[#This Row],[MONTO2]]+Tabla3[[#This Row],[MONTO3]]+Tabla3[[#This Row],[MONTO4]]+Tabla3[[#This Row],[MONTO5]]+Tabla3[[#This Row],[MONTO6]]+Tabla3[[#This Row],[MONTO7]])</f>
        <v>55000000</v>
      </c>
      <c r="S117" s="63">
        <f t="shared" si="18"/>
        <v>49500000</v>
      </c>
      <c r="T117" s="51">
        <f t="shared" si="19"/>
        <v>495000</v>
      </c>
      <c r="U117" s="118">
        <f>(Tabla3[[#This Row],[TOTAL -10%]]*Tabla3[[#This Row],[FIDUCIA]])</f>
        <v>0</v>
      </c>
      <c r="V117" s="51">
        <f>(Tabla3[[#This Row],[TOTAL -10%]]*Tabla3[[#This Row],[NUBE]])</f>
        <v>49005000</v>
      </c>
      <c r="W117" s="80"/>
      <c r="X117" s="78" t="s">
        <v>43</v>
      </c>
      <c r="Y117" s="79">
        <v>0.01</v>
      </c>
      <c r="Z117" s="79"/>
      <c r="AA117" s="79">
        <v>0.99</v>
      </c>
      <c r="AB117" s="81">
        <f t="shared" si="20"/>
        <v>1</v>
      </c>
      <c r="AC117" s="76" t="str">
        <f t="shared" si="13"/>
        <v>OK</v>
      </c>
    </row>
    <row r="118" spans="1:29" ht="31.5" x14ac:dyDescent="0.5">
      <c r="A118" s="65">
        <f t="shared" si="14"/>
        <v>98</v>
      </c>
      <c r="B118" s="149">
        <v>66659174</v>
      </c>
      <c r="C118" s="157" t="s">
        <v>304</v>
      </c>
      <c r="D118" s="151">
        <v>2</v>
      </c>
      <c r="E118" s="152">
        <f>(Tabla3[[#This Row],[CANT]]*5000000)</f>
        <v>10000000</v>
      </c>
      <c r="F118" s="158">
        <v>2</v>
      </c>
      <c r="G118" s="152">
        <f>(Tabla3[[#This Row],[CANT2]]*10000000)</f>
        <v>20000000</v>
      </c>
      <c r="H118" s="159"/>
      <c r="I118" s="152"/>
      <c r="J118" s="160"/>
      <c r="K118" s="161"/>
      <c r="L118" s="160"/>
      <c r="M118" s="161"/>
      <c r="N118" s="160"/>
      <c r="O118" s="161"/>
      <c r="P118" s="160"/>
      <c r="Q118" s="161"/>
      <c r="R118" s="48">
        <f>(Tabla3[[#This Row],[MONTO]]+Tabla3[[#This Row],[MONTO2]]+Tabla3[[#This Row],[MONTO3]]+Tabla3[[#This Row],[MONTO4]]+Tabla3[[#This Row],[MONTO5]]+Tabla3[[#This Row],[MONTO6]]+Tabla3[[#This Row],[MONTO7]])</f>
        <v>30000000</v>
      </c>
      <c r="S118" s="63">
        <f t="shared" si="18"/>
        <v>27000000</v>
      </c>
      <c r="T118" s="51">
        <f t="shared" si="19"/>
        <v>270000</v>
      </c>
      <c r="U118" s="118">
        <f>(Tabla3[[#This Row],[TOTAL -10%]]*Tabla3[[#This Row],[FIDUCIA]])</f>
        <v>26730000</v>
      </c>
      <c r="V118" s="51">
        <f>(Tabla3[[#This Row],[TOTAL -10%]]*Tabla3[[#This Row],[NUBE]])</f>
        <v>0</v>
      </c>
      <c r="W118" s="80"/>
      <c r="X118" s="78" t="s">
        <v>42</v>
      </c>
      <c r="Y118" s="79">
        <v>0.01</v>
      </c>
      <c r="Z118" s="79">
        <v>0.99</v>
      </c>
      <c r="AA118" s="79"/>
      <c r="AB118" s="81">
        <f t="shared" si="20"/>
        <v>1</v>
      </c>
      <c r="AC118" s="76" t="str">
        <f t="shared" si="13"/>
        <v>OK</v>
      </c>
    </row>
    <row r="119" spans="1:29" ht="31.5" x14ac:dyDescent="0.5">
      <c r="A119" s="65">
        <f t="shared" si="14"/>
        <v>99</v>
      </c>
      <c r="B119" s="149">
        <v>30321348</v>
      </c>
      <c r="C119" s="157" t="s">
        <v>299</v>
      </c>
      <c r="D119" s="151">
        <v>1</v>
      </c>
      <c r="E119" s="152">
        <f>(Tabla3[[#This Row],[CANT]]*5000000)</f>
        <v>5000000</v>
      </c>
      <c r="F119" s="158">
        <v>1</v>
      </c>
      <c r="G119" s="152">
        <f>(Tabla3[[#This Row],[CANT2]]*10000000)</f>
        <v>10000000</v>
      </c>
      <c r="H119" s="159">
        <v>1</v>
      </c>
      <c r="I119" s="152">
        <f>(Tabla3[[#This Row],[CANT3]]*7500000)</f>
        <v>7500000</v>
      </c>
      <c r="J119" s="160"/>
      <c r="K119" s="161"/>
      <c r="L119" s="160"/>
      <c r="M119" s="161"/>
      <c r="N119" s="160"/>
      <c r="O119" s="161"/>
      <c r="P119" s="160"/>
      <c r="Q119" s="161"/>
      <c r="R119" s="48">
        <f>(Tabla3[[#This Row],[MONTO]]+Tabla3[[#This Row],[MONTO2]]+Tabla3[[#This Row],[MONTO3]]+Tabla3[[#This Row],[MONTO4]]+Tabla3[[#This Row],[MONTO5]]+Tabla3[[#This Row],[MONTO6]]+Tabla3[[#This Row],[MONTO7]])</f>
        <v>22500000</v>
      </c>
      <c r="S119" s="63">
        <f t="shared" si="18"/>
        <v>20250000</v>
      </c>
      <c r="T119" s="51">
        <f t="shared" si="19"/>
        <v>202500</v>
      </c>
      <c r="U119" s="118">
        <f>(Tabla3[[#This Row],[TOTAL -10%]]*Tabla3[[#This Row],[FIDUCIA]])</f>
        <v>20047500</v>
      </c>
      <c r="V119" s="51">
        <f>(Tabla3[[#This Row],[TOTAL -10%]]*Tabla3[[#This Row],[NUBE]])</f>
        <v>0</v>
      </c>
      <c r="W119" s="80"/>
      <c r="X119" s="78" t="s">
        <v>42</v>
      </c>
      <c r="Y119" s="79">
        <v>0.01</v>
      </c>
      <c r="Z119" s="79">
        <v>0.99</v>
      </c>
      <c r="AA119" s="79"/>
      <c r="AB119" s="81">
        <f t="shared" si="20"/>
        <v>1</v>
      </c>
      <c r="AC119" s="76" t="str">
        <f t="shared" si="13"/>
        <v>OK</v>
      </c>
    </row>
    <row r="120" spans="1:29" ht="31.5" x14ac:dyDescent="0.5">
      <c r="A120" s="65">
        <f t="shared" si="14"/>
        <v>100</v>
      </c>
      <c r="B120" s="149">
        <v>1002731648</v>
      </c>
      <c r="C120" s="157" t="s">
        <v>295</v>
      </c>
      <c r="D120" s="151">
        <v>6</v>
      </c>
      <c r="E120" s="152">
        <f>(Tabla3[[#This Row],[CANT]]*5000000)</f>
        <v>30000000</v>
      </c>
      <c r="F120" s="158"/>
      <c r="G120" s="152"/>
      <c r="H120" s="159"/>
      <c r="I120" s="152"/>
      <c r="J120" s="160"/>
      <c r="K120" s="161"/>
      <c r="L120" s="160"/>
      <c r="M120" s="161"/>
      <c r="N120" s="160"/>
      <c r="O120" s="161"/>
      <c r="P120" s="160"/>
      <c r="Q120" s="161"/>
      <c r="R120" s="48">
        <f>(Tabla3[[#This Row],[MONTO]]+Tabla3[[#This Row],[MONTO2]]+Tabla3[[#This Row],[MONTO3]]+Tabla3[[#This Row],[MONTO4]]+Tabla3[[#This Row],[MONTO5]]+Tabla3[[#This Row],[MONTO6]]+Tabla3[[#This Row],[MONTO7]])</f>
        <v>30000000</v>
      </c>
      <c r="S120" s="63">
        <f t="shared" si="18"/>
        <v>27000000</v>
      </c>
      <c r="T120" s="51">
        <f t="shared" si="19"/>
        <v>270000</v>
      </c>
      <c r="U120" s="118">
        <f>(Tabla3[[#This Row],[TOTAL -10%]]*Tabla3[[#This Row],[FIDUCIA]])</f>
        <v>26730000</v>
      </c>
      <c r="V120" s="51">
        <f>(Tabla3[[#This Row],[TOTAL -10%]]*Tabla3[[#This Row],[NUBE]])</f>
        <v>0</v>
      </c>
      <c r="W120" s="80"/>
      <c r="X120" s="78" t="s">
        <v>42</v>
      </c>
      <c r="Y120" s="79">
        <v>0.01</v>
      </c>
      <c r="Z120" s="79">
        <v>0.99</v>
      </c>
      <c r="AA120" s="79"/>
      <c r="AB120" s="81">
        <f t="shared" si="20"/>
        <v>1</v>
      </c>
      <c r="AC120" s="76" t="str">
        <f t="shared" si="13"/>
        <v>OK</v>
      </c>
    </row>
    <row r="121" spans="1:29" ht="31.5" x14ac:dyDescent="0.5">
      <c r="A121" s="65">
        <f t="shared" si="14"/>
        <v>101</v>
      </c>
      <c r="B121" s="149">
        <v>1004778054</v>
      </c>
      <c r="C121" s="157" t="s">
        <v>288</v>
      </c>
      <c r="D121" s="151">
        <v>1</v>
      </c>
      <c r="E121" s="152">
        <f>(Tabla3[[#This Row],[CANT]]*5000000)</f>
        <v>5000000</v>
      </c>
      <c r="F121" s="158">
        <v>1</v>
      </c>
      <c r="G121" s="152">
        <f>(Tabla3[[#This Row],[CANT2]]*10000000)</f>
        <v>10000000</v>
      </c>
      <c r="H121" s="159">
        <v>1</v>
      </c>
      <c r="I121" s="152">
        <f>(Tabla3[[#This Row],[CANT3]]*7500000)</f>
        <v>7500000</v>
      </c>
      <c r="J121" s="160"/>
      <c r="K121" s="161"/>
      <c r="L121" s="160"/>
      <c r="M121" s="161"/>
      <c r="N121" s="160"/>
      <c r="O121" s="161"/>
      <c r="P121" s="160"/>
      <c r="Q121" s="161"/>
      <c r="R121" s="48">
        <f>(Tabla3[[#This Row],[MONTO]]+Tabla3[[#This Row],[MONTO2]]+Tabla3[[#This Row],[MONTO3]]+Tabla3[[#This Row],[MONTO4]]+Tabla3[[#This Row],[MONTO5]]+Tabla3[[#This Row],[MONTO6]]+Tabla3[[#This Row],[MONTO7]])</f>
        <v>22500000</v>
      </c>
      <c r="S121" s="63">
        <f t="shared" si="18"/>
        <v>20250000</v>
      </c>
      <c r="T121" s="51">
        <f t="shared" si="19"/>
        <v>202500</v>
      </c>
      <c r="U121" s="118">
        <f>(Tabla3[[#This Row],[TOTAL -10%]]*Tabla3[[#This Row],[FIDUCIA]])</f>
        <v>0</v>
      </c>
      <c r="V121" s="51">
        <f>(Tabla3[[#This Row],[TOTAL -10%]]*Tabla3[[#This Row],[NUBE]])</f>
        <v>20047500</v>
      </c>
      <c r="W121" s="80"/>
      <c r="X121" s="78" t="s">
        <v>43</v>
      </c>
      <c r="Y121" s="79">
        <v>0.01</v>
      </c>
      <c r="Z121" s="79"/>
      <c r="AA121" s="79">
        <v>0.99</v>
      </c>
      <c r="AB121" s="81">
        <f t="shared" si="20"/>
        <v>1</v>
      </c>
      <c r="AC121" s="76" t="str">
        <f t="shared" si="13"/>
        <v>OK</v>
      </c>
    </row>
    <row r="122" spans="1:29" ht="31.5" x14ac:dyDescent="0.5">
      <c r="A122" s="65">
        <f t="shared" si="14"/>
        <v>102</v>
      </c>
      <c r="B122" s="149">
        <v>80232692</v>
      </c>
      <c r="C122" s="157" t="s">
        <v>279</v>
      </c>
      <c r="D122" s="151">
        <v>24</v>
      </c>
      <c r="E122" s="152">
        <f>(Tabla3[[#This Row],[CANT]]*5000000)</f>
        <v>120000000</v>
      </c>
      <c r="F122" s="158">
        <v>6</v>
      </c>
      <c r="G122" s="152">
        <f>(Tabla3[[#This Row],[CANT2]]*10000000)</f>
        <v>60000000</v>
      </c>
      <c r="H122" s="159">
        <v>2</v>
      </c>
      <c r="I122" s="152">
        <f>(Tabla3[[#This Row],[CANT3]]*7500000)</f>
        <v>15000000</v>
      </c>
      <c r="J122" s="160"/>
      <c r="K122" s="161"/>
      <c r="L122" s="160"/>
      <c r="M122" s="161"/>
      <c r="N122" s="160"/>
      <c r="O122" s="161"/>
      <c r="P122" s="160"/>
      <c r="Q122" s="161"/>
      <c r="R122" s="48">
        <f>(Tabla3[[#This Row],[MONTO]]+Tabla3[[#This Row],[MONTO2]]+Tabla3[[#This Row],[MONTO3]]+Tabla3[[#This Row],[MONTO4]]+Tabla3[[#This Row],[MONTO5]]+Tabla3[[#This Row],[MONTO6]]+Tabla3[[#This Row],[MONTO7]])</f>
        <v>195000000</v>
      </c>
      <c r="S122" s="63">
        <f t="shared" si="18"/>
        <v>175500000</v>
      </c>
      <c r="T122" s="51">
        <f t="shared" si="19"/>
        <v>1755000</v>
      </c>
      <c r="U122" s="118">
        <f>(Tabla3[[#This Row],[TOTAL -10%]]*Tabla3[[#This Row],[FIDUCIA]])</f>
        <v>173745000</v>
      </c>
      <c r="V122" s="51">
        <f>(Tabla3[[#This Row],[TOTAL -10%]]*Tabla3[[#This Row],[NUBE]])</f>
        <v>0</v>
      </c>
      <c r="W122" s="80"/>
      <c r="X122" s="78" t="s">
        <v>42</v>
      </c>
      <c r="Y122" s="79">
        <v>0.01</v>
      </c>
      <c r="Z122" s="79">
        <v>0.99</v>
      </c>
      <c r="AA122" s="79"/>
      <c r="AB122" s="81">
        <f t="shared" si="20"/>
        <v>1</v>
      </c>
      <c r="AC122" s="76" t="str">
        <f t="shared" si="13"/>
        <v>OK</v>
      </c>
    </row>
    <row r="123" spans="1:29" ht="31.5" x14ac:dyDescent="0.5">
      <c r="A123" s="65">
        <f t="shared" si="14"/>
        <v>103</v>
      </c>
      <c r="B123" s="149" t="s">
        <v>264</v>
      </c>
      <c r="C123" s="157" t="s">
        <v>265</v>
      </c>
      <c r="D123" s="151">
        <v>33</v>
      </c>
      <c r="E123" s="152">
        <f>(Tabla3[[#This Row],[CANT]]*5000000)</f>
        <v>165000000</v>
      </c>
      <c r="F123" s="158">
        <v>5</v>
      </c>
      <c r="G123" s="152">
        <f>(Tabla3[[#This Row],[CANT2]]*10000000)</f>
        <v>50000000</v>
      </c>
      <c r="H123" s="159">
        <v>7</v>
      </c>
      <c r="I123" s="152">
        <f>(Tabla3[[#This Row],[CANT3]]*7500000)</f>
        <v>52500000</v>
      </c>
      <c r="J123" s="160"/>
      <c r="K123" s="161"/>
      <c r="L123" s="160"/>
      <c r="M123" s="161"/>
      <c r="N123" s="160"/>
      <c r="O123" s="161"/>
      <c r="P123" s="160"/>
      <c r="Q123" s="161"/>
      <c r="R123" s="48">
        <f>(Tabla3[[#This Row],[MONTO]]+Tabla3[[#This Row],[MONTO2]]+Tabla3[[#This Row],[MONTO3]]+Tabla3[[#This Row],[MONTO4]]+Tabla3[[#This Row],[MONTO5]]+Tabla3[[#This Row],[MONTO6]]+Tabla3[[#This Row],[MONTO7]])</f>
        <v>267500000</v>
      </c>
      <c r="S123" s="63">
        <f t="shared" si="18"/>
        <v>240750000</v>
      </c>
      <c r="T123" s="51">
        <f t="shared" si="19"/>
        <v>2407500</v>
      </c>
      <c r="U123" s="118">
        <f>(Tabla3[[#This Row],[TOTAL -10%]]*Tabla3[[#This Row],[FIDUCIA]])</f>
        <v>0</v>
      </c>
      <c r="V123" s="51">
        <f>(Tabla3[[#This Row],[TOTAL -10%]]*Tabla3[[#This Row],[NUBE]])</f>
        <v>238342500</v>
      </c>
      <c r="W123" s="80"/>
      <c r="X123" s="78" t="s">
        <v>43</v>
      </c>
      <c r="Y123" s="79">
        <v>0.01</v>
      </c>
      <c r="Z123" s="79"/>
      <c r="AA123" s="79">
        <v>0.99</v>
      </c>
      <c r="AB123" s="81">
        <f t="shared" si="20"/>
        <v>1</v>
      </c>
      <c r="AC123" s="76" t="str">
        <f t="shared" si="13"/>
        <v>OK</v>
      </c>
    </row>
    <row r="124" spans="1:29" ht="31.5" x14ac:dyDescent="0.5">
      <c r="A124" s="65">
        <f t="shared" si="14"/>
        <v>104</v>
      </c>
      <c r="B124" s="149" t="s">
        <v>258</v>
      </c>
      <c r="C124" s="157" t="s">
        <v>259</v>
      </c>
      <c r="D124" s="151">
        <v>5</v>
      </c>
      <c r="E124" s="152">
        <f>(Tabla3[[#This Row],[CANT]]*5000000)</f>
        <v>25000000</v>
      </c>
      <c r="F124" s="158"/>
      <c r="G124" s="152"/>
      <c r="H124" s="159"/>
      <c r="I124" s="152"/>
      <c r="J124" s="160"/>
      <c r="K124" s="161"/>
      <c r="L124" s="160"/>
      <c r="M124" s="161"/>
      <c r="N124" s="160"/>
      <c r="O124" s="161"/>
      <c r="P124" s="160"/>
      <c r="Q124" s="161"/>
      <c r="R124" s="48">
        <f>(Tabla3[[#This Row],[MONTO]]+Tabla3[[#This Row],[MONTO2]]+Tabla3[[#This Row],[MONTO3]]+Tabla3[[#This Row],[MONTO4]]+Tabla3[[#This Row],[MONTO5]]+Tabla3[[#This Row],[MONTO6]]+Tabla3[[#This Row],[MONTO7]])</f>
        <v>25000000</v>
      </c>
      <c r="S124" s="63">
        <f t="shared" si="18"/>
        <v>22500000</v>
      </c>
      <c r="T124" s="51">
        <f t="shared" si="19"/>
        <v>225000</v>
      </c>
      <c r="U124" s="118">
        <f>(Tabla3[[#This Row],[TOTAL -10%]]*Tabla3[[#This Row],[FIDUCIA]])</f>
        <v>0</v>
      </c>
      <c r="V124" s="51">
        <f>(Tabla3[[#This Row],[TOTAL -10%]]*Tabla3[[#This Row],[NUBE]])</f>
        <v>22275000</v>
      </c>
      <c r="W124" s="80"/>
      <c r="X124" s="78" t="s">
        <v>43</v>
      </c>
      <c r="Y124" s="79">
        <v>0.01</v>
      </c>
      <c r="Z124" s="79"/>
      <c r="AA124" s="79">
        <v>0.99</v>
      </c>
      <c r="AB124" s="81">
        <f t="shared" si="20"/>
        <v>1</v>
      </c>
      <c r="AC124" s="76" t="str">
        <f t="shared" si="13"/>
        <v>OK</v>
      </c>
    </row>
    <row r="125" spans="1:29" ht="31.5" x14ac:dyDescent="0.5">
      <c r="A125" s="65">
        <f t="shared" si="14"/>
        <v>105</v>
      </c>
      <c r="B125" s="149" t="s">
        <v>1099</v>
      </c>
      <c r="C125" s="157" t="s">
        <v>250</v>
      </c>
      <c r="D125" s="151">
        <v>2</v>
      </c>
      <c r="E125" s="152">
        <f>(Tabla3[[#This Row],[CANT]]*5000000)</f>
        <v>10000000</v>
      </c>
      <c r="F125" s="151">
        <v>2</v>
      </c>
      <c r="G125" s="152">
        <f>(Tabla3[[#This Row],[CANT2]]*10000000)</f>
        <v>20000000</v>
      </c>
      <c r="H125" s="151"/>
      <c r="I125" s="152"/>
      <c r="J125" s="163"/>
      <c r="K125" s="152"/>
      <c r="L125" s="163"/>
      <c r="M125" s="152"/>
      <c r="N125" s="163"/>
      <c r="O125" s="152"/>
      <c r="P125" s="163"/>
      <c r="Q125" s="152"/>
      <c r="R125" s="48">
        <f>(Tabla3[[#This Row],[MONTO]]+Tabla3[[#This Row],[MONTO2]]+Tabla3[[#This Row],[MONTO3]]+Tabla3[[#This Row],[MONTO4]]+Tabla3[[#This Row],[MONTO5]]+Tabla3[[#This Row],[MONTO6]]+Tabla3[[#This Row],[MONTO7]])</f>
        <v>30000000</v>
      </c>
      <c r="S125" s="63">
        <f t="shared" si="18"/>
        <v>27000000</v>
      </c>
      <c r="T125" s="51">
        <f t="shared" si="19"/>
        <v>270000</v>
      </c>
      <c r="U125" s="118">
        <f>(Tabla3[[#This Row],[TOTAL -10%]]*Tabla3[[#This Row],[FIDUCIA]])</f>
        <v>0</v>
      </c>
      <c r="V125" s="51">
        <f>(Tabla3[[#This Row],[TOTAL -10%]]*Tabla3[[#This Row],[NUBE]])</f>
        <v>26730000</v>
      </c>
      <c r="W125" s="80"/>
      <c r="X125" s="78" t="s">
        <v>43</v>
      </c>
      <c r="Y125" s="79">
        <v>0.01</v>
      </c>
      <c r="Z125" s="79"/>
      <c r="AA125" s="79">
        <v>0.99</v>
      </c>
      <c r="AB125" s="81">
        <f t="shared" si="20"/>
        <v>1</v>
      </c>
      <c r="AC125" s="76" t="str">
        <f t="shared" si="13"/>
        <v>OK</v>
      </c>
    </row>
    <row r="126" spans="1:29" ht="31.5" x14ac:dyDescent="0.5">
      <c r="A126" s="65">
        <f t="shared" si="14"/>
        <v>106</v>
      </c>
      <c r="B126" s="149">
        <v>31154698</v>
      </c>
      <c r="C126" s="164" t="s">
        <v>238</v>
      </c>
      <c r="D126" s="151">
        <v>19</v>
      </c>
      <c r="E126" s="152">
        <f>(Tabla3[[#This Row],[CANT]]*5000000)</f>
        <v>95000000</v>
      </c>
      <c r="F126" s="151">
        <v>5</v>
      </c>
      <c r="G126" s="152">
        <f>(Tabla3[[#This Row],[CANT2]]*10000000)</f>
        <v>50000000</v>
      </c>
      <c r="H126" s="151"/>
      <c r="I126" s="152"/>
      <c r="J126" s="163"/>
      <c r="K126" s="152"/>
      <c r="L126" s="163"/>
      <c r="M126" s="152"/>
      <c r="N126" s="163"/>
      <c r="O126" s="152"/>
      <c r="P126" s="163"/>
      <c r="Q126" s="152"/>
      <c r="R126" s="48">
        <f>(Tabla3[[#This Row],[MONTO]]+Tabla3[[#This Row],[MONTO2]]+Tabla3[[#This Row],[MONTO3]]+Tabla3[[#This Row],[MONTO4]]+Tabla3[[#This Row],[MONTO5]]+Tabla3[[#This Row],[MONTO6]]+Tabla3[[#This Row],[MONTO7]])</f>
        <v>145000000</v>
      </c>
      <c r="S126" s="63">
        <f t="shared" si="18"/>
        <v>130500000</v>
      </c>
      <c r="T126" s="51">
        <f t="shared" si="19"/>
        <v>1305000</v>
      </c>
      <c r="U126" s="118">
        <f>(Tabla3[[#This Row],[TOTAL -10%]]*Tabla3[[#This Row],[FIDUCIA]])</f>
        <v>0</v>
      </c>
      <c r="V126" s="51">
        <f>(Tabla3[[#This Row],[TOTAL -10%]]*Tabla3[[#This Row],[NUBE]])</f>
        <v>129195000</v>
      </c>
      <c r="W126" s="80"/>
      <c r="X126" s="78" t="s">
        <v>43</v>
      </c>
      <c r="Y126" s="79">
        <v>0.01</v>
      </c>
      <c r="Z126" s="79"/>
      <c r="AA126" s="79">
        <v>0.99</v>
      </c>
      <c r="AB126" s="81">
        <f t="shared" si="20"/>
        <v>1</v>
      </c>
      <c r="AC126" s="76" t="str">
        <f t="shared" si="13"/>
        <v>OK</v>
      </c>
    </row>
    <row r="127" spans="1:29" ht="31.5" x14ac:dyDescent="0.5">
      <c r="A127" s="65">
        <f t="shared" si="14"/>
        <v>107</v>
      </c>
      <c r="B127" s="149">
        <v>35461139</v>
      </c>
      <c r="C127" s="157" t="s">
        <v>225</v>
      </c>
      <c r="D127" s="151">
        <v>34</v>
      </c>
      <c r="E127" s="152">
        <f>(Tabla3[[#This Row],[CANT]]*5000000)</f>
        <v>170000000</v>
      </c>
      <c r="F127" s="165">
        <v>5</v>
      </c>
      <c r="G127" s="152">
        <f>(Tabla3[[#This Row],[CANT2]]*10000000)</f>
        <v>50000000</v>
      </c>
      <c r="H127" s="151">
        <v>3</v>
      </c>
      <c r="I127" s="152">
        <f>(Tabla3[[#This Row],[CANT3]]*7500000)</f>
        <v>22500000</v>
      </c>
      <c r="J127" s="163"/>
      <c r="K127" s="152"/>
      <c r="L127" s="163"/>
      <c r="M127" s="152"/>
      <c r="N127" s="163"/>
      <c r="O127" s="152"/>
      <c r="P127" s="163"/>
      <c r="Q127" s="152"/>
      <c r="R127" s="48">
        <f>(Tabla3[[#This Row],[MONTO]]+Tabla3[[#This Row],[MONTO2]]+Tabla3[[#This Row],[MONTO3]]+Tabla3[[#This Row],[MONTO4]]+Tabla3[[#This Row],[MONTO5]]+Tabla3[[#This Row],[MONTO6]]+Tabla3[[#This Row],[MONTO7]])</f>
        <v>242500000</v>
      </c>
      <c r="S127" s="63">
        <f t="shared" si="18"/>
        <v>218250000</v>
      </c>
      <c r="T127" s="51">
        <f t="shared" si="19"/>
        <v>2182500</v>
      </c>
      <c r="U127" s="118">
        <f>(Tabla3[[#This Row],[TOTAL -10%]]*Tabla3[[#This Row],[FIDUCIA]])</f>
        <v>216067500</v>
      </c>
      <c r="V127" s="51">
        <f>(Tabla3[[#This Row],[TOTAL -10%]]*Tabla3[[#This Row],[NUBE]])</f>
        <v>0</v>
      </c>
      <c r="W127" s="80"/>
      <c r="X127" s="78" t="s">
        <v>42</v>
      </c>
      <c r="Y127" s="79">
        <v>0.01</v>
      </c>
      <c r="Z127" s="79">
        <v>0.99</v>
      </c>
      <c r="AA127" s="79"/>
      <c r="AB127" s="81">
        <f t="shared" si="20"/>
        <v>1</v>
      </c>
      <c r="AC127" s="76" t="str">
        <f t="shared" si="13"/>
        <v>OK</v>
      </c>
    </row>
    <row r="128" spans="1:29" ht="31.5" x14ac:dyDescent="0.5">
      <c r="A128" s="65">
        <f t="shared" si="14"/>
        <v>108</v>
      </c>
      <c r="B128" s="149">
        <v>1077226532</v>
      </c>
      <c r="C128" s="164" t="s">
        <v>218</v>
      </c>
      <c r="D128" s="151">
        <v>10</v>
      </c>
      <c r="E128" s="152">
        <f>(Tabla3[[#This Row],[CANT]]*5000000)</f>
        <v>50000000</v>
      </c>
      <c r="F128" s="151">
        <v>5</v>
      </c>
      <c r="G128" s="152">
        <f>(Tabla3[[#This Row],[CANT2]]*10000000)</f>
        <v>50000000</v>
      </c>
      <c r="H128" s="151">
        <v>2</v>
      </c>
      <c r="I128" s="152">
        <f>(Tabla3[[#This Row],[CANT3]]*7500000)</f>
        <v>15000000</v>
      </c>
      <c r="J128" s="163"/>
      <c r="K128" s="152"/>
      <c r="L128" s="163"/>
      <c r="M128" s="152"/>
      <c r="N128" s="163"/>
      <c r="O128" s="152"/>
      <c r="P128" s="163"/>
      <c r="Q128" s="152"/>
      <c r="R128" s="48">
        <f>(Tabla3[[#This Row],[MONTO]]+Tabla3[[#This Row],[MONTO2]]+Tabla3[[#This Row],[MONTO3]]+Tabla3[[#This Row],[MONTO4]]+Tabla3[[#This Row],[MONTO5]]+Tabla3[[#This Row],[MONTO6]]+Tabla3[[#This Row],[MONTO7]])</f>
        <v>115000000</v>
      </c>
      <c r="S128" s="63">
        <f t="shared" si="18"/>
        <v>103500000</v>
      </c>
      <c r="T128" s="51">
        <f t="shared" si="19"/>
        <v>1035000</v>
      </c>
      <c r="U128" s="118">
        <f>(Tabla3[[#This Row],[TOTAL -10%]]*Tabla3[[#This Row],[FIDUCIA]])</f>
        <v>0</v>
      </c>
      <c r="V128" s="51">
        <f>(Tabla3[[#This Row],[TOTAL -10%]]*Tabla3[[#This Row],[NUBE]])</f>
        <v>102465000</v>
      </c>
      <c r="W128" s="80"/>
      <c r="X128" s="78" t="s">
        <v>43</v>
      </c>
      <c r="Y128" s="79">
        <v>0.01</v>
      </c>
      <c r="Z128" s="79"/>
      <c r="AA128" s="79">
        <v>0.99</v>
      </c>
      <c r="AB128" s="81">
        <f t="shared" si="20"/>
        <v>1</v>
      </c>
      <c r="AC128" s="76" t="str">
        <f t="shared" si="13"/>
        <v>OK</v>
      </c>
    </row>
    <row r="129" spans="1:29" ht="31.5" x14ac:dyDescent="0.5">
      <c r="A129" s="65">
        <f t="shared" si="14"/>
        <v>109</v>
      </c>
      <c r="B129" s="149">
        <v>29820984</v>
      </c>
      <c r="C129" s="157" t="s">
        <v>213</v>
      </c>
      <c r="D129" s="151">
        <v>6</v>
      </c>
      <c r="E129" s="152">
        <f>(Tabla3[[#This Row],[CANT]]*5000000)</f>
        <v>30000000</v>
      </c>
      <c r="F129" s="165"/>
      <c r="G129" s="152"/>
      <c r="H129" s="151"/>
      <c r="I129" s="152"/>
      <c r="J129" s="163"/>
      <c r="K129" s="152"/>
      <c r="L129" s="163"/>
      <c r="M129" s="152"/>
      <c r="N129" s="163"/>
      <c r="O129" s="152"/>
      <c r="P129" s="163"/>
      <c r="Q129" s="152"/>
      <c r="R129" s="48">
        <f>(Tabla3[[#This Row],[MONTO]]+Tabla3[[#This Row],[MONTO2]]+Tabla3[[#This Row],[MONTO3]]+Tabla3[[#This Row],[MONTO4]]+Tabla3[[#This Row],[MONTO5]]+Tabla3[[#This Row],[MONTO6]]+Tabla3[[#This Row],[MONTO7]])</f>
        <v>30000000</v>
      </c>
      <c r="S129" s="63">
        <f t="shared" si="18"/>
        <v>27000000</v>
      </c>
      <c r="T129" s="51">
        <f t="shared" si="19"/>
        <v>270000</v>
      </c>
      <c r="U129" s="118">
        <f>(Tabla3[[#This Row],[TOTAL -10%]]*Tabla3[[#This Row],[FIDUCIA]])</f>
        <v>26730000</v>
      </c>
      <c r="V129" s="51">
        <f>(Tabla3[[#This Row],[TOTAL -10%]]*Tabla3[[#This Row],[NUBE]])</f>
        <v>0</v>
      </c>
      <c r="W129" s="80"/>
      <c r="X129" s="78" t="s">
        <v>42</v>
      </c>
      <c r="Y129" s="79">
        <v>0.01</v>
      </c>
      <c r="Z129" s="79">
        <v>0.99</v>
      </c>
      <c r="AA129" s="79"/>
      <c r="AB129" s="81">
        <f t="shared" si="20"/>
        <v>1</v>
      </c>
      <c r="AC129" s="76" t="str">
        <f t="shared" si="13"/>
        <v>OK</v>
      </c>
    </row>
    <row r="130" spans="1:29" ht="31.5" x14ac:dyDescent="0.5">
      <c r="A130" s="65">
        <f t="shared" si="14"/>
        <v>110</v>
      </c>
      <c r="B130" s="149">
        <v>1061707220</v>
      </c>
      <c r="C130" s="157" t="s">
        <v>207</v>
      </c>
      <c r="D130" s="151">
        <v>1</v>
      </c>
      <c r="E130" s="152">
        <f>(Tabla3[[#This Row],[CANT]]*5000000)</f>
        <v>5000000</v>
      </c>
      <c r="F130" s="151"/>
      <c r="G130" s="152"/>
      <c r="H130" s="151"/>
      <c r="I130" s="152"/>
      <c r="J130" s="163"/>
      <c r="K130" s="152"/>
      <c r="L130" s="163"/>
      <c r="M130" s="152"/>
      <c r="N130" s="163"/>
      <c r="O130" s="152"/>
      <c r="P130" s="163"/>
      <c r="Q130" s="152"/>
      <c r="R130" s="48">
        <f>(Tabla3[[#This Row],[MONTO]]+Tabla3[[#This Row],[MONTO2]]+Tabla3[[#This Row],[MONTO3]]+Tabla3[[#This Row],[MONTO4]]+Tabla3[[#This Row],[MONTO5]]+Tabla3[[#This Row],[MONTO6]]+Tabla3[[#This Row],[MONTO7]])</f>
        <v>5000000</v>
      </c>
      <c r="S130" s="63">
        <f t="shared" si="18"/>
        <v>4500000</v>
      </c>
      <c r="T130" s="51">
        <f t="shared" si="19"/>
        <v>45000</v>
      </c>
      <c r="U130" s="118">
        <f>(Tabla3[[#This Row],[TOTAL -10%]]*Tabla3[[#This Row],[FIDUCIA]])</f>
        <v>4455000</v>
      </c>
      <c r="V130" s="51">
        <f>(Tabla3[[#This Row],[TOTAL -10%]]*Tabla3[[#This Row],[NUBE]])</f>
        <v>0</v>
      </c>
      <c r="W130" s="80"/>
      <c r="X130" s="78" t="s">
        <v>42</v>
      </c>
      <c r="Y130" s="79">
        <v>0.01</v>
      </c>
      <c r="Z130" s="79">
        <v>0.99</v>
      </c>
      <c r="AA130" s="79"/>
      <c r="AB130" s="81">
        <f t="shared" si="20"/>
        <v>1</v>
      </c>
      <c r="AC130" s="76" t="str">
        <f t="shared" si="13"/>
        <v>OK</v>
      </c>
    </row>
    <row r="131" spans="1:29" ht="31.5" x14ac:dyDescent="0.5">
      <c r="A131" s="65">
        <f t="shared" si="14"/>
        <v>111</v>
      </c>
      <c r="B131" s="166">
        <v>10070626</v>
      </c>
      <c r="C131" s="164" t="s">
        <v>190</v>
      </c>
      <c r="D131" s="151">
        <v>50</v>
      </c>
      <c r="E131" s="152">
        <f>(Tabla3[[#This Row],[CANT]]*5000000)</f>
        <v>250000000</v>
      </c>
      <c r="F131" s="151">
        <v>17</v>
      </c>
      <c r="G131" s="152">
        <f>(Tabla3[[#This Row],[CANT2]]*10000000)</f>
        <v>170000000</v>
      </c>
      <c r="H131" s="151">
        <v>6</v>
      </c>
      <c r="I131" s="152">
        <f>(Tabla3[[#This Row],[CANT3]]*7500000)</f>
        <v>45000000</v>
      </c>
      <c r="J131" s="163"/>
      <c r="K131" s="152"/>
      <c r="L131" s="163"/>
      <c r="M131" s="152"/>
      <c r="N131" s="163"/>
      <c r="O131" s="152"/>
      <c r="P131" s="163"/>
      <c r="Q131" s="152"/>
      <c r="R131" s="48">
        <f>(Tabla3[[#This Row],[MONTO]]+Tabla3[[#This Row],[MONTO2]]+Tabla3[[#This Row],[MONTO3]]+Tabla3[[#This Row],[MONTO4]]+Tabla3[[#This Row],[MONTO5]]+Tabla3[[#This Row],[MONTO6]]+Tabla3[[#This Row],[MONTO7]])</f>
        <v>465000000</v>
      </c>
      <c r="S131" s="63">
        <f t="shared" si="18"/>
        <v>418500000</v>
      </c>
      <c r="T131" s="51">
        <f t="shared" si="19"/>
        <v>4185000</v>
      </c>
      <c r="U131" s="118">
        <f>(Tabla3[[#This Row],[TOTAL -10%]]*Tabla3[[#This Row],[FIDUCIA]])</f>
        <v>414315000</v>
      </c>
      <c r="V131" s="51">
        <f>(Tabla3[[#This Row],[TOTAL -10%]]*Tabla3[[#This Row],[NUBE]])</f>
        <v>0</v>
      </c>
      <c r="W131" s="80"/>
      <c r="X131" s="78" t="s">
        <v>42</v>
      </c>
      <c r="Y131" s="79">
        <v>0.01</v>
      </c>
      <c r="Z131" s="79">
        <v>0.99</v>
      </c>
      <c r="AA131" s="79"/>
      <c r="AB131" s="81">
        <f t="shared" si="20"/>
        <v>1</v>
      </c>
      <c r="AC131" s="76" t="str">
        <f t="shared" si="13"/>
        <v>OK</v>
      </c>
    </row>
    <row r="132" spans="1:29" ht="31.5" x14ac:dyDescent="0.5">
      <c r="A132" s="65">
        <f t="shared" si="14"/>
        <v>112</v>
      </c>
      <c r="B132" s="166">
        <v>1061738616</v>
      </c>
      <c r="C132" s="167" t="s">
        <v>184</v>
      </c>
      <c r="D132" s="151">
        <v>1</v>
      </c>
      <c r="E132" s="152">
        <f>(Tabla3[[#This Row],[CANT]]*5000000)</f>
        <v>5000000</v>
      </c>
      <c r="F132" s="151"/>
      <c r="G132" s="152"/>
      <c r="H132" s="151"/>
      <c r="I132" s="152"/>
      <c r="J132" s="163"/>
      <c r="K132" s="152"/>
      <c r="L132" s="163"/>
      <c r="M132" s="152"/>
      <c r="N132" s="163"/>
      <c r="O132" s="152"/>
      <c r="P132" s="163"/>
      <c r="Q132" s="152"/>
      <c r="R132" s="48">
        <f>(Tabla3[[#This Row],[MONTO]]+Tabla3[[#This Row],[MONTO2]]+Tabla3[[#This Row],[MONTO3]]+Tabla3[[#This Row],[MONTO4]]+Tabla3[[#This Row],[MONTO5]]+Tabla3[[#This Row],[MONTO6]]+Tabla3[[#This Row],[MONTO7]])</f>
        <v>5000000</v>
      </c>
      <c r="S132" s="63">
        <f t="shared" si="18"/>
        <v>4500000</v>
      </c>
      <c r="T132" s="51">
        <f t="shared" si="19"/>
        <v>45000</v>
      </c>
      <c r="U132" s="118">
        <f>(Tabla3[[#This Row],[TOTAL -10%]]*Tabla3[[#This Row],[FIDUCIA]])</f>
        <v>0</v>
      </c>
      <c r="V132" s="51">
        <f>(Tabla3[[#This Row],[TOTAL -10%]]*Tabla3[[#This Row],[NUBE]])</f>
        <v>4455000</v>
      </c>
      <c r="W132" s="80"/>
      <c r="X132" s="78" t="s">
        <v>43</v>
      </c>
      <c r="Y132" s="79">
        <v>0.01</v>
      </c>
      <c r="Z132" s="79"/>
      <c r="AA132" s="79">
        <v>0.99</v>
      </c>
      <c r="AB132" s="81">
        <f t="shared" si="20"/>
        <v>1</v>
      </c>
      <c r="AC132" s="76" t="str">
        <f t="shared" si="13"/>
        <v>OK</v>
      </c>
    </row>
    <row r="133" spans="1:29" ht="31.5" x14ac:dyDescent="0.5">
      <c r="A133" s="65">
        <f t="shared" si="14"/>
        <v>113</v>
      </c>
      <c r="B133" s="166">
        <v>41932147</v>
      </c>
      <c r="C133" s="167" t="s">
        <v>171</v>
      </c>
      <c r="D133" s="151">
        <v>23</v>
      </c>
      <c r="E133" s="152">
        <f>(Tabla3[[#This Row],[CANT]]*5000000)</f>
        <v>115000000</v>
      </c>
      <c r="F133" s="151">
        <v>2</v>
      </c>
      <c r="G133" s="152">
        <f>(Tabla3[[#This Row],[CANT2]]*10000000)</f>
        <v>20000000</v>
      </c>
      <c r="H133" s="151"/>
      <c r="I133" s="152"/>
      <c r="J133" s="163"/>
      <c r="K133" s="152"/>
      <c r="L133" s="163"/>
      <c r="M133" s="152"/>
      <c r="N133" s="163"/>
      <c r="O133" s="152"/>
      <c r="P133" s="163"/>
      <c r="Q133" s="152"/>
      <c r="R133" s="48">
        <f>(Tabla3[[#This Row],[MONTO]]+Tabla3[[#This Row],[MONTO2]]+Tabla3[[#This Row],[MONTO3]]+Tabla3[[#This Row],[MONTO4]]+Tabla3[[#This Row],[MONTO5]]+Tabla3[[#This Row],[MONTO6]]+Tabla3[[#This Row],[MONTO7]])</f>
        <v>135000000</v>
      </c>
      <c r="S133" s="63">
        <f t="shared" si="18"/>
        <v>121500000</v>
      </c>
      <c r="T133" s="51">
        <f t="shared" si="19"/>
        <v>1215000</v>
      </c>
      <c r="U133" s="118">
        <f>(Tabla3[[#This Row],[TOTAL -10%]]*Tabla3[[#This Row],[FIDUCIA]])</f>
        <v>0</v>
      </c>
      <c r="V133" s="51">
        <f>(Tabla3[[#This Row],[TOTAL -10%]]*Tabla3[[#This Row],[NUBE]])</f>
        <v>120285000</v>
      </c>
      <c r="W133" s="80"/>
      <c r="X133" s="78" t="s">
        <v>43</v>
      </c>
      <c r="Y133" s="79">
        <v>0.01</v>
      </c>
      <c r="Z133" s="79"/>
      <c r="AA133" s="79">
        <v>0.99</v>
      </c>
      <c r="AB133" s="81">
        <f t="shared" si="20"/>
        <v>1</v>
      </c>
      <c r="AC133" s="76" t="str">
        <f t="shared" si="13"/>
        <v>OK</v>
      </c>
    </row>
    <row r="134" spans="1:29" ht="31.5" x14ac:dyDescent="0.5">
      <c r="A134" s="65">
        <f t="shared" si="14"/>
        <v>114</v>
      </c>
      <c r="B134" s="166">
        <v>1061718898</v>
      </c>
      <c r="C134" s="167" t="s">
        <v>165</v>
      </c>
      <c r="D134" s="151">
        <v>2</v>
      </c>
      <c r="E134" s="152">
        <f>(Tabla3[[#This Row],[CANT]]*5000000)</f>
        <v>10000000</v>
      </c>
      <c r="F134" s="151"/>
      <c r="G134" s="152"/>
      <c r="H134" s="151"/>
      <c r="I134" s="152"/>
      <c r="J134" s="163"/>
      <c r="K134" s="152"/>
      <c r="L134" s="163"/>
      <c r="M134" s="152"/>
      <c r="N134" s="163"/>
      <c r="O134" s="152"/>
      <c r="P134" s="163"/>
      <c r="Q134" s="152"/>
      <c r="R134" s="48">
        <f>(Tabla3[[#This Row],[MONTO]]+Tabla3[[#This Row],[MONTO2]]+Tabla3[[#This Row],[MONTO3]]+Tabla3[[#This Row],[MONTO4]]+Tabla3[[#This Row],[MONTO5]]+Tabla3[[#This Row],[MONTO6]]+Tabla3[[#This Row],[MONTO7]])</f>
        <v>10000000</v>
      </c>
      <c r="S134" s="63">
        <f t="shared" si="18"/>
        <v>9000000</v>
      </c>
      <c r="T134" s="51">
        <f t="shared" si="19"/>
        <v>90000</v>
      </c>
      <c r="U134" s="118">
        <f>(Tabla3[[#This Row],[TOTAL -10%]]*Tabla3[[#This Row],[FIDUCIA]])</f>
        <v>0</v>
      </c>
      <c r="V134" s="51">
        <f>(Tabla3[[#This Row],[TOTAL -10%]]*Tabla3[[#This Row],[NUBE]])</f>
        <v>8910000</v>
      </c>
      <c r="W134" s="80"/>
      <c r="X134" s="78" t="s">
        <v>43</v>
      </c>
      <c r="Y134" s="79">
        <v>0.01</v>
      </c>
      <c r="Z134" s="79"/>
      <c r="AA134" s="79">
        <v>0.99</v>
      </c>
      <c r="AB134" s="81">
        <f t="shared" si="20"/>
        <v>1</v>
      </c>
      <c r="AC134" s="76" t="str">
        <f t="shared" si="13"/>
        <v>OK</v>
      </c>
    </row>
    <row r="135" spans="1:29" ht="31.5" x14ac:dyDescent="0.5">
      <c r="A135" s="65">
        <f t="shared" si="14"/>
        <v>115</v>
      </c>
      <c r="B135" s="166">
        <v>802522078</v>
      </c>
      <c r="C135" s="167" t="s">
        <v>988</v>
      </c>
      <c r="D135" s="151">
        <v>6</v>
      </c>
      <c r="E135" s="152">
        <f>(Tabla3[[#This Row],[CANT]]*5000000)</f>
        <v>30000000</v>
      </c>
      <c r="F135" s="151"/>
      <c r="G135" s="152"/>
      <c r="H135" s="151">
        <v>3</v>
      </c>
      <c r="I135" s="152">
        <f>(Tabla3[[#This Row],[CANT3]]*7500000)</f>
        <v>22500000</v>
      </c>
      <c r="J135" s="163"/>
      <c r="K135" s="152"/>
      <c r="L135" s="163"/>
      <c r="M135" s="152"/>
      <c r="N135" s="163"/>
      <c r="O135" s="152"/>
      <c r="P135" s="163"/>
      <c r="Q135" s="152"/>
      <c r="R135" s="48">
        <f>(Tabla3[[#This Row],[MONTO]]+Tabla3[[#This Row],[MONTO2]]+Tabla3[[#This Row],[MONTO3]]+Tabla3[[#This Row],[MONTO4]]+Tabla3[[#This Row],[MONTO5]]+Tabla3[[#This Row],[MONTO6]]+Tabla3[[#This Row],[MONTO7]])</f>
        <v>52500000</v>
      </c>
      <c r="S135" s="63">
        <f t="shared" si="18"/>
        <v>47250000</v>
      </c>
      <c r="T135" s="51">
        <f t="shared" si="19"/>
        <v>472500</v>
      </c>
      <c r="U135" s="118">
        <f>(Tabla3[[#This Row],[TOTAL -10%]]*Tabla3[[#This Row],[FIDUCIA]])</f>
        <v>46777500</v>
      </c>
      <c r="V135" s="51">
        <f>(Tabla3[[#This Row],[TOTAL -10%]]*Tabla3[[#This Row],[NUBE]])</f>
        <v>0</v>
      </c>
      <c r="W135" s="80"/>
      <c r="X135" s="78" t="s">
        <v>42</v>
      </c>
      <c r="Y135" s="79">
        <v>0.01</v>
      </c>
      <c r="Z135" s="79">
        <v>0.99</v>
      </c>
      <c r="AA135" s="79"/>
      <c r="AB135" s="81">
        <f t="shared" si="20"/>
        <v>1</v>
      </c>
      <c r="AC135" s="76" t="str">
        <f t="shared" si="13"/>
        <v>OK</v>
      </c>
    </row>
    <row r="136" spans="1:29" ht="31.5" x14ac:dyDescent="0.5">
      <c r="A136" s="65">
        <f t="shared" si="14"/>
        <v>116</v>
      </c>
      <c r="B136" s="166" t="s">
        <v>951</v>
      </c>
      <c r="C136" s="167" t="s">
        <v>952</v>
      </c>
      <c r="D136" s="151">
        <v>3</v>
      </c>
      <c r="E136" s="152">
        <f>(Tabla3[[#This Row],[CANT]]*5000000)</f>
        <v>15000000</v>
      </c>
      <c r="F136" s="151"/>
      <c r="G136" s="152"/>
      <c r="H136" s="151">
        <v>2</v>
      </c>
      <c r="I136" s="152">
        <f>(Tabla3[[#This Row],[CANT3]]*7500000)</f>
        <v>15000000</v>
      </c>
      <c r="J136" s="163"/>
      <c r="K136" s="152"/>
      <c r="L136" s="163"/>
      <c r="M136" s="152"/>
      <c r="N136" s="163"/>
      <c r="O136" s="152"/>
      <c r="P136" s="163"/>
      <c r="Q136" s="152"/>
      <c r="R136" s="48">
        <f>(Tabla3[[#This Row],[MONTO]]+Tabla3[[#This Row],[MONTO2]]+Tabla3[[#This Row],[MONTO3]]+Tabla3[[#This Row],[MONTO4]]+Tabla3[[#This Row],[MONTO5]]+Tabla3[[#This Row],[MONTO6]]+Tabla3[[#This Row],[MONTO7]])</f>
        <v>30000000</v>
      </c>
      <c r="S136" s="63">
        <f t="shared" si="18"/>
        <v>27000000</v>
      </c>
      <c r="T136" s="51">
        <f t="shared" si="19"/>
        <v>270000</v>
      </c>
      <c r="U136" s="118">
        <f>(Tabla3[[#This Row],[TOTAL -10%]]*Tabla3[[#This Row],[FIDUCIA]])</f>
        <v>0</v>
      </c>
      <c r="V136" s="51">
        <f>(Tabla3[[#This Row],[TOTAL -10%]]*Tabla3[[#This Row],[NUBE]])</f>
        <v>26730000</v>
      </c>
      <c r="W136" s="80"/>
      <c r="X136" s="78" t="s">
        <v>43</v>
      </c>
      <c r="Y136" s="79">
        <v>0.01</v>
      </c>
      <c r="Z136" s="79"/>
      <c r="AA136" s="79">
        <v>0.99</v>
      </c>
      <c r="AB136" s="81">
        <f t="shared" si="20"/>
        <v>1</v>
      </c>
      <c r="AC136" s="76" t="str">
        <f t="shared" si="13"/>
        <v>OK</v>
      </c>
    </row>
    <row r="137" spans="1:29" ht="31.5" x14ac:dyDescent="0.5">
      <c r="A137" s="65">
        <f t="shared" si="14"/>
        <v>117</v>
      </c>
      <c r="B137" s="166">
        <v>71593707</v>
      </c>
      <c r="C137" s="167" t="s">
        <v>835</v>
      </c>
      <c r="D137" s="151">
        <v>15</v>
      </c>
      <c r="E137" s="152">
        <f>(Tabla3[[#This Row],[CANT]]*5000000)</f>
        <v>75000000</v>
      </c>
      <c r="F137" s="151"/>
      <c r="G137" s="152"/>
      <c r="H137" s="151">
        <v>1</v>
      </c>
      <c r="I137" s="152">
        <f>(Tabla3[[#This Row],[CANT3]]*7500000)</f>
        <v>7500000</v>
      </c>
      <c r="J137" s="163"/>
      <c r="K137" s="152"/>
      <c r="L137" s="163"/>
      <c r="M137" s="152"/>
      <c r="N137" s="163"/>
      <c r="O137" s="152"/>
      <c r="P137" s="163"/>
      <c r="Q137" s="152"/>
      <c r="R137" s="48">
        <f>(Tabla3[[#This Row],[MONTO]]+Tabla3[[#This Row],[MONTO2]]+Tabla3[[#This Row],[MONTO3]]+Tabla3[[#This Row],[MONTO4]]+Tabla3[[#This Row],[MONTO5]]+Tabla3[[#This Row],[MONTO6]]+Tabla3[[#This Row],[MONTO7]])</f>
        <v>82500000</v>
      </c>
      <c r="S137" s="63">
        <f t="shared" si="18"/>
        <v>74250000</v>
      </c>
      <c r="T137" s="51">
        <f t="shared" si="19"/>
        <v>742500</v>
      </c>
      <c r="U137" s="118">
        <f>(Tabla3[[#This Row],[TOTAL -10%]]*Tabla3[[#This Row],[FIDUCIA]])</f>
        <v>73507500</v>
      </c>
      <c r="V137" s="51">
        <f>(Tabla3[[#This Row],[TOTAL -10%]]*Tabla3[[#This Row],[NUBE]])</f>
        <v>0</v>
      </c>
      <c r="W137" s="80"/>
      <c r="X137" s="78" t="s">
        <v>42</v>
      </c>
      <c r="Y137" s="79">
        <v>0.01</v>
      </c>
      <c r="Z137" s="79">
        <v>0.99</v>
      </c>
      <c r="AA137" s="79"/>
      <c r="AB137" s="81">
        <f t="shared" si="20"/>
        <v>1</v>
      </c>
      <c r="AC137" s="76" t="str">
        <f t="shared" si="13"/>
        <v>OK</v>
      </c>
    </row>
    <row r="138" spans="1:29" ht="31.5" x14ac:dyDescent="0.5">
      <c r="A138" s="65">
        <f t="shared" si="14"/>
        <v>118</v>
      </c>
      <c r="B138" s="166">
        <v>65739821</v>
      </c>
      <c r="C138" s="167" t="s">
        <v>789</v>
      </c>
      <c r="D138" s="151">
        <v>12</v>
      </c>
      <c r="E138" s="152">
        <f>(Tabla3[[#This Row],[CANT]]*5000000)</f>
        <v>60000000</v>
      </c>
      <c r="F138" s="151">
        <v>1</v>
      </c>
      <c r="G138" s="152">
        <f>(Tabla3[[#This Row],[CANT2]]*10000000)</f>
        <v>10000000</v>
      </c>
      <c r="H138" s="151">
        <v>1</v>
      </c>
      <c r="I138" s="152">
        <f>(Tabla3[[#This Row],[CANT3]]*7500000)</f>
        <v>7500000</v>
      </c>
      <c r="J138" s="163"/>
      <c r="K138" s="152"/>
      <c r="L138" s="163"/>
      <c r="M138" s="152"/>
      <c r="N138" s="163"/>
      <c r="O138" s="152"/>
      <c r="P138" s="163"/>
      <c r="Q138" s="152"/>
      <c r="R138" s="48">
        <f>(Tabla3[[#This Row],[MONTO]]+Tabla3[[#This Row],[MONTO2]]+Tabla3[[#This Row],[MONTO3]]+Tabla3[[#This Row],[MONTO4]]+Tabla3[[#This Row],[MONTO5]]+Tabla3[[#This Row],[MONTO6]]+Tabla3[[#This Row],[MONTO7]])</f>
        <v>77500000</v>
      </c>
      <c r="S138" s="63">
        <f t="shared" si="18"/>
        <v>69750000</v>
      </c>
      <c r="T138" s="51">
        <f t="shared" si="19"/>
        <v>697500</v>
      </c>
      <c r="U138" s="118">
        <f>(Tabla3[[#This Row],[TOTAL -10%]]*Tabla3[[#This Row],[FIDUCIA]])</f>
        <v>69052500</v>
      </c>
      <c r="V138" s="51">
        <f>(Tabla3[[#This Row],[TOTAL -10%]]*Tabla3[[#This Row],[NUBE]])</f>
        <v>0</v>
      </c>
      <c r="W138" s="80"/>
      <c r="X138" s="78" t="s">
        <v>42</v>
      </c>
      <c r="Y138" s="79">
        <v>0.01</v>
      </c>
      <c r="Z138" s="79">
        <v>0.99</v>
      </c>
      <c r="AA138" s="79"/>
      <c r="AB138" s="81">
        <f t="shared" si="20"/>
        <v>1</v>
      </c>
      <c r="AC138" s="76" t="str">
        <f t="shared" si="13"/>
        <v>OK</v>
      </c>
    </row>
    <row r="139" spans="1:29" ht="31.5" x14ac:dyDescent="0.5">
      <c r="A139" s="65">
        <f t="shared" si="14"/>
        <v>119</v>
      </c>
      <c r="B139" s="166">
        <v>1711311843</v>
      </c>
      <c r="C139" s="167" t="s">
        <v>659</v>
      </c>
      <c r="D139" s="151">
        <v>3</v>
      </c>
      <c r="E139" s="152">
        <f>(Tabla3[[#This Row],[CANT]]*5000000)</f>
        <v>15000000</v>
      </c>
      <c r="F139" s="151">
        <v>1</v>
      </c>
      <c r="G139" s="152">
        <f>(Tabla3[[#This Row],[CANT2]]*10000000)</f>
        <v>10000000</v>
      </c>
      <c r="H139" s="151">
        <v>1</v>
      </c>
      <c r="I139" s="152">
        <f>(Tabla3[[#This Row],[CANT3]]*7500000)</f>
        <v>7500000</v>
      </c>
      <c r="J139" s="163"/>
      <c r="K139" s="152"/>
      <c r="L139" s="163"/>
      <c r="M139" s="152"/>
      <c r="N139" s="163"/>
      <c r="O139" s="152"/>
      <c r="P139" s="163"/>
      <c r="Q139" s="152"/>
      <c r="R139" s="48">
        <f>(Tabla3[[#This Row],[MONTO]]+Tabla3[[#This Row],[MONTO2]]+Tabla3[[#This Row],[MONTO3]]+Tabla3[[#This Row],[MONTO4]]+Tabla3[[#This Row],[MONTO5]]+Tabla3[[#This Row],[MONTO6]]+Tabla3[[#This Row],[MONTO7]])</f>
        <v>32500000</v>
      </c>
      <c r="S139" s="63">
        <f t="shared" si="18"/>
        <v>29250000</v>
      </c>
      <c r="T139" s="51">
        <f t="shared" si="19"/>
        <v>292500</v>
      </c>
      <c r="U139" s="118">
        <f>(Tabla3[[#This Row],[TOTAL -10%]]*Tabla3[[#This Row],[FIDUCIA]])</f>
        <v>0</v>
      </c>
      <c r="V139" s="51">
        <f>(Tabla3[[#This Row],[TOTAL -10%]]*Tabla3[[#This Row],[NUBE]])</f>
        <v>28957500</v>
      </c>
      <c r="W139" s="80"/>
      <c r="X139" s="78" t="s">
        <v>43</v>
      </c>
      <c r="Y139" s="79">
        <v>0.01</v>
      </c>
      <c r="Z139" s="79"/>
      <c r="AA139" s="79">
        <v>0.99</v>
      </c>
      <c r="AB139" s="81">
        <f t="shared" si="20"/>
        <v>1</v>
      </c>
      <c r="AC139" s="76" t="str">
        <f t="shared" si="13"/>
        <v>OK</v>
      </c>
    </row>
    <row r="140" spans="1:29" ht="31.5" x14ac:dyDescent="0.5">
      <c r="A140" s="65">
        <f t="shared" si="14"/>
        <v>120</v>
      </c>
      <c r="B140" s="166">
        <v>10300221</v>
      </c>
      <c r="C140" s="167" t="s">
        <v>650</v>
      </c>
      <c r="D140" s="151">
        <v>8</v>
      </c>
      <c r="E140" s="152">
        <f>(Tabla3[[#This Row],[CANT]]*5000000)</f>
        <v>40000000</v>
      </c>
      <c r="F140" s="151">
        <v>8</v>
      </c>
      <c r="G140" s="152">
        <f>(Tabla3[[#This Row],[CANT2]]*10000000)</f>
        <v>80000000</v>
      </c>
      <c r="H140" s="151">
        <v>9</v>
      </c>
      <c r="I140" s="152">
        <f>(Tabla3[[#This Row],[CANT3]]*7500000)</f>
        <v>67500000</v>
      </c>
      <c r="J140" s="163"/>
      <c r="K140" s="152"/>
      <c r="L140" s="163"/>
      <c r="M140" s="152"/>
      <c r="N140" s="163"/>
      <c r="O140" s="152"/>
      <c r="P140" s="163"/>
      <c r="Q140" s="152"/>
      <c r="R140" s="48">
        <f>(Tabla3[[#This Row],[MONTO]]+Tabla3[[#This Row],[MONTO2]]+Tabla3[[#This Row],[MONTO3]]+Tabla3[[#This Row],[MONTO4]]+Tabla3[[#This Row],[MONTO5]]+Tabla3[[#This Row],[MONTO6]]+Tabla3[[#This Row],[MONTO7]])</f>
        <v>187500000</v>
      </c>
      <c r="S140" s="63">
        <f t="shared" si="18"/>
        <v>168750000</v>
      </c>
      <c r="T140" s="51">
        <f t="shared" si="19"/>
        <v>1687500</v>
      </c>
      <c r="U140" s="118">
        <f>(Tabla3[[#This Row],[TOTAL -10%]]*Tabla3[[#This Row],[FIDUCIA]])</f>
        <v>167062500</v>
      </c>
      <c r="V140" s="51">
        <f>(Tabla3[[#This Row],[TOTAL -10%]]*Tabla3[[#This Row],[NUBE]])</f>
        <v>0</v>
      </c>
      <c r="W140" s="80"/>
      <c r="X140" s="78" t="s">
        <v>42</v>
      </c>
      <c r="Y140" s="79">
        <v>0.01</v>
      </c>
      <c r="Z140" s="79">
        <v>0.99</v>
      </c>
      <c r="AA140" s="79"/>
      <c r="AB140" s="81">
        <f t="shared" si="20"/>
        <v>1</v>
      </c>
      <c r="AC140" s="76" t="str">
        <f t="shared" si="13"/>
        <v>OK</v>
      </c>
    </row>
    <row r="141" spans="1:29" ht="31.5" x14ac:dyDescent="0.5">
      <c r="A141" s="65">
        <f t="shared" si="14"/>
        <v>121</v>
      </c>
      <c r="B141" s="166">
        <v>1112933063</v>
      </c>
      <c r="C141" s="167" t="s">
        <v>447</v>
      </c>
      <c r="D141" s="151">
        <v>3</v>
      </c>
      <c r="E141" s="152">
        <f>(Tabla3[[#This Row],[CANT]]*5000000)</f>
        <v>15000000</v>
      </c>
      <c r="F141" s="151"/>
      <c r="G141" s="152"/>
      <c r="H141" s="151">
        <v>3</v>
      </c>
      <c r="I141" s="152">
        <f>(Tabla3[[#This Row],[CANT3]]*7500000)</f>
        <v>22500000</v>
      </c>
      <c r="J141" s="163"/>
      <c r="K141" s="152"/>
      <c r="L141" s="163"/>
      <c r="M141" s="152"/>
      <c r="N141" s="163"/>
      <c r="O141" s="152"/>
      <c r="P141" s="163"/>
      <c r="Q141" s="152"/>
      <c r="R141" s="48">
        <f>(Tabla3[[#This Row],[MONTO]]+Tabla3[[#This Row],[MONTO2]]+Tabla3[[#This Row],[MONTO3]]+Tabla3[[#This Row],[MONTO4]]+Tabla3[[#This Row],[MONTO5]]+Tabla3[[#This Row],[MONTO6]]+Tabla3[[#This Row],[MONTO7]])</f>
        <v>37500000</v>
      </c>
      <c r="S141" s="63">
        <f t="shared" si="18"/>
        <v>33750000</v>
      </c>
      <c r="T141" s="51">
        <f t="shared" si="19"/>
        <v>337500</v>
      </c>
      <c r="U141" s="118">
        <f>(Tabla3[[#This Row],[TOTAL -10%]]*Tabla3[[#This Row],[FIDUCIA]])</f>
        <v>33412500</v>
      </c>
      <c r="V141" s="51">
        <f>(Tabla3[[#This Row],[TOTAL -10%]]*Tabla3[[#This Row],[NUBE]])</f>
        <v>0</v>
      </c>
      <c r="W141" s="80"/>
      <c r="X141" s="78" t="s">
        <v>42</v>
      </c>
      <c r="Y141" s="79">
        <v>0.01</v>
      </c>
      <c r="Z141" s="79">
        <v>0.99</v>
      </c>
      <c r="AA141" s="79"/>
      <c r="AB141" s="81">
        <f t="shared" si="20"/>
        <v>1</v>
      </c>
      <c r="AC141" s="76" t="str">
        <f t="shared" si="13"/>
        <v>OK</v>
      </c>
    </row>
    <row r="142" spans="1:29" ht="31.5" x14ac:dyDescent="0.5">
      <c r="A142" s="65">
        <f t="shared" si="14"/>
        <v>122</v>
      </c>
      <c r="B142" s="166">
        <v>1112933362</v>
      </c>
      <c r="C142" s="167" t="s">
        <v>177</v>
      </c>
      <c r="D142" s="151">
        <v>3</v>
      </c>
      <c r="E142" s="152">
        <f>(Tabla3[[#This Row],[CANT]]*5000000)</f>
        <v>15000000</v>
      </c>
      <c r="F142" s="151">
        <v>1</v>
      </c>
      <c r="G142" s="152">
        <f>(Tabla3[[#This Row],[CANT2]]*10000000)</f>
        <v>10000000</v>
      </c>
      <c r="H142" s="151">
        <v>1</v>
      </c>
      <c r="I142" s="152">
        <f>(Tabla3[[#This Row],[CANT3]]*7500000)</f>
        <v>7500000</v>
      </c>
      <c r="J142" s="163"/>
      <c r="K142" s="152"/>
      <c r="L142" s="163"/>
      <c r="M142" s="152"/>
      <c r="N142" s="163"/>
      <c r="O142" s="152"/>
      <c r="P142" s="163"/>
      <c r="Q142" s="152"/>
      <c r="R142" s="48">
        <f>(Tabla3[[#This Row],[MONTO]]+Tabla3[[#This Row],[MONTO2]]+Tabla3[[#This Row],[MONTO3]]+Tabla3[[#This Row],[MONTO4]]+Tabla3[[#This Row],[MONTO5]]+Tabla3[[#This Row],[MONTO6]]+Tabla3[[#This Row],[MONTO7]])</f>
        <v>32500000</v>
      </c>
      <c r="S142" s="63">
        <f t="shared" si="18"/>
        <v>29250000</v>
      </c>
      <c r="T142" s="51">
        <f t="shared" si="19"/>
        <v>292500</v>
      </c>
      <c r="U142" s="118">
        <f>(Tabla3[[#This Row],[TOTAL -10%]]*Tabla3[[#This Row],[FIDUCIA]])</f>
        <v>0</v>
      </c>
      <c r="V142" s="51">
        <f>(Tabla3[[#This Row],[TOTAL -10%]]*Tabla3[[#This Row],[NUBE]])</f>
        <v>28957500</v>
      </c>
      <c r="W142" s="80"/>
      <c r="X142" s="78" t="s">
        <v>43</v>
      </c>
      <c r="Y142" s="79">
        <v>0.01</v>
      </c>
      <c r="Z142" s="79"/>
      <c r="AA142" s="79">
        <v>0.99</v>
      </c>
      <c r="AB142" s="81">
        <f t="shared" si="20"/>
        <v>1</v>
      </c>
      <c r="AC142" s="76" t="str">
        <f t="shared" si="13"/>
        <v>OK</v>
      </c>
    </row>
    <row r="143" spans="1:29" ht="31.5" x14ac:dyDescent="0.5">
      <c r="A143" s="65">
        <f t="shared" si="14"/>
        <v>123</v>
      </c>
      <c r="B143" s="166">
        <v>36573146</v>
      </c>
      <c r="C143" s="167" t="s">
        <v>1100</v>
      </c>
      <c r="D143" s="151">
        <v>2</v>
      </c>
      <c r="E143" s="152">
        <f>(Tabla3[[#This Row],[CANT]]*5000000)</f>
        <v>10000000</v>
      </c>
      <c r="F143" s="151"/>
      <c r="G143" s="152"/>
      <c r="H143" s="151"/>
      <c r="I143" s="152"/>
      <c r="J143" s="163"/>
      <c r="K143" s="152"/>
      <c r="L143" s="163"/>
      <c r="M143" s="152"/>
      <c r="N143" s="163"/>
      <c r="O143" s="152"/>
      <c r="P143" s="163"/>
      <c r="Q143" s="152"/>
      <c r="R143" s="48">
        <f>(Tabla3[[#This Row],[MONTO]]+Tabla3[[#This Row],[MONTO2]]+Tabla3[[#This Row],[MONTO3]]+Tabla3[[#This Row],[MONTO4]]+Tabla3[[#This Row],[MONTO5]]+Tabla3[[#This Row],[MONTO6]]+Tabla3[[#This Row],[MONTO7]])</f>
        <v>10000000</v>
      </c>
      <c r="S143" s="63">
        <f t="shared" si="18"/>
        <v>9000000</v>
      </c>
      <c r="T143" s="51">
        <f t="shared" si="19"/>
        <v>90000</v>
      </c>
      <c r="U143" s="118">
        <f>(Tabla3[[#This Row],[TOTAL -10%]]*Tabla3[[#This Row],[FIDUCIA]])</f>
        <v>0</v>
      </c>
      <c r="V143" s="51">
        <f>(Tabla3[[#This Row],[TOTAL -10%]]*Tabla3[[#This Row],[NUBE]])</f>
        <v>8910000</v>
      </c>
      <c r="W143" s="80"/>
      <c r="X143" s="78" t="s">
        <v>43</v>
      </c>
      <c r="Y143" s="79">
        <v>0.01</v>
      </c>
      <c r="Z143" s="79"/>
      <c r="AA143" s="79">
        <v>0.99</v>
      </c>
      <c r="AB143" s="81">
        <f t="shared" si="20"/>
        <v>1</v>
      </c>
      <c r="AC143" s="76" t="str">
        <f t="shared" si="13"/>
        <v>OK</v>
      </c>
    </row>
    <row r="144" spans="1:29" ht="31.5" x14ac:dyDescent="0.5">
      <c r="A144" s="65">
        <f t="shared" si="14"/>
        <v>124</v>
      </c>
      <c r="B144" s="149">
        <v>36574032</v>
      </c>
      <c r="C144" s="157" t="s">
        <v>428</v>
      </c>
      <c r="D144" s="168">
        <v>2</v>
      </c>
      <c r="E144" s="152">
        <f>(Tabla3[[#This Row],[CANT]]*5000000)</f>
        <v>10000000</v>
      </c>
      <c r="F144" s="158"/>
      <c r="G144" s="169"/>
      <c r="H144" s="159"/>
      <c r="I144" s="169"/>
      <c r="J144" s="160"/>
      <c r="K144" s="161"/>
      <c r="L144" s="160"/>
      <c r="M144" s="161"/>
      <c r="N144" s="160"/>
      <c r="O144" s="161"/>
      <c r="P144" s="160"/>
      <c r="Q144" s="161"/>
      <c r="R144" s="63">
        <f>(Tabla3[[#This Row],[MONTO]]+Tabla3[[#This Row],[MONTO2]]+Tabla3[[#This Row],[MONTO3]]+Tabla3[[#This Row],[MONTO4]]+Tabla3[[#This Row],[MONTO5]]+Tabla3[[#This Row],[MONTO6]]+Tabla3[[#This Row],[MONTO7]])</f>
        <v>10000000</v>
      </c>
      <c r="S144" s="63">
        <f>R144-(R144*10%)</f>
        <v>9000000</v>
      </c>
      <c r="T144" s="51">
        <f>(S144*1%)</f>
        <v>90000</v>
      </c>
      <c r="U144" s="51">
        <f>(Tabla3[[#This Row],[TOTAL -10%]]*Tabla3[[#This Row],[FIDUCIA]])</f>
        <v>0</v>
      </c>
      <c r="V144" s="51">
        <f>(Tabla3[[#This Row],[TOTAL -10%]]*Tabla3[[#This Row],[NUBE]])</f>
        <v>0</v>
      </c>
      <c r="W144" s="80"/>
      <c r="X144" s="78"/>
      <c r="Y144" s="79">
        <v>0.01</v>
      </c>
      <c r="Z144" s="79"/>
      <c r="AA144" s="79"/>
      <c r="AB144" s="81">
        <f>SUM(Y144:AA144)</f>
        <v>0.01</v>
      </c>
      <c r="AC144" s="76" t="str">
        <f t="shared" si="13"/>
        <v>ERROR</v>
      </c>
    </row>
    <row r="145" spans="24:24" x14ac:dyDescent="0.25">
      <c r="X145" s="11"/>
    </row>
    <row r="146" spans="24:24" x14ac:dyDescent="0.25">
      <c r="X146" s="11"/>
    </row>
    <row r="147" spans="24:24" x14ac:dyDescent="0.25">
      <c r="X147" s="11"/>
    </row>
    <row r="148" spans="24:24" x14ac:dyDescent="0.25">
      <c r="X148" s="11"/>
    </row>
    <row r="149" spans="24:24" x14ac:dyDescent="0.25">
      <c r="X149" s="11"/>
    </row>
    <row r="150" spans="24:24" x14ac:dyDescent="0.25">
      <c r="X150" s="11"/>
    </row>
    <row r="151" spans="24:24" x14ac:dyDescent="0.25">
      <c r="X151" s="11"/>
    </row>
    <row r="152" spans="24:24" x14ac:dyDescent="0.25">
      <c r="X152" s="11"/>
    </row>
    <row r="153" spans="24:24" x14ac:dyDescent="0.25">
      <c r="X153" s="11"/>
    </row>
    <row r="154" spans="24:24" x14ac:dyDescent="0.25">
      <c r="X154" s="11"/>
    </row>
    <row r="155" spans="24:24" x14ac:dyDescent="0.25">
      <c r="X155" s="11"/>
    </row>
    <row r="156" spans="24:24" x14ac:dyDescent="0.25">
      <c r="X156" s="11"/>
    </row>
    <row r="157" spans="24:24" x14ac:dyDescent="0.25">
      <c r="X157" s="11"/>
    </row>
    <row r="158" spans="24:24" x14ac:dyDescent="0.25">
      <c r="X158" s="11"/>
    </row>
    <row r="159" spans="24:24" x14ac:dyDescent="0.25">
      <c r="X159" s="11"/>
    </row>
    <row r="160" spans="24:24" x14ac:dyDescent="0.25">
      <c r="X160" s="11"/>
    </row>
    <row r="161" spans="24:24" x14ac:dyDescent="0.25">
      <c r="X161" s="11"/>
    </row>
    <row r="162" spans="24:24" x14ac:dyDescent="0.25">
      <c r="X162" s="11"/>
    </row>
    <row r="163" spans="24:24" x14ac:dyDescent="0.25">
      <c r="X163" s="11"/>
    </row>
    <row r="164" spans="24:24" x14ac:dyDescent="0.25">
      <c r="X164" s="11"/>
    </row>
  </sheetData>
  <mergeCells count="9">
    <mergeCell ref="Y18:AA18"/>
    <mergeCell ref="D16:F16"/>
    <mergeCell ref="D18:E18"/>
    <mergeCell ref="F18:G18"/>
    <mergeCell ref="H18:I18"/>
    <mergeCell ref="J18:K18"/>
    <mergeCell ref="L18:M18"/>
    <mergeCell ref="N18:O18"/>
    <mergeCell ref="P18:Q18"/>
  </mergeCells>
  <phoneticPr fontId="56" type="noConversion"/>
  <conditionalFormatting sqref="B18:B19 B144:B294">
    <cfRule type="containsText" dxfId="14215" priority="363" operator="containsText" text="PENDIENTE">
      <formula>NOT(ISERROR(SEARCH("PENDIENTE",B18)))</formula>
    </cfRule>
    <cfRule type="containsText" dxfId="14214" priority="366" operator="containsText" text="PENDIENTE">
      <formula>NOT(ISERROR(SEARCH("PENDIENTE",B18)))</formula>
    </cfRule>
  </conditionalFormatting>
  <conditionalFormatting sqref="B20:B144">
    <cfRule type="duplicateValues" dxfId="14213" priority="15723"/>
  </conditionalFormatting>
  <conditionalFormatting sqref="C20">
    <cfRule type="duplicateValues" dxfId="14212" priority="149"/>
  </conditionalFormatting>
  <conditionalFormatting sqref="C21:C60">
    <cfRule type="duplicateValues" dxfId="14211" priority="12523"/>
  </conditionalFormatting>
  <conditionalFormatting sqref="C61:C125">
    <cfRule type="duplicateValues" dxfId="14210" priority="15725"/>
  </conditionalFormatting>
  <conditionalFormatting sqref="C126:C128">
    <cfRule type="duplicateValues" dxfId="14209" priority="12536"/>
  </conditionalFormatting>
  <conditionalFormatting sqref="C129">
    <cfRule type="duplicateValues" dxfId="14208" priority="147"/>
  </conditionalFormatting>
  <conditionalFormatting sqref="C130">
    <cfRule type="duplicateValues" dxfId="14207" priority="146"/>
  </conditionalFormatting>
  <conditionalFormatting sqref="C131">
    <cfRule type="duplicateValues" dxfId="14206" priority="144"/>
  </conditionalFormatting>
  <conditionalFormatting sqref="C143">
    <cfRule type="duplicateValues" dxfId="14205" priority="10"/>
    <cfRule type="duplicateValues" dxfId="14204" priority="11"/>
    <cfRule type="duplicateValues" dxfId="14203" priority="12"/>
    <cfRule type="duplicateValues" dxfId="14202" priority="13"/>
    <cfRule type="duplicateValues" dxfId="14201" priority="14"/>
    <cfRule type="duplicateValues" dxfId="14200" priority="15"/>
    <cfRule type="duplicateValues" dxfId="14199" priority="16"/>
    <cfRule type="duplicateValues" dxfId="14198" priority="17"/>
    <cfRule type="duplicateValues" dxfId="14197" priority="18"/>
    <cfRule type="duplicateValues" dxfId="14196" priority="19"/>
    <cfRule type="duplicateValues" dxfId="14195" priority="20"/>
    <cfRule type="duplicateValues" dxfId="14194" priority="41"/>
    <cfRule type="duplicateValues" dxfId="14193" priority="22"/>
    <cfRule type="duplicateValues" dxfId="14192" priority="23"/>
    <cfRule type="duplicateValues" dxfId="14191" priority="24"/>
    <cfRule type="duplicateValues" dxfId="14190" priority="25"/>
    <cfRule type="duplicateValues" dxfId="14189" priority="26"/>
    <cfRule type="duplicateValues" dxfId="14188" priority="27"/>
    <cfRule type="duplicateValues" dxfId="14187" priority="28"/>
    <cfRule type="duplicateValues" dxfId="14186" priority="29"/>
    <cfRule type="duplicateValues" dxfId="14185" priority="30"/>
    <cfRule type="duplicateValues" dxfId="14184" priority="31"/>
    <cfRule type="duplicateValues" dxfId="14183" priority="32"/>
    <cfRule type="duplicateValues" dxfId="14182" priority="33"/>
    <cfRule type="duplicateValues" dxfId="14181" priority="34"/>
    <cfRule type="duplicateValues" dxfId="14180" priority="35"/>
    <cfRule type="duplicateValues" dxfId="14179" priority="36"/>
    <cfRule type="duplicateValues" dxfId="14178" priority="37"/>
    <cfRule type="duplicateValues" dxfId="14177" priority="38"/>
    <cfRule type="duplicateValues" dxfId="14176" priority="39"/>
    <cfRule type="duplicateValues" dxfId="14175" priority="40"/>
    <cfRule type="duplicateValues" dxfId="14174" priority="42"/>
    <cfRule type="duplicateValues" dxfId="14173" priority="43"/>
    <cfRule type="duplicateValues" dxfId="14172" priority="44"/>
    <cfRule type="duplicateValues" dxfId="14171" priority="45"/>
    <cfRule type="duplicateValues" dxfId="14170" priority="46"/>
    <cfRule type="duplicateValues" dxfId="14169" priority="47"/>
    <cfRule type="duplicateValues" dxfId="14168" priority="48"/>
    <cfRule type="duplicateValues" dxfId="14167" priority="49"/>
    <cfRule type="duplicateValues" dxfId="14166" priority="50"/>
    <cfRule type="duplicateValues" dxfId="14165" priority="51"/>
    <cfRule type="duplicateValues" dxfId="14164" priority="52"/>
    <cfRule type="duplicateValues" dxfId="14163" priority="53"/>
    <cfRule type="duplicateValues" dxfId="14162" priority="54"/>
    <cfRule type="duplicateValues" dxfId="14161" priority="55"/>
    <cfRule type="duplicateValues" dxfId="14160" priority="56"/>
    <cfRule type="duplicateValues" dxfId="14159" priority="57"/>
    <cfRule type="duplicateValues" dxfId="14158" priority="58"/>
    <cfRule type="duplicateValues" dxfId="14157" priority="59"/>
    <cfRule type="duplicateValues" dxfId="14156" priority="60"/>
    <cfRule type="duplicateValues" dxfId="14155" priority="61"/>
    <cfRule type="duplicateValues" dxfId="14154" priority="62"/>
    <cfRule type="duplicateValues" dxfId="14153" priority="63"/>
    <cfRule type="duplicateValues" dxfId="14152" priority="64"/>
    <cfRule type="duplicateValues" dxfId="14151" priority="65"/>
    <cfRule type="duplicateValues" dxfId="14150" priority="66"/>
    <cfRule type="duplicateValues" dxfId="14149" priority="67"/>
    <cfRule type="duplicateValues" dxfId="14148" priority="68"/>
    <cfRule type="duplicateValues" dxfId="14147" priority="69"/>
    <cfRule type="duplicateValues" dxfId="14146" priority="70"/>
    <cfRule type="duplicateValues" dxfId="14145" priority="71"/>
    <cfRule type="duplicateValues" dxfId="14144" priority="72"/>
    <cfRule type="duplicateValues" dxfId="14143" priority="73"/>
    <cfRule type="duplicateValues" dxfId="14142" priority="74"/>
    <cfRule type="duplicateValues" dxfId="14141" priority="75"/>
    <cfRule type="duplicateValues" dxfId="14140" priority="76"/>
    <cfRule type="duplicateValues" dxfId="14139" priority="77"/>
    <cfRule type="duplicateValues" dxfId="14138" priority="78"/>
    <cfRule type="duplicateValues" dxfId="14137" priority="79"/>
    <cfRule type="duplicateValues" dxfId="14136" priority="80"/>
    <cfRule type="duplicateValues" dxfId="14135" priority="81"/>
    <cfRule type="duplicateValues" dxfId="14134" priority="82"/>
    <cfRule type="duplicateValues" dxfId="14133" priority="83"/>
    <cfRule type="duplicateValues" dxfId="14132" priority="84"/>
    <cfRule type="duplicateValues" dxfId="14131" priority="85"/>
    <cfRule type="duplicateValues" dxfId="14130" priority="86"/>
    <cfRule type="duplicateValues" dxfId="14129" priority="87"/>
    <cfRule type="duplicateValues" dxfId="14128" priority="88"/>
    <cfRule type="duplicateValues" dxfId="14127" priority="89"/>
    <cfRule type="duplicateValues" dxfId="14126" priority="90"/>
    <cfRule type="duplicateValues" dxfId="14125" priority="91"/>
    <cfRule type="duplicateValues" dxfId="14124" priority="92"/>
    <cfRule type="duplicateValues" dxfId="14123" priority="93"/>
    <cfRule type="duplicateValues" dxfId="14122" priority="94"/>
    <cfRule type="duplicateValues" dxfId="14121" priority="95"/>
    <cfRule type="duplicateValues" dxfId="14120" priority="96"/>
    <cfRule type="duplicateValues" dxfId="14119" priority="97"/>
    <cfRule type="duplicateValues" dxfId="14118" priority="98"/>
    <cfRule type="duplicateValues" dxfId="14117" priority="99"/>
    <cfRule type="duplicateValues" dxfId="14116" priority="100"/>
    <cfRule type="duplicateValues" dxfId="14115" priority="101"/>
    <cfRule type="duplicateValues" dxfId="14114" priority="102"/>
    <cfRule type="duplicateValues" dxfId="14113" priority="103"/>
    <cfRule type="duplicateValues" dxfId="14112" priority="104"/>
    <cfRule type="duplicateValues" dxfId="14111" priority="105"/>
    <cfRule type="duplicateValues" dxfId="14110" priority="106"/>
    <cfRule type="duplicateValues" dxfId="14109" priority="107"/>
    <cfRule type="duplicateValues" dxfId="14108" priority="108"/>
    <cfRule type="duplicateValues" dxfId="14107" priority="109"/>
    <cfRule type="duplicateValues" dxfId="14106" priority="110"/>
    <cfRule type="duplicateValues" dxfId="14105" priority="111"/>
    <cfRule type="duplicateValues" dxfId="14104" priority="112"/>
    <cfRule type="duplicateValues" dxfId="14103" priority="113"/>
    <cfRule type="duplicateValues" dxfId="14102" priority="114"/>
    <cfRule type="duplicateValues" dxfId="14101" priority="115"/>
    <cfRule type="duplicateValues" dxfId="14100" priority="116"/>
    <cfRule type="duplicateValues" dxfId="14099" priority="117"/>
    <cfRule type="duplicateValues" dxfId="14098" priority="118"/>
    <cfRule type="duplicateValues" dxfId="14097" priority="119"/>
    <cfRule type="duplicateValues" dxfId="14096" priority="120"/>
    <cfRule type="duplicateValues" dxfId="14095" priority="122"/>
    <cfRule type="duplicateValues" dxfId="14094" priority="123"/>
    <cfRule type="duplicateValues" dxfId="14093" priority="124"/>
    <cfRule type="duplicateValues" dxfId="14092" priority="125"/>
    <cfRule type="duplicateValues" dxfId="14091" priority="126"/>
    <cfRule type="duplicateValues" dxfId="14090" priority="127"/>
    <cfRule type="duplicateValues" dxfId="14089" priority="128"/>
    <cfRule type="duplicateValues" dxfId="14088" priority="129"/>
    <cfRule type="duplicateValues" dxfId="14087" priority="130"/>
    <cfRule type="duplicateValues" dxfId="14086" priority="131"/>
    <cfRule type="duplicateValues" dxfId="14085" priority="132"/>
    <cfRule type="duplicateValues" dxfId="14084" priority="133"/>
    <cfRule type="duplicateValues" dxfId="14083" priority="134"/>
    <cfRule type="duplicateValues" dxfId="14082" priority="135"/>
    <cfRule type="duplicateValues" dxfId="14081" priority="136"/>
    <cfRule type="duplicateValues" dxfId="14080" priority="137"/>
    <cfRule type="duplicateValues" dxfId="14079" priority="138"/>
    <cfRule type="duplicateValues" dxfId="14078" priority="139"/>
    <cfRule type="duplicateValues" dxfId="14077" priority="140"/>
    <cfRule type="duplicateValues" dxfId="14076" priority="121"/>
    <cfRule type="duplicateValues" dxfId="14075" priority="142"/>
    <cfRule type="duplicateValues" dxfId="14074" priority="143"/>
    <cfRule type="duplicateValues" dxfId="14073" priority="21"/>
    <cfRule type="duplicateValues" dxfId="14072" priority="3"/>
    <cfRule type="duplicateValues" dxfId="14071" priority="4"/>
    <cfRule type="duplicateValues" dxfId="14070" priority="5"/>
    <cfRule type="duplicateValues" dxfId="14069" priority="6"/>
    <cfRule type="duplicateValues" dxfId="14068" priority="7"/>
    <cfRule type="duplicateValues" dxfId="14067" priority="8"/>
    <cfRule type="duplicateValues" dxfId="14066" priority="9"/>
    <cfRule type="duplicateValues" dxfId="14065" priority="141"/>
  </conditionalFormatting>
  <conditionalFormatting sqref="X16:X17 Y144">
    <cfRule type="containsText" dxfId="14064" priority="605" operator="containsText" text="NO APLICA">
      <formula>NOT(ISERROR(SEARCH("NO APLICA",X16)))</formula>
    </cfRule>
  </conditionalFormatting>
  <conditionalFormatting sqref="X16:X17 Y20:AA144 Y35:AB143">
    <cfRule type="containsText" dxfId="14063" priority="606" operator="containsText" text="SI APLICA">
      <formula>NOT(ISERROR(SEARCH("SI APLICA",X16)))</formula>
    </cfRule>
  </conditionalFormatting>
  <conditionalFormatting sqref="Y20:AA144 AB18:AB34 Y35:AB143">
    <cfRule type="containsText" dxfId="14062" priority="583" operator="containsText" text="NO APLICA">
      <formula>NOT(ISERROR(SEARCH("NO APLICA",Y18)))</formula>
    </cfRule>
  </conditionalFormatting>
  <conditionalFormatting sqref="AA16:AA17">
    <cfRule type="containsText" dxfId="14061" priority="603" operator="containsText" text="NO APLICA">
      <formula>NOT(ISERROR(SEARCH("NO APLICA",AA16)))</formula>
    </cfRule>
    <cfRule type="containsText" dxfId="14060" priority="604" operator="containsText" text="SI APLICA">
      <formula>NOT(ISERROR(SEARCH("SI APLICA",AA16)))</formula>
    </cfRule>
  </conditionalFormatting>
  <conditionalFormatting sqref="AA22:AA23 AA25:AA26 AA28:AA31 AA33">
    <cfRule type="containsText" dxfId="14059" priority="2" operator="containsText" text="SI APLICA">
      <formula>NOT(ISERROR(SEARCH("SI APLICA",AA22)))</formula>
    </cfRule>
    <cfRule type="containsText" dxfId="14058" priority="1" operator="containsText" text="NO APLICA">
      <formula>NOT(ISERROR(SEARCH("NO APLICA",AA22)))</formula>
    </cfRule>
  </conditionalFormatting>
  <conditionalFormatting sqref="AB16:AB17 AC18:AC144">
    <cfRule type="containsText" dxfId="14057" priority="599" operator="containsText" text="ERROR">
      <formula>NOT(ISERROR(SEARCH("ERROR",AB16)))</formula>
    </cfRule>
    <cfRule type="containsText" dxfId="14056" priority="600" operator="containsText" text="ERROR">
      <formula>NOT(ISERROR(SEARCH("ERROR",AB16)))</formula>
    </cfRule>
  </conditionalFormatting>
  <conditionalFormatting sqref="AB18:AB34">
    <cfRule type="containsText" dxfId="14055" priority="584" operator="containsText" text="SI APLICA">
      <formula>NOT(ISERROR(SEARCH("SI APLICA",AB18)))</formula>
    </cfRule>
  </conditionalFormatting>
  <dataValidations count="2">
    <dataValidation type="list" allowBlank="1" showInputMessage="1" showErrorMessage="1" sqref="W110:W144" xr:uid="{D8F9D9F6-1A76-4FEF-96A6-1B5EE97DDCA1}">
      <formula1>$W$3:$W$4</formula1>
    </dataValidation>
    <dataValidation type="list" allowBlank="1" showInputMessage="1" showErrorMessage="1" sqref="X20:X144" xr:uid="{7F6ADCEB-924F-41E6-A19F-40129A6BAA3D}">
      <formula1>"FIDUCIA/NUBE, FIDUCIA, NUBE"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F5ACE-3E5A-4449-8957-9EE3A4E170B6}">
  <sheetPr codeName="Hoja3"/>
  <dimension ref="A1:R31"/>
  <sheetViews>
    <sheetView showGridLines="0" zoomScale="70" zoomScaleNormal="70" workbookViewId="0">
      <selection activeCell="I35" sqref="I35"/>
    </sheetView>
  </sheetViews>
  <sheetFormatPr baseColWidth="10" defaultRowHeight="12.75" x14ac:dyDescent="0.2"/>
  <cols>
    <col min="4" max="4" width="3.5703125" customWidth="1"/>
    <col min="5" max="5" width="35.7109375" bestFit="1" customWidth="1"/>
    <col min="6" max="6" width="11.28515625" customWidth="1"/>
    <col min="7" max="7" width="63.28515625" customWidth="1"/>
    <col min="8" max="8" width="2.42578125" customWidth="1"/>
    <col min="9" max="9" width="36.5703125" customWidth="1"/>
    <col min="10" max="10" width="3" customWidth="1"/>
    <col min="12" max="12" width="14" bestFit="1" customWidth="1"/>
    <col min="13" max="14" width="14" customWidth="1"/>
    <col min="15" max="15" width="19.7109375" customWidth="1"/>
    <col min="16" max="16" width="35.28515625" customWidth="1"/>
    <col min="17" max="17" width="19.5703125" customWidth="1"/>
    <col min="18" max="18" width="12.140625" customWidth="1"/>
    <col min="19" max="19" width="11.28515625" customWidth="1"/>
  </cols>
  <sheetData>
    <row r="1" spans="1:18" x14ac:dyDescent="0.2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8" x14ac:dyDescent="0.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1:18" x14ac:dyDescent="0.2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13" t="s">
        <v>13</v>
      </c>
      <c r="P3" s="213"/>
    </row>
    <row r="4" spans="1:18" ht="21" x14ac:dyDescent="0.35">
      <c r="A4" s="25"/>
      <c r="B4" s="25"/>
      <c r="C4" s="25"/>
      <c r="D4" s="6"/>
      <c r="E4" s="6"/>
      <c r="F4" s="6"/>
      <c r="G4" s="6"/>
      <c r="H4" s="6"/>
      <c r="I4" s="6"/>
      <c r="J4" s="6"/>
      <c r="K4" s="6"/>
      <c r="L4" s="25"/>
      <c r="M4" s="25"/>
      <c r="N4" s="25"/>
      <c r="O4" s="214">
        <f ca="1">TODAY()</f>
        <v>46288</v>
      </c>
      <c r="P4" s="214"/>
    </row>
    <row r="5" spans="1:18" ht="34.5" customHeight="1" thickBot="1" x14ac:dyDescent="0.3">
      <c r="A5" s="25"/>
      <c r="B5" s="25"/>
      <c r="C5" s="25"/>
      <c r="D5" s="6"/>
      <c r="E5" s="26" t="s">
        <v>20</v>
      </c>
      <c r="F5" s="215" t="str">
        <f>('MATRIZ LISTADO'!D16)</f>
        <v>JOHANA CASTAÑEDA</v>
      </c>
      <c r="G5" s="215"/>
      <c r="H5" s="215"/>
      <c r="I5" s="6"/>
      <c r="J5" s="6"/>
      <c r="K5" s="6"/>
      <c r="L5" s="3"/>
      <c r="M5" s="3"/>
      <c r="N5" s="3"/>
      <c r="O5" s="219" t="s">
        <v>94</v>
      </c>
      <c r="P5" s="219"/>
      <c r="Q5" s="92" t="s">
        <v>93</v>
      </c>
      <c r="R5" s="3"/>
    </row>
    <row r="6" spans="1:18" ht="27" thickBot="1" x14ac:dyDescent="0.35">
      <c r="A6" s="25"/>
      <c r="B6" s="25"/>
      <c r="C6" s="25"/>
      <c r="D6" s="6"/>
      <c r="E6" s="6"/>
      <c r="F6" s="6"/>
      <c r="G6" s="6"/>
      <c r="H6" s="6"/>
      <c r="I6" s="6"/>
      <c r="J6" s="6"/>
      <c r="K6" s="6"/>
      <c r="L6" s="4"/>
      <c r="M6" s="4"/>
      <c r="N6" s="4"/>
      <c r="O6" s="96">
        <v>3072.27</v>
      </c>
      <c r="P6" s="5"/>
      <c r="Q6" s="3"/>
      <c r="R6" s="3"/>
    </row>
    <row r="7" spans="1:18" ht="36" x14ac:dyDescent="0.55000000000000004">
      <c r="A7" s="25"/>
      <c r="B7" s="25"/>
      <c r="C7" s="25"/>
      <c r="D7" s="6"/>
      <c r="E7" s="22" t="s">
        <v>30</v>
      </c>
      <c r="F7" s="216" t="str">
        <f>IFERROR(VLOOKUP(F8,'MATRIZ LISTADO'!B19:C144,2,0),"")</f>
        <v>JHON JADER OYOLA OSORIO</v>
      </c>
      <c r="G7" s="217"/>
      <c r="H7" s="217"/>
      <c r="I7" s="56"/>
      <c r="J7" s="56"/>
      <c r="K7" s="6"/>
      <c r="L7" s="220" t="str">
        <f>(F7)</f>
        <v>JHON JADER OYOLA OSORIO</v>
      </c>
      <c r="M7" s="220"/>
      <c r="N7" s="220"/>
      <c r="O7" s="220"/>
      <c r="P7" s="220"/>
      <c r="Q7" s="220"/>
      <c r="R7" s="3"/>
    </row>
    <row r="8" spans="1:18" ht="34.5" thickBot="1" x14ac:dyDescent="0.55000000000000004">
      <c r="A8" s="25"/>
      <c r="B8" s="25"/>
      <c r="C8" s="25"/>
      <c r="D8" s="6"/>
      <c r="E8" s="23" t="s">
        <v>31</v>
      </c>
      <c r="F8" s="218">
        <v>18510129</v>
      </c>
      <c r="G8" s="218"/>
      <c r="H8" s="218"/>
      <c r="I8" s="6"/>
      <c r="J8" s="6"/>
      <c r="K8" s="6"/>
      <c r="L8" s="222" t="s">
        <v>96</v>
      </c>
      <c r="M8" s="222"/>
      <c r="N8" s="222"/>
      <c r="O8" s="222"/>
      <c r="P8" s="221" t="s">
        <v>18</v>
      </c>
      <c r="Q8" s="221"/>
      <c r="R8" s="221"/>
    </row>
    <row r="9" spans="1:18" ht="28.5" customHeight="1" x14ac:dyDescent="0.55000000000000004">
      <c r="A9" s="25"/>
      <c r="B9" s="25"/>
      <c r="C9" s="25"/>
      <c r="D9" s="6"/>
      <c r="E9" s="23"/>
      <c r="F9" s="34"/>
      <c r="G9" s="34"/>
      <c r="H9" s="6"/>
      <c r="I9" s="6"/>
      <c r="J9" s="6"/>
      <c r="K9" s="6"/>
      <c r="L9" s="224" t="s">
        <v>19</v>
      </c>
      <c r="M9" s="224"/>
      <c r="N9" s="224"/>
      <c r="O9" s="93">
        <v>-0.1</v>
      </c>
      <c r="P9" s="231">
        <f>(G28*O6)</f>
        <v>4017607479000</v>
      </c>
      <c r="Q9" s="232"/>
      <c r="R9" s="233"/>
    </row>
    <row r="10" spans="1:18" ht="34.5" customHeight="1" x14ac:dyDescent="0.5">
      <c r="A10" s="25"/>
      <c r="B10" s="25"/>
      <c r="C10" s="25"/>
      <c r="D10" s="21"/>
      <c r="E10" s="16"/>
      <c r="F10" s="17"/>
      <c r="G10" s="17"/>
      <c r="H10" s="17"/>
      <c r="I10" s="17"/>
      <c r="J10" s="21"/>
      <c r="K10" s="6"/>
      <c r="L10" s="223">
        <v>0.01</v>
      </c>
      <c r="M10" s="223"/>
      <c r="N10" s="223"/>
      <c r="O10" s="94" t="s">
        <v>88</v>
      </c>
      <c r="P10" s="228">
        <f>(I14*O6)</f>
        <v>40176074790</v>
      </c>
      <c r="Q10" s="229"/>
      <c r="R10" s="230"/>
    </row>
    <row r="11" spans="1:18" ht="33.75" x14ac:dyDescent="0.5">
      <c r="A11" s="25"/>
      <c r="B11" s="25"/>
      <c r="C11" s="25"/>
      <c r="D11" s="21"/>
      <c r="E11" s="16"/>
      <c r="F11" s="89" t="s">
        <v>32</v>
      </c>
      <c r="G11" s="89" t="s">
        <v>39</v>
      </c>
      <c r="H11" s="21"/>
      <c r="I11" s="86" t="s">
        <v>92</v>
      </c>
      <c r="J11" s="21"/>
      <c r="K11" s="6"/>
      <c r="L11" s="223">
        <f>IFERROR(VLOOKUP(F8,'MATRIZ LISTADO'!B19:AA144,25,0),"")</f>
        <v>0</v>
      </c>
      <c r="M11" s="223"/>
      <c r="N11" s="223"/>
      <c r="O11" s="94" t="s">
        <v>42</v>
      </c>
      <c r="P11" s="228">
        <f>(I18*O6)</f>
        <v>0</v>
      </c>
      <c r="Q11" s="229"/>
      <c r="R11" s="230"/>
    </row>
    <row r="12" spans="1:18" ht="34.5" thickBot="1" x14ac:dyDescent="0.55000000000000004">
      <c r="A12" s="25"/>
      <c r="B12" s="25"/>
      <c r="C12" s="25"/>
      <c r="D12" s="21"/>
      <c r="E12" s="32" t="s">
        <v>15</v>
      </c>
      <c r="F12" s="28">
        <f>IFERROR(VLOOKUP($F$8,Tabla3[[#All],[CC-ID-DNI]:[CANT]],3,0),"")</f>
        <v>146</v>
      </c>
      <c r="G12" s="29">
        <f>IFERROR(VLOOKUP($F$8,Tabla3[[#All],[CC-ID-DNI]:[1% PAGO INICIAL]],4,0),"")</f>
        <v>730000000</v>
      </c>
      <c r="H12" s="21"/>
      <c r="I12" s="90" t="s">
        <v>95</v>
      </c>
      <c r="J12" s="21"/>
      <c r="K12" s="6"/>
      <c r="L12" s="223">
        <f>IFERROR(VLOOKUP(F8,'MATRIZ LISTADO'!B19:AB144,26,0),"")</f>
        <v>0.99</v>
      </c>
      <c r="M12" s="223"/>
      <c r="N12" s="223"/>
      <c r="O12" s="95" t="s">
        <v>43</v>
      </c>
      <c r="P12" s="225">
        <f>(I22*O6)</f>
        <v>3977431404210</v>
      </c>
      <c r="Q12" s="226"/>
      <c r="R12" s="227"/>
    </row>
    <row r="13" spans="1:18" ht="9.75" customHeight="1" thickBot="1" x14ac:dyDescent="0.3">
      <c r="A13" s="25"/>
      <c r="B13" s="25"/>
      <c r="C13" s="25"/>
      <c r="D13" s="21"/>
      <c r="E13" s="33"/>
      <c r="F13" s="27"/>
      <c r="G13" s="17"/>
      <c r="H13" s="21"/>
      <c r="I13" s="21"/>
      <c r="J13" s="21"/>
      <c r="K13" s="6"/>
      <c r="L13" s="25"/>
      <c r="M13" s="25"/>
      <c r="N13" s="25"/>
      <c r="O13" s="25"/>
    </row>
    <row r="14" spans="1:18" ht="34.5" thickBot="1" x14ac:dyDescent="0.55000000000000004">
      <c r="A14" s="25"/>
      <c r="B14" s="25"/>
      <c r="C14" s="25"/>
      <c r="D14" s="21"/>
      <c r="E14" s="32" t="s">
        <v>28</v>
      </c>
      <c r="F14" s="28">
        <f>IFERROR(VLOOKUP($F$8,Tabla3[[CC-ID-DNI]:[1% PAGO INICIAL]],5,0),"")</f>
        <v>60</v>
      </c>
      <c r="G14" s="29">
        <f>IFERROR(VLOOKUP($F$8,Tabla3[[#All],[CC-ID-DNI]:[1% PAGO INICIAL]],6,0),"")</f>
        <v>600000000</v>
      </c>
      <c r="H14" s="21"/>
      <c r="I14" s="82">
        <f>(G28*1%)</f>
        <v>13077000</v>
      </c>
      <c r="J14" s="21"/>
      <c r="K14" s="6"/>
      <c r="L14" s="25"/>
      <c r="M14" s="25"/>
      <c r="N14" s="25"/>
      <c r="O14" s="25"/>
    </row>
    <row r="15" spans="1:18" ht="9.75" customHeight="1" x14ac:dyDescent="0.25">
      <c r="A15" s="25"/>
      <c r="B15" s="25"/>
      <c r="C15" s="25"/>
      <c r="D15" s="21"/>
      <c r="E15" s="33"/>
      <c r="F15" s="27"/>
      <c r="G15" s="17"/>
      <c r="H15" s="21"/>
      <c r="I15" s="17"/>
      <c r="J15" s="21"/>
      <c r="K15" s="6"/>
      <c r="L15" s="25"/>
      <c r="M15" s="25"/>
      <c r="N15" s="25"/>
      <c r="O15" s="25"/>
    </row>
    <row r="16" spans="1:18" ht="31.5" x14ac:dyDescent="0.5">
      <c r="A16" s="25"/>
      <c r="B16" s="25"/>
      <c r="C16" s="25"/>
      <c r="D16" s="21"/>
      <c r="E16" s="32" t="s">
        <v>16</v>
      </c>
      <c r="F16" s="28">
        <f>IFERROR(VLOOKUP($F$8,Tabla3[[CC-ID-DNI]:[1% PAGO INICIAL]],7,0),"")</f>
        <v>16</v>
      </c>
      <c r="G16" s="29">
        <f>IFERROR(VLOOKUP($F$8,Tabla3[[#All],[CC-ID-DNI]:[1% PAGO INICIAL]],8,0),"")</f>
        <v>120000000</v>
      </c>
      <c r="H16" s="21"/>
      <c r="I16" s="91" t="s">
        <v>42</v>
      </c>
      <c r="J16" s="21"/>
      <c r="K16" s="6"/>
      <c r="L16" s="25"/>
      <c r="M16" s="25"/>
      <c r="N16" s="25"/>
      <c r="O16" s="25"/>
    </row>
    <row r="17" spans="1:15" ht="9.75" customHeight="1" thickBot="1" x14ac:dyDescent="0.4">
      <c r="A17" s="25"/>
      <c r="B17" s="25"/>
      <c r="C17" s="25"/>
      <c r="D17" s="21"/>
      <c r="E17" s="33"/>
      <c r="F17" s="27"/>
      <c r="G17" s="17"/>
      <c r="H17" s="21"/>
      <c r="I17" s="30"/>
      <c r="J17" s="21"/>
      <c r="K17" s="6"/>
      <c r="L17" s="25"/>
      <c r="M17" s="25"/>
      <c r="N17" s="25"/>
      <c r="O17" s="25"/>
    </row>
    <row r="18" spans="1:15" ht="32.25" thickBot="1" x14ac:dyDescent="0.55000000000000004">
      <c r="A18" s="25"/>
      <c r="B18" s="25"/>
      <c r="C18" s="25"/>
      <c r="D18" s="21"/>
      <c r="E18" s="32" t="s">
        <v>29</v>
      </c>
      <c r="F18" s="28">
        <f>IFERROR(VLOOKUP($F$8,Tabla3[[CC-ID-DNI]:[1% PAGO INICIAL]],9,0),"")</f>
        <v>6</v>
      </c>
      <c r="G18" s="29">
        <f>IFERROR(VLOOKUP($F$8,Tabla3[[#All],[CC-ID-DNI]:[1% PAGO INICIAL]],10,0),"")</f>
        <v>3000000</v>
      </c>
      <c r="H18" s="21"/>
      <c r="I18" s="83">
        <f>IFERROR(VLOOKUP(F8,Tabla3[[#All],[CC-ID-DNI]:[% NUBE]],20,0),"")</f>
        <v>0</v>
      </c>
      <c r="J18" s="21"/>
      <c r="K18" s="6"/>
      <c r="L18" s="25"/>
      <c r="M18" s="25"/>
      <c r="N18" s="25"/>
      <c r="O18" s="25"/>
    </row>
    <row r="19" spans="1:15" ht="9.75" customHeight="1" x14ac:dyDescent="0.45">
      <c r="A19" s="25"/>
      <c r="B19" s="25"/>
      <c r="C19" s="25"/>
      <c r="D19" s="21"/>
      <c r="E19" s="33"/>
      <c r="F19" s="27"/>
      <c r="G19" s="17"/>
      <c r="H19" s="31"/>
      <c r="I19" s="21"/>
      <c r="J19" s="21"/>
      <c r="K19" s="6"/>
      <c r="L19" s="25"/>
      <c r="M19" s="25"/>
      <c r="N19" s="25"/>
      <c r="O19" s="25"/>
    </row>
    <row r="20" spans="1:15" ht="31.5" x14ac:dyDescent="0.5">
      <c r="A20" s="25"/>
      <c r="B20" s="25"/>
      <c r="C20" s="25"/>
      <c r="D20" s="21"/>
      <c r="E20" s="32" t="s">
        <v>150</v>
      </c>
      <c r="F20" s="28">
        <f>IFERROR(VLOOKUP($F$8,Tabla3[[CC-ID-DNI]:[1% PAGO INICIAL]],11,0),"")</f>
        <v>0</v>
      </c>
      <c r="G20" s="29">
        <f>IFERROR(VLOOKUP($F$8,Tabla3[[#All],[CC-ID-DNI]:[1% PAGO INICIAL]],12,0),"")</f>
        <v>0</v>
      </c>
      <c r="H20" s="17"/>
      <c r="I20" s="91" t="s">
        <v>43</v>
      </c>
      <c r="J20" s="21"/>
      <c r="K20" s="6"/>
      <c r="L20" s="25"/>
      <c r="M20" s="25"/>
      <c r="N20" s="25"/>
      <c r="O20" s="25"/>
    </row>
    <row r="21" spans="1:15" ht="9.75" customHeight="1" thickBot="1" x14ac:dyDescent="0.5">
      <c r="A21" s="25"/>
      <c r="B21" s="25"/>
      <c r="C21" s="25"/>
      <c r="D21" s="21"/>
      <c r="E21" s="33"/>
      <c r="F21" s="27"/>
      <c r="G21" s="17"/>
      <c r="H21" s="31"/>
      <c r="I21" s="30"/>
      <c r="J21" s="21"/>
      <c r="K21" s="6"/>
      <c r="L21" s="25"/>
      <c r="M21" s="25"/>
      <c r="N21" s="25"/>
      <c r="O21" s="25"/>
    </row>
    <row r="22" spans="1:15" ht="32.25" thickBot="1" x14ac:dyDescent="0.55000000000000004">
      <c r="A22" s="25"/>
      <c r="B22" s="25"/>
      <c r="C22" s="25"/>
      <c r="D22" s="21"/>
      <c r="E22" s="32" t="s">
        <v>151</v>
      </c>
      <c r="F22" s="28">
        <f>IFERROR(VLOOKUP($F$8,Tabla3[[CC-ID-DNI]:[1% PAGO INICIAL]],13,0),"")</f>
        <v>0</v>
      </c>
      <c r="G22" s="29">
        <f>IFERROR(VLOOKUP($F$8,Tabla3[[#All],[CC-ID-DNI]:[1% PAGO INICIAL]],14,0),"")</f>
        <v>0</v>
      </c>
      <c r="H22" s="17"/>
      <c r="I22" s="83">
        <f>IFERROR(VLOOKUP(F8,Tabla3[[#All],[CC-ID-DNI]:[% NUBE]],21,0),"")</f>
        <v>1294623000</v>
      </c>
      <c r="J22" s="21"/>
      <c r="K22" s="6"/>
      <c r="L22" s="25"/>
      <c r="M22" s="25"/>
      <c r="N22" s="25"/>
      <c r="O22" s="25"/>
    </row>
    <row r="23" spans="1:15" ht="9.75" customHeight="1" x14ac:dyDescent="0.45">
      <c r="A23" s="25"/>
      <c r="B23" s="25"/>
      <c r="C23" s="25"/>
      <c r="D23" s="21"/>
      <c r="E23" s="33"/>
      <c r="F23" s="27"/>
      <c r="G23" s="17"/>
      <c r="H23" s="31"/>
      <c r="I23" s="21"/>
      <c r="J23" s="21"/>
      <c r="K23" s="6"/>
      <c r="L23" s="25"/>
      <c r="M23" s="25"/>
      <c r="N23" s="25"/>
      <c r="O23" s="25"/>
    </row>
    <row r="24" spans="1:15" ht="31.5" x14ac:dyDescent="0.5">
      <c r="A24" s="25"/>
      <c r="B24" s="25"/>
      <c r="C24" s="25"/>
      <c r="D24" s="21"/>
      <c r="E24" s="32" t="s">
        <v>152</v>
      </c>
      <c r="F24" s="28">
        <f>IFERROR(VLOOKUP($F$8,Tabla3[[CC-ID-DNI]:[1% PAGO INICIAL]],15,0),"")</f>
        <v>0</v>
      </c>
      <c r="G24" s="29">
        <f>IFERROR(VLOOKUP($F$8,Tabla3[[#All],[CC-ID-DNI]:[1% PAGO INICIAL]],16,0),"")</f>
        <v>0</v>
      </c>
      <c r="H24" s="21"/>
      <c r="I24" s="119"/>
      <c r="J24" s="21"/>
      <c r="K24" s="6"/>
      <c r="L24" s="25"/>
      <c r="M24" s="25"/>
      <c r="N24" s="25"/>
      <c r="O24" s="25"/>
    </row>
    <row r="25" spans="1:15" ht="9.75" customHeight="1" x14ac:dyDescent="0.25">
      <c r="A25" s="25"/>
      <c r="B25" s="25"/>
      <c r="C25" s="25"/>
      <c r="D25" s="21"/>
      <c r="E25" s="119"/>
      <c r="F25" s="119"/>
      <c r="G25" s="119"/>
      <c r="H25" s="21"/>
      <c r="I25" s="119"/>
      <c r="J25" s="21"/>
      <c r="K25" s="6"/>
      <c r="L25" s="25"/>
      <c r="M25" s="25"/>
      <c r="N25" s="25"/>
      <c r="O25" s="25"/>
    </row>
    <row r="26" spans="1:15" ht="35.25" customHeight="1" x14ac:dyDescent="0.5">
      <c r="A26" s="25"/>
      <c r="B26" s="25"/>
      <c r="C26" s="25"/>
      <c r="D26" s="21"/>
      <c r="E26" s="87" t="s">
        <v>14</v>
      </c>
      <c r="F26" s="66"/>
      <c r="G26" s="177" t="s">
        <v>23</v>
      </c>
      <c r="H26" s="120"/>
      <c r="I26" s="119"/>
      <c r="J26" s="120"/>
      <c r="K26" s="6"/>
      <c r="L26" s="25"/>
      <c r="M26" s="25"/>
      <c r="N26" s="25"/>
      <c r="O26" s="25"/>
    </row>
    <row r="27" spans="1:15" ht="12.75" customHeight="1" thickBot="1" x14ac:dyDescent="0.3">
      <c r="A27" s="25"/>
      <c r="B27" s="25"/>
      <c r="C27" s="25"/>
      <c r="D27" s="119"/>
      <c r="E27" s="21"/>
      <c r="F27" s="84"/>
      <c r="G27" s="178"/>
      <c r="H27" s="120"/>
      <c r="I27" s="120"/>
      <c r="J27" s="120"/>
      <c r="K27" s="25"/>
      <c r="L27" s="25"/>
      <c r="M27" s="25"/>
      <c r="N27" s="25"/>
      <c r="O27" s="25"/>
    </row>
    <row r="28" spans="1:15" ht="36" customHeight="1" thickBot="1" x14ac:dyDescent="0.6">
      <c r="A28" s="25"/>
      <c r="B28" s="25"/>
      <c r="C28" s="25"/>
      <c r="D28" s="119"/>
      <c r="E28" s="88">
        <f>SUM(G12:G24)</f>
        <v>1453000000</v>
      </c>
      <c r="F28" s="66"/>
      <c r="G28" s="176">
        <f>E28-(E28*10%)</f>
        <v>1307700000</v>
      </c>
      <c r="H28" s="120"/>
      <c r="I28" s="119"/>
      <c r="J28" s="120"/>
      <c r="K28" s="25"/>
      <c r="L28" s="25"/>
      <c r="M28" s="25"/>
      <c r="N28" s="25"/>
      <c r="O28" s="25"/>
    </row>
    <row r="29" spans="1:15" ht="12.75" customHeight="1" x14ac:dyDescent="0.25">
      <c r="D29" s="119"/>
      <c r="E29" s="119"/>
      <c r="F29" s="119"/>
      <c r="G29" s="119"/>
      <c r="H29" s="120"/>
      <c r="I29" s="119"/>
      <c r="J29" s="120"/>
      <c r="K29" s="25"/>
      <c r="L29" s="25"/>
      <c r="M29" s="25"/>
      <c r="N29" s="25"/>
      <c r="O29" s="25"/>
    </row>
    <row r="30" spans="1:15" ht="30.75" customHeight="1" x14ac:dyDescent="0.25">
      <c r="E30" s="10"/>
      <c r="F30" s="10"/>
      <c r="G30" s="10"/>
      <c r="H30" s="10"/>
      <c r="J30" s="10"/>
    </row>
    <row r="31" spans="1:15" ht="26.25" customHeight="1" x14ac:dyDescent="0.5">
      <c r="E31" s="10"/>
      <c r="F31" s="10"/>
      <c r="G31" s="10"/>
      <c r="H31" s="10"/>
      <c r="I31" s="85"/>
      <c r="J31" s="10"/>
    </row>
  </sheetData>
  <mergeCells count="17">
    <mergeCell ref="L11:N11"/>
    <mergeCell ref="L9:N9"/>
    <mergeCell ref="L12:N12"/>
    <mergeCell ref="L10:N10"/>
    <mergeCell ref="P12:R12"/>
    <mergeCell ref="P11:R11"/>
    <mergeCell ref="P10:R10"/>
    <mergeCell ref="P9:R9"/>
    <mergeCell ref="O3:P3"/>
    <mergeCell ref="O4:P4"/>
    <mergeCell ref="F5:H5"/>
    <mergeCell ref="F7:H7"/>
    <mergeCell ref="F8:H8"/>
    <mergeCell ref="O5:P5"/>
    <mergeCell ref="L7:Q7"/>
    <mergeCell ref="P8:R8"/>
    <mergeCell ref="L8:O8"/>
  </mergeCells>
  <hyperlinks>
    <hyperlink ref="Q5" r:id="rId1" xr:uid="{7D62689D-E36B-46D1-958E-1C7B4CB8E7A7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E1237-58CF-48CB-B204-BF8508A51E4D}">
  <dimension ref="A1:S28"/>
  <sheetViews>
    <sheetView showGridLines="0" zoomScale="70" zoomScaleNormal="70" workbookViewId="0">
      <selection activeCell="M15" sqref="M15"/>
    </sheetView>
  </sheetViews>
  <sheetFormatPr baseColWidth="10" defaultRowHeight="12.75" x14ac:dyDescent="0.2"/>
  <cols>
    <col min="4" max="4" width="3.5703125" customWidth="1"/>
    <col min="5" max="5" width="38.42578125" bestFit="1" customWidth="1"/>
    <col min="6" max="6" width="14.5703125" customWidth="1"/>
    <col min="7" max="7" width="63.28515625" customWidth="1"/>
    <col min="8" max="8" width="2.42578125" customWidth="1"/>
    <col min="9" max="9" width="36.5703125" customWidth="1"/>
    <col min="10" max="10" width="3" customWidth="1"/>
    <col min="12" max="12" width="14" bestFit="1" customWidth="1"/>
    <col min="13" max="14" width="14" customWidth="1"/>
    <col min="15" max="15" width="19.7109375" customWidth="1"/>
    <col min="16" max="16" width="35.28515625" customWidth="1"/>
    <col min="17" max="17" width="19.5703125" customWidth="1"/>
    <col min="18" max="18" width="12.140625" customWidth="1"/>
    <col min="19" max="19" width="11.28515625" customWidth="1"/>
  </cols>
  <sheetData>
    <row r="1" spans="1:19" x14ac:dyDescent="0.2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9" x14ac:dyDescent="0.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179"/>
      <c r="M2" s="179"/>
      <c r="N2" s="179"/>
      <c r="O2" s="179"/>
      <c r="P2" s="179"/>
      <c r="Q2" s="179"/>
      <c r="R2" s="179"/>
      <c r="S2" s="179"/>
    </row>
    <row r="3" spans="1:19" ht="39" customHeight="1" x14ac:dyDescent="0.25">
      <c r="A3" s="25"/>
      <c r="B3" s="25"/>
      <c r="C3" s="25"/>
      <c r="D3" s="6"/>
      <c r="E3" s="26" t="s">
        <v>20</v>
      </c>
      <c r="F3" s="215" t="str">
        <f>('MATRIZ LISTADO'!D16)</f>
        <v>JOHANA CASTAÑEDA</v>
      </c>
      <c r="G3" s="215"/>
      <c r="H3" s="215"/>
      <c r="I3" s="6"/>
      <c r="J3" s="6"/>
      <c r="K3" s="6"/>
      <c r="L3" s="180"/>
      <c r="M3" s="180"/>
      <c r="N3" s="180"/>
      <c r="O3" s="234"/>
      <c r="P3" s="234"/>
      <c r="Q3" s="181"/>
      <c r="R3" s="180"/>
      <c r="S3" s="179"/>
    </row>
    <row r="4" spans="1:19" ht="11.25" customHeight="1" x14ac:dyDescent="0.3">
      <c r="A4" s="25"/>
      <c r="B4" s="25"/>
      <c r="C4" s="25"/>
      <c r="D4" s="6"/>
      <c r="E4" s="6"/>
      <c r="F4" s="6"/>
      <c r="G4" s="6"/>
      <c r="H4" s="6"/>
      <c r="I4" s="6"/>
      <c r="J4" s="6"/>
      <c r="K4" s="6"/>
      <c r="L4" s="182"/>
      <c r="M4" s="182"/>
      <c r="N4" s="182"/>
      <c r="O4" s="183"/>
      <c r="P4" s="184"/>
      <c r="Q4" s="180"/>
      <c r="R4" s="180"/>
      <c r="S4" s="179"/>
    </row>
    <row r="5" spans="1:19" ht="34.5" customHeight="1" x14ac:dyDescent="0.5">
      <c r="A5" s="25"/>
      <c r="B5" s="25"/>
      <c r="C5" s="25"/>
      <c r="D5" s="21"/>
      <c r="E5" s="16"/>
      <c r="F5" s="17"/>
      <c r="G5" s="17"/>
      <c r="H5" s="17"/>
      <c r="I5" s="21"/>
      <c r="J5" s="21"/>
      <c r="K5" s="6"/>
      <c r="L5" s="235"/>
      <c r="M5" s="235"/>
      <c r="N5" s="235"/>
      <c r="O5" s="185"/>
      <c r="P5" s="236"/>
      <c r="Q5" s="236"/>
      <c r="R5" s="236"/>
      <c r="S5" s="179"/>
    </row>
    <row r="6" spans="1:19" ht="33.75" x14ac:dyDescent="0.5">
      <c r="A6" s="25"/>
      <c r="B6" s="25"/>
      <c r="C6" s="25"/>
      <c r="D6" s="21"/>
      <c r="E6" s="16"/>
      <c r="F6" s="89" t="s">
        <v>32</v>
      </c>
      <c r="G6" s="89" t="s">
        <v>39</v>
      </c>
      <c r="H6" s="21"/>
      <c r="I6" s="86"/>
      <c r="J6" s="21"/>
      <c r="K6" s="6"/>
      <c r="L6" s="235"/>
      <c r="M6" s="235"/>
      <c r="N6" s="235"/>
      <c r="O6" s="185"/>
      <c r="P6" s="236"/>
      <c r="Q6" s="236"/>
      <c r="R6" s="236"/>
      <c r="S6" s="179"/>
    </row>
    <row r="7" spans="1:19" ht="33.75" x14ac:dyDescent="0.5">
      <c r="A7" s="25"/>
      <c r="B7" s="25"/>
      <c r="C7" s="25"/>
      <c r="D7" s="21"/>
      <c r="E7" s="32" t="s">
        <v>15</v>
      </c>
      <c r="F7" s="28">
        <f>SUM(Tabla3[CANT])</f>
        <v>2762</v>
      </c>
      <c r="G7" s="29">
        <f>(F7*5000000)</f>
        <v>13810000000</v>
      </c>
      <c r="H7" s="21"/>
      <c r="I7" s="119"/>
      <c r="J7" s="21"/>
      <c r="K7" s="6"/>
      <c r="L7" s="235"/>
      <c r="M7" s="235"/>
      <c r="N7" s="235"/>
      <c r="O7" s="186"/>
      <c r="P7" s="236"/>
      <c r="Q7" s="236"/>
      <c r="R7" s="236"/>
      <c r="S7" s="179"/>
    </row>
    <row r="8" spans="1:19" ht="9.75" customHeight="1" x14ac:dyDescent="0.25">
      <c r="A8" s="25"/>
      <c r="B8" s="25"/>
      <c r="C8" s="25"/>
      <c r="D8" s="21"/>
      <c r="E8" s="33"/>
      <c r="F8" s="27"/>
      <c r="G8" s="17"/>
      <c r="H8" s="21"/>
      <c r="I8" s="119"/>
      <c r="J8" s="21"/>
      <c r="K8" s="6"/>
      <c r="L8" s="179"/>
      <c r="M8" s="179"/>
      <c r="N8" s="179"/>
      <c r="O8" s="179"/>
      <c r="P8" s="179"/>
      <c r="Q8" s="179"/>
      <c r="R8" s="179"/>
      <c r="S8" s="179"/>
    </row>
    <row r="9" spans="1:19" ht="31.5" x14ac:dyDescent="0.5">
      <c r="A9" s="25"/>
      <c r="B9" s="25"/>
      <c r="C9" s="25"/>
      <c r="D9" s="21"/>
      <c r="E9" s="32" t="s">
        <v>28</v>
      </c>
      <c r="F9" s="28">
        <f>SUM(Tabla3[CANT2])</f>
        <v>442</v>
      </c>
      <c r="G9" s="29">
        <f>(F9*10000000)</f>
        <v>4420000000</v>
      </c>
      <c r="H9" s="21"/>
      <c r="I9" s="119"/>
      <c r="J9" s="21"/>
      <c r="K9" s="6"/>
      <c r="L9" s="179"/>
      <c r="M9" s="179"/>
      <c r="N9" s="179"/>
      <c r="O9" s="179"/>
      <c r="P9" s="179"/>
      <c r="Q9" s="179"/>
      <c r="R9" s="179"/>
      <c r="S9" s="179"/>
    </row>
    <row r="10" spans="1:19" ht="9.75" customHeight="1" x14ac:dyDescent="0.25">
      <c r="A10" s="25"/>
      <c r="B10" s="25"/>
      <c r="C10" s="25"/>
      <c r="D10" s="21"/>
      <c r="E10" s="33"/>
      <c r="F10" s="27"/>
      <c r="G10" s="17"/>
      <c r="H10" s="21"/>
      <c r="I10" s="21"/>
      <c r="J10" s="21"/>
      <c r="K10" s="6"/>
      <c r="L10" s="25"/>
      <c r="M10" s="25"/>
      <c r="N10" s="25"/>
      <c r="O10" s="25"/>
    </row>
    <row r="11" spans="1:19" ht="31.5" x14ac:dyDescent="0.5">
      <c r="A11" s="25"/>
      <c r="B11" s="25"/>
      <c r="C11" s="25"/>
      <c r="D11" s="21"/>
      <c r="E11" s="32" t="s">
        <v>16</v>
      </c>
      <c r="F11" s="28">
        <f>SUM(Tabla3[CANT3])</f>
        <v>265</v>
      </c>
      <c r="G11" s="29">
        <f>(F11*7500000)</f>
        <v>1987500000</v>
      </c>
      <c r="H11" s="21"/>
      <c r="I11" s="187"/>
      <c r="J11" s="21"/>
      <c r="K11" s="6"/>
      <c r="L11" s="25"/>
      <c r="M11" s="25"/>
      <c r="N11" s="25"/>
      <c r="O11" s="25"/>
    </row>
    <row r="12" spans="1:19" ht="9.75" customHeight="1" x14ac:dyDescent="0.35">
      <c r="A12" s="25"/>
      <c r="B12" s="25"/>
      <c r="C12" s="25"/>
      <c r="D12" s="21"/>
      <c r="E12" s="33"/>
      <c r="F12" s="27"/>
      <c r="G12" s="17"/>
      <c r="H12" s="21"/>
      <c r="I12" s="30"/>
      <c r="J12" s="21"/>
      <c r="K12" s="6"/>
      <c r="L12" s="25"/>
      <c r="M12" s="25"/>
      <c r="N12" s="25"/>
      <c r="O12" s="25"/>
    </row>
    <row r="13" spans="1:19" ht="31.5" x14ac:dyDescent="0.5">
      <c r="A13" s="25"/>
      <c r="B13" s="25"/>
      <c r="C13" s="25"/>
      <c r="D13" s="21"/>
      <c r="E13" s="32" t="s">
        <v>29</v>
      </c>
      <c r="F13" s="191">
        <f>SUM(Tabla3[CANT4])</f>
        <v>75</v>
      </c>
      <c r="G13" s="29">
        <f>(F13*500000)</f>
        <v>37500000</v>
      </c>
      <c r="H13" s="21"/>
      <c r="I13" s="188"/>
      <c r="J13" s="21"/>
      <c r="K13" s="6"/>
      <c r="L13" s="25"/>
      <c r="M13" s="25"/>
      <c r="N13" s="25"/>
      <c r="O13" s="25"/>
    </row>
    <row r="14" spans="1:19" ht="9.75" customHeight="1" x14ac:dyDescent="0.45">
      <c r="A14" s="25"/>
      <c r="B14" s="25"/>
      <c r="C14" s="25"/>
      <c r="D14" s="21"/>
      <c r="E14" s="33"/>
      <c r="F14" s="27"/>
      <c r="G14" s="17"/>
      <c r="H14" s="31"/>
      <c r="I14" s="178"/>
      <c r="J14" s="21"/>
      <c r="K14" s="6"/>
      <c r="L14" s="25"/>
      <c r="M14" s="25"/>
      <c r="N14" s="25"/>
      <c r="O14" s="25"/>
    </row>
    <row r="15" spans="1:19" ht="31.5" x14ac:dyDescent="0.5">
      <c r="A15" s="25"/>
      <c r="B15" s="25"/>
      <c r="C15" s="25"/>
      <c r="D15" s="21"/>
      <c r="E15" s="32" t="s">
        <v>150</v>
      </c>
      <c r="F15" s="191">
        <f>SUM(Tabla3[CANT5])</f>
        <v>2</v>
      </c>
      <c r="G15" s="29">
        <f>(F15*12500000)</f>
        <v>25000000</v>
      </c>
      <c r="H15" s="17"/>
      <c r="I15" s="189"/>
      <c r="J15" s="21"/>
      <c r="K15" s="6"/>
      <c r="L15" s="25"/>
      <c r="M15" s="25"/>
      <c r="N15" s="25"/>
      <c r="O15" s="25"/>
    </row>
    <row r="16" spans="1:19" ht="9.75" customHeight="1" x14ac:dyDescent="0.45">
      <c r="A16" s="25"/>
      <c r="B16" s="25"/>
      <c r="C16" s="25"/>
      <c r="D16" s="21"/>
      <c r="E16" s="33"/>
      <c r="F16" s="27"/>
      <c r="G16" s="17"/>
      <c r="H16" s="31"/>
      <c r="I16" s="190"/>
      <c r="J16" s="21"/>
      <c r="K16" s="6"/>
      <c r="L16" s="25"/>
      <c r="M16" s="25"/>
      <c r="N16" s="25"/>
      <c r="O16" s="25"/>
    </row>
    <row r="17" spans="1:15" ht="31.5" x14ac:dyDescent="0.5">
      <c r="A17" s="25"/>
      <c r="B17" s="25"/>
      <c r="C17" s="25"/>
      <c r="D17" s="21"/>
      <c r="E17" s="32" t="s">
        <v>151</v>
      </c>
      <c r="F17" s="191">
        <f>SUM(Tabla3[CANT6])</f>
        <v>5</v>
      </c>
      <c r="G17" s="29">
        <f>(F17*500000)</f>
        <v>2500000</v>
      </c>
      <c r="H17" s="17"/>
      <c r="I17" s="188"/>
      <c r="J17" s="21"/>
      <c r="K17" s="6"/>
      <c r="L17" s="25"/>
      <c r="M17" s="25"/>
      <c r="N17" s="25"/>
      <c r="O17" s="25"/>
    </row>
    <row r="18" spans="1:15" ht="9.75" customHeight="1" x14ac:dyDescent="0.45">
      <c r="A18" s="25"/>
      <c r="B18" s="25"/>
      <c r="C18" s="25"/>
      <c r="D18" s="21"/>
      <c r="E18" s="33"/>
      <c r="F18" s="27"/>
      <c r="G18" s="17"/>
      <c r="H18" s="31"/>
      <c r="I18" s="21"/>
      <c r="J18" s="21"/>
      <c r="K18" s="6"/>
      <c r="L18" s="25"/>
      <c r="M18" s="25"/>
      <c r="N18" s="25"/>
      <c r="O18" s="25"/>
    </row>
    <row r="19" spans="1:15" ht="31.5" x14ac:dyDescent="0.5">
      <c r="A19" s="25"/>
      <c r="B19" s="25"/>
      <c r="C19" s="25"/>
      <c r="D19" s="21"/>
      <c r="E19" s="32" t="s">
        <v>1365</v>
      </c>
      <c r="F19" s="191">
        <v>20</v>
      </c>
      <c r="G19" s="29">
        <f>(F19*15000000)</f>
        <v>300000000</v>
      </c>
      <c r="H19" s="31"/>
      <c r="I19" s="21"/>
      <c r="J19" s="21"/>
      <c r="K19" s="6"/>
      <c r="L19" s="25"/>
      <c r="M19" s="25"/>
      <c r="N19" s="25"/>
      <c r="O19" s="25"/>
    </row>
    <row r="20" spans="1:15" ht="9.75" customHeight="1" x14ac:dyDescent="0.45">
      <c r="A20" s="25"/>
      <c r="B20" s="25"/>
      <c r="C20" s="25"/>
      <c r="D20" s="21"/>
      <c r="E20" s="33"/>
      <c r="F20" s="27"/>
      <c r="G20" s="17"/>
      <c r="H20" s="31"/>
      <c r="I20" s="21"/>
      <c r="J20" s="21"/>
      <c r="K20" s="6"/>
      <c r="L20" s="25"/>
      <c r="M20" s="25"/>
      <c r="N20" s="25"/>
      <c r="O20" s="25"/>
    </row>
    <row r="21" spans="1:15" ht="31.5" x14ac:dyDescent="0.5">
      <c r="A21" s="25"/>
      <c r="B21" s="25"/>
      <c r="C21" s="25"/>
      <c r="D21" s="21"/>
      <c r="E21" s="32" t="s">
        <v>361</v>
      </c>
      <c r="F21" s="191">
        <v>1</v>
      </c>
      <c r="G21" s="29">
        <f>(F21*500000000)</f>
        <v>500000000</v>
      </c>
      <c r="H21" s="21"/>
      <c r="I21" s="119"/>
      <c r="J21" s="21"/>
      <c r="K21" s="6"/>
      <c r="L21" s="25"/>
      <c r="M21" s="25"/>
      <c r="N21" s="25"/>
      <c r="O21" s="25"/>
    </row>
    <row r="22" spans="1:15" ht="9.75" customHeight="1" x14ac:dyDescent="0.25">
      <c r="A22" s="25"/>
      <c r="B22" s="25"/>
      <c r="C22" s="25"/>
      <c r="D22" s="21"/>
      <c r="E22" s="119"/>
      <c r="F22" s="119"/>
      <c r="G22" s="119"/>
      <c r="H22" s="21"/>
      <c r="I22" s="119"/>
      <c r="J22" s="21"/>
      <c r="K22" s="6"/>
      <c r="L22" s="25"/>
      <c r="M22" s="25"/>
      <c r="N22" s="25"/>
      <c r="O22" s="25"/>
    </row>
    <row r="23" spans="1:15" ht="35.25" customHeight="1" x14ac:dyDescent="0.5">
      <c r="A23" s="25"/>
      <c r="B23" s="25"/>
      <c r="C23" s="25"/>
      <c r="D23" s="21"/>
      <c r="E23" s="87" t="s">
        <v>14</v>
      </c>
      <c r="F23" s="66"/>
      <c r="G23" s="177" t="s">
        <v>23</v>
      </c>
      <c r="H23" s="120"/>
      <c r="I23" s="90" t="s">
        <v>95</v>
      </c>
      <c r="J23" s="120"/>
      <c r="K23" s="6"/>
      <c r="L23" s="25"/>
      <c r="M23" s="25"/>
      <c r="N23" s="25"/>
      <c r="O23" s="25"/>
    </row>
    <row r="24" spans="1:15" ht="12.75" customHeight="1" thickBot="1" x14ac:dyDescent="0.3">
      <c r="A24" s="25"/>
      <c r="B24" s="25"/>
      <c r="C24" s="25"/>
      <c r="D24" s="119"/>
      <c r="E24" s="21"/>
      <c r="F24" s="84"/>
      <c r="G24" s="178"/>
      <c r="H24" s="120"/>
      <c r="I24" s="21"/>
      <c r="J24" s="120"/>
      <c r="K24" s="25"/>
      <c r="L24" s="25"/>
      <c r="M24" s="25"/>
      <c r="N24" s="25"/>
      <c r="O24" s="25"/>
    </row>
    <row r="25" spans="1:15" ht="36" customHeight="1" thickBot="1" x14ac:dyDescent="0.6">
      <c r="A25" s="25"/>
      <c r="B25" s="25"/>
      <c r="C25" s="25"/>
      <c r="D25" s="119"/>
      <c r="E25" s="88">
        <f>SUM(G7:G21)</f>
        <v>21082500000</v>
      </c>
      <c r="F25" s="66"/>
      <c r="G25" s="176">
        <f>E25-(E25*10%)</f>
        <v>18974250000</v>
      </c>
      <c r="H25" s="120"/>
      <c r="I25" s="82">
        <f>(G25*1%)</f>
        <v>189742500</v>
      </c>
      <c r="J25" s="120"/>
      <c r="K25" s="25"/>
      <c r="L25" s="25"/>
      <c r="M25" s="25"/>
      <c r="N25" s="25"/>
      <c r="O25" s="25"/>
    </row>
    <row r="26" spans="1:15" ht="12.75" customHeight="1" x14ac:dyDescent="0.25">
      <c r="D26" s="119"/>
      <c r="E26" s="119"/>
      <c r="F26" s="119"/>
      <c r="G26" s="119"/>
      <c r="H26" s="120"/>
      <c r="I26" s="119"/>
      <c r="J26" s="120"/>
      <c r="K26" s="25"/>
      <c r="L26" s="25"/>
      <c r="M26" s="25"/>
      <c r="N26" s="25"/>
      <c r="O26" s="25"/>
    </row>
    <row r="27" spans="1:15" ht="30.75" customHeight="1" x14ac:dyDescent="0.25">
      <c r="E27" s="10"/>
      <c r="F27" s="10"/>
      <c r="G27" s="10"/>
      <c r="H27" s="10"/>
      <c r="J27" s="10"/>
    </row>
    <row r="28" spans="1:15" ht="26.25" customHeight="1" x14ac:dyDescent="0.5">
      <c r="E28" s="10"/>
      <c r="F28" s="10"/>
      <c r="G28" s="10"/>
      <c r="H28" s="10"/>
      <c r="I28" s="85"/>
      <c r="J28" s="10"/>
    </row>
  </sheetData>
  <mergeCells count="8">
    <mergeCell ref="F3:H3"/>
    <mergeCell ref="O3:P3"/>
    <mergeCell ref="L6:N6"/>
    <mergeCell ref="P6:R6"/>
    <mergeCell ref="L7:N7"/>
    <mergeCell ref="P7:R7"/>
    <mergeCell ref="L5:N5"/>
    <mergeCell ref="P5:R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1CEC89-E83F-4A8F-99C8-96C19943B7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DATOS GENERALES</vt:lpstr>
      <vt:lpstr>MATRIZ LISTADO</vt:lpstr>
      <vt:lpstr>RESUMEN INDIVIDUAL</vt:lpstr>
      <vt:lpstr>RESUMEN GENERAL</vt:lpstr>
      <vt:lpstr>'DATOS GENERALES'!_Hlk231065246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Carolina Diaz Suarez</cp:lastModifiedBy>
  <dcterms:created xsi:type="dcterms:W3CDTF">2026-02-10T00:01:49Z</dcterms:created>
  <dcterms:modified xsi:type="dcterms:W3CDTF">2026-09-23T15:02:42Z</dcterms:modified>
</cp:coreProperties>
</file>