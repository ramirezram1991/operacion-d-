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1. NEGOCIOS\2. OPERACION DRAGON\2. GESTIÓN DOCUMENTAL\1. GRUPO 1\MATRICES\"/>
    </mc:Choice>
  </mc:AlternateContent>
  <xr:revisionPtr revIDLastSave="0" documentId="13_ncr:1_{A7180BEC-0472-4FB2-B9E7-8EC7FEF76751}" xr6:coauthVersionLast="47" xr6:coauthVersionMax="47" xr10:uidLastSave="{00000000-0000-0000-0000-000000000000}"/>
  <bookViews>
    <workbookView xWindow="-120" yWindow="-120" windowWidth="29040" windowHeight="15720" activeTab="2" xr2:uid="{48824FEC-42D6-4632-9118-8ADC756F6732}"/>
  </bookViews>
  <sheets>
    <sheet name="DATOS GENERALES" sheetId="1" r:id="rId1"/>
    <sheet name="MATRIZ LISTADO" sheetId="3" r:id="rId2"/>
    <sheet name="RESUMEN INDIVIDUAL" sheetId="4" r:id="rId3"/>
  </sheets>
  <definedNames>
    <definedName name="_xlnm._FilterDatabase" localSheetId="0" hidden="1">'DATOS GENERALES'!$A$1:$S$35</definedName>
    <definedName name="_xlnm._FilterDatabase" localSheetId="1" hidden="1">'MATRIZ LISTADO'!$A$19:$DC$19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5" i="3" l="1"/>
  <c r="K25" i="3"/>
  <c r="K33" i="3"/>
  <c r="L12" i="4"/>
  <c r="L11" i="4"/>
  <c r="F7" i="4"/>
  <c r="K20" i="3"/>
  <c r="I22" i="3"/>
  <c r="I25" i="3"/>
  <c r="I27" i="3"/>
  <c r="I31" i="3"/>
  <c r="I35" i="3"/>
  <c r="G23" i="3"/>
  <c r="G24" i="3"/>
  <c r="G25" i="3"/>
  <c r="G26" i="3"/>
  <c r="G30" i="3"/>
  <c r="E21" i="3"/>
  <c r="E22" i="3"/>
  <c r="E23" i="3"/>
  <c r="E24" i="3"/>
  <c r="E25" i="3"/>
  <c r="E26" i="3"/>
  <c r="E27" i="3"/>
  <c r="E28" i="3"/>
  <c r="E29" i="3"/>
  <c r="E30" i="3"/>
  <c r="E31" i="3"/>
  <c r="E32" i="3"/>
  <c r="E34" i="3"/>
  <c r="E35" i="3"/>
  <c r="E36" i="3"/>
  <c r="AB25" i="3"/>
  <c r="AC25" i="3" s="1"/>
  <c r="AB26" i="3"/>
  <c r="AC26" i="3" s="1"/>
  <c r="F18" i="4"/>
  <c r="G18" i="4" s="1"/>
  <c r="R25" i="3" l="1"/>
  <c r="S25" i="3" s="1"/>
  <c r="V25" i="3" s="1"/>
  <c r="R26" i="3"/>
  <c r="S26" i="3" s="1"/>
  <c r="T26" i="3" s="1"/>
  <c r="R21" i="3"/>
  <c r="U25" i="3" l="1"/>
  <c r="T25" i="3"/>
  <c r="V26" i="3"/>
  <c r="U26" i="3"/>
  <c r="R23" i="3"/>
  <c r="R24" i="3"/>
  <c r="R27" i="3"/>
  <c r="R28" i="3"/>
  <c r="R29" i="3"/>
  <c r="R30" i="3"/>
  <c r="R31" i="3"/>
  <c r="R32" i="3"/>
  <c r="R33" i="3"/>
  <c r="R34" i="3"/>
  <c r="R35" i="3"/>
  <c r="R36" i="3"/>
  <c r="R20" i="3"/>
  <c r="R22" i="3" l="1"/>
  <c r="S36" i="3"/>
  <c r="O4" i="4"/>
  <c r="F20" i="4"/>
  <c r="G20" i="4" s="1"/>
  <c r="A21" i="3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B36" i="3"/>
  <c r="AC36" i="3" s="1"/>
  <c r="S33" i="3" l="1"/>
  <c r="U33" i="3" s="1"/>
  <c r="S30" i="3"/>
  <c r="V30" i="3" s="1"/>
  <c r="S29" i="3"/>
  <c r="T29" i="3" s="1"/>
  <c r="S24" i="3"/>
  <c r="T24" i="3" s="1"/>
  <c r="S35" i="3"/>
  <c r="T35" i="3" s="1"/>
  <c r="S22" i="3"/>
  <c r="U22" i="3" s="1"/>
  <c r="S28" i="3"/>
  <c r="U28" i="3" s="1"/>
  <c r="S23" i="3"/>
  <c r="T23" i="3" s="1"/>
  <c r="S31" i="3"/>
  <c r="T31" i="3" s="1"/>
  <c r="S32" i="3"/>
  <c r="U32" i="3" s="1"/>
  <c r="S27" i="3"/>
  <c r="T27" i="3" s="1"/>
  <c r="S21" i="3"/>
  <c r="V21" i="3" s="1"/>
  <c r="V36" i="3"/>
  <c r="T36" i="3"/>
  <c r="U36" i="3"/>
  <c r="S20" i="3"/>
  <c r="V20" i="3" s="1"/>
  <c r="S34" i="3"/>
  <c r="U34" i="3" s="1"/>
  <c r="V24" i="3" l="1"/>
  <c r="I22" i="4"/>
  <c r="U24" i="3"/>
  <c r="U23" i="3"/>
  <c r="V23" i="3"/>
  <c r="T21" i="3"/>
  <c r="U20" i="3"/>
  <c r="T20" i="3"/>
  <c r="U35" i="3"/>
  <c r="V32" i="3"/>
  <c r="T32" i="3"/>
  <c r="V31" i="3"/>
  <c r="U31" i="3"/>
  <c r="V35" i="3"/>
  <c r="V29" i="3"/>
  <c r="U21" i="3"/>
  <c r="T33" i="3"/>
  <c r="T34" i="3"/>
  <c r="V34" i="3"/>
  <c r="V27" i="3"/>
  <c r="V22" i="3"/>
  <c r="U29" i="3"/>
  <c r="V33" i="3"/>
  <c r="T22" i="3"/>
  <c r="U30" i="3"/>
  <c r="T28" i="3"/>
  <c r="T30" i="3"/>
  <c r="V28" i="3"/>
  <c r="U27" i="3"/>
  <c r="I18" i="4" l="1"/>
  <c r="P11" i="4" s="1"/>
  <c r="P12" i="4"/>
  <c r="L7" i="4"/>
  <c r="AB35" i="3"/>
  <c r="AC35" i="3" s="1"/>
  <c r="AB34" i="3"/>
  <c r="AC34" i="3" s="1"/>
  <c r="AB33" i="3"/>
  <c r="AC33" i="3" s="1"/>
  <c r="AB32" i="3"/>
  <c r="AC32" i="3" s="1"/>
  <c r="AB31" i="3"/>
  <c r="AC31" i="3" s="1"/>
  <c r="AB30" i="3"/>
  <c r="AC30" i="3" s="1"/>
  <c r="AB29" i="3"/>
  <c r="AC29" i="3" s="1"/>
  <c r="AB28" i="3"/>
  <c r="AC28" i="3" s="1"/>
  <c r="AB27" i="3"/>
  <c r="AC27" i="3" s="1"/>
  <c r="AB24" i="3"/>
  <c r="AC24" i="3" s="1"/>
  <c r="AB23" i="3"/>
  <c r="AC23" i="3" s="1"/>
  <c r="AB22" i="3"/>
  <c r="AC22" i="3" s="1"/>
  <c r="AB21" i="3"/>
  <c r="AC21" i="3" s="1"/>
  <c r="AB20" i="3"/>
  <c r="AC20" i="3" s="1"/>
  <c r="F5" i="4" l="1"/>
  <c r="F16" i="4"/>
  <c r="G16" i="4" s="1"/>
  <c r="F14" i="4"/>
  <c r="G14" i="4" s="1"/>
  <c r="F12" i="4"/>
  <c r="G12" i="4" s="1"/>
  <c r="E26" i="4" l="1"/>
  <c r="G26" i="4" s="1"/>
  <c r="I14" i="4" s="1"/>
  <c r="P10" i="4" s="1"/>
  <c r="P9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726A43-A817-49FD-8E53-B3A636B494F2}" keepAlive="1" name="Consulta - Tabla 1" description="Conexión a la consulta 'Tabla 1' en el libro." type="5" refreshedVersion="0" background="1">
    <dbPr connection="Provider=Microsoft.Mashup.OleDb.1;Data Source=$Workbook$;Location=&quot;Tabla 1&quot;;Extended Properties=&quot;&quot;" command="SELECT * FROM [Tabla 1]"/>
  </connection>
</connections>
</file>

<file path=xl/sharedStrings.xml><?xml version="1.0" encoding="utf-8"?>
<sst xmlns="http://schemas.openxmlformats.org/spreadsheetml/2006/main" count="625" uniqueCount="188">
  <si>
    <t>ENVIADO</t>
  </si>
  <si>
    <t>2Q</t>
  </si>
  <si>
    <t>NEQUI</t>
  </si>
  <si>
    <t>6Q</t>
  </si>
  <si>
    <t>1Q</t>
  </si>
  <si>
    <t>SKR SI/NO</t>
  </si>
  <si>
    <t>LIDER</t>
  </si>
  <si>
    <t>MONTO</t>
  </si>
  <si>
    <t>NOMBRE COMPLETO</t>
  </si>
  <si>
    <t>FECHA</t>
  </si>
  <si>
    <t>TOTAL</t>
  </si>
  <si>
    <t>QUINTILLION</t>
  </si>
  <si>
    <t>VIGINTILLION</t>
  </si>
  <si>
    <t>USD</t>
  </si>
  <si>
    <t>PESOS COLOMBIANOS</t>
  </si>
  <si>
    <t>PAGO TOTAL</t>
  </si>
  <si>
    <t xml:space="preserve">LIDER: </t>
  </si>
  <si>
    <t>QUINTILLION 5M</t>
  </si>
  <si>
    <t>NONGENTILLION 10M</t>
  </si>
  <si>
    <t>TOTAL -10%</t>
  </si>
  <si>
    <t>1% PAGO INICIAL</t>
  </si>
  <si>
    <t>FIDUCIA/NUBE</t>
  </si>
  <si>
    <t>LISTA</t>
  </si>
  <si>
    <t>NONGENTILLION</t>
  </si>
  <si>
    <t>MONEDA DE ZIM</t>
  </si>
  <si>
    <t>NOMBRE</t>
  </si>
  <si>
    <t>CC/ID/DNI</t>
  </si>
  <si>
    <t>CANT</t>
  </si>
  <si>
    <t>MONTO3</t>
  </si>
  <si>
    <t>MONTO2</t>
  </si>
  <si>
    <t>MONTO4</t>
  </si>
  <si>
    <t>CC-ID-DNI</t>
  </si>
  <si>
    <t>CANT2</t>
  </si>
  <si>
    <t>CANT4</t>
  </si>
  <si>
    <t>PAGO</t>
  </si>
  <si>
    <t>SI</t>
  </si>
  <si>
    <t>NO</t>
  </si>
  <si>
    <t>FIDUCIA</t>
  </si>
  <si>
    <t>NUBE</t>
  </si>
  <si>
    <t>CANT3</t>
  </si>
  <si>
    <t>VIGINTILLION 7,5M</t>
  </si>
  <si>
    <t>MONEDA ZIMBABWE 500k</t>
  </si>
  <si>
    <t>5Q+2N</t>
  </si>
  <si>
    <t>ID/CC/DNI</t>
  </si>
  <si>
    <t>PASAPORTE</t>
  </si>
  <si>
    <t>PAIS</t>
  </si>
  <si>
    <t>ESTADO</t>
  </si>
  <si>
    <t>DIRECCION</t>
  </si>
  <si>
    <t>COD POSTAL</t>
  </si>
  <si>
    <t>CORREO</t>
  </si>
  <si>
    <t xml:space="preserve">TELEFONO </t>
  </si>
  <si>
    <t>REF</t>
  </si>
  <si>
    <t>COLOMBIA</t>
  </si>
  <si>
    <t>N/A</t>
  </si>
  <si>
    <t>2N</t>
  </si>
  <si>
    <t>BANK</t>
  </si>
  <si>
    <t>1N</t>
  </si>
  <si>
    <t>REFERIDOS</t>
  </si>
  <si>
    <t>GIRO RULETA</t>
  </si>
  <si>
    <t>1V</t>
  </si>
  <si>
    <t>1ZIMCOIN</t>
  </si>
  <si>
    <t>X VENTAS HASTA EL 7 ABRIL</t>
  </si>
  <si>
    <t xml:space="preserve">PORCENTAJES </t>
  </si>
  <si>
    <t>BANCO</t>
  </si>
  <si>
    <t>% FIDUCIA</t>
  </si>
  <si>
    <t>% NUBE</t>
  </si>
  <si>
    <t>100%</t>
  </si>
  <si>
    <t>ORDEN DE PAGOS</t>
  </si>
  <si>
    <t>https://www.dolar-colombia.com/</t>
  </si>
  <si>
    <t>Consulta  con el valor del dólar (TRM) Aquí</t>
  </si>
  <si>
    <t>1% PAGO BANCO</t>
  </si>
  <si>
    <t>PAGO CON DESCUENTOS</t>
  </si>
  <si>
    <t>3Q+1V</t>
  </si>
  <si>
    <t>2Q+1V</t>
  </si>
  <si>
    <t>2Q+5N+2V</t>
  </si>
  <si>
    <t>1Q+1N+1V</t>
  </si>
  <si>
    <t>MONTO5</t>
  </si>
  <si>
    <t>BILLETE DE ZIMBABWE 12,5M</t>
  </si>
  <si>
    <t>AGROCHEQUE50M</t>
  </si>
  <si>
    <t xml:space="preserve">OTROS 
</t>
  </si>
  <si>
    <t>CANT5</t>
  </si>
  <si>
    <t>CANT6</t>
  </si>
  <si>
    <t>MONTO6</t>
  </si>
  <si>
    <t>CANT7</t>
  </si>
  <si>
    <t>MONTO7</t>
  </si>
  <si>
    <t>AGROCHEQUE ZIM</t>
  </si>
  <si>
    <t>PRODUCTO / MATERIAL</t>
  </si>
  <si>
    <t xml:space="preserve">PASAPORTE + 3 MESES </t>
  </si>
  <si>
    <t>1AGRO+1N</t>
  </si>
  <si>
    <t>SORTEO</t>
  </si>
  <si>
    <t>PREMIO</t>
  </si>
  <si>
    <t>3N</t>
  </si>
  <si>
    <t>OBSERVACIONES</t>
  </si>
  <si>
    <t>CIS</t>
  </si>
  <si>
    <t>ALVARO DARWIN LOPEZ AUSECHA</t>
  </si>
  <si>
    <t>CAUCA</t>
  </si>
  <si>
    <t>POPAYAN</t>
  </si>
  <si>
    <t>CALLE 48 #9-126</t>
  </si>
  <si>
    <t>lopez-aus@hotmail.com</t>
  </si>
  <si>
    <t>(+57) 3206900466</t>
  </si>
  <si>
    <t>M12115480</t>
  </si>
  <si>
    <t>DIONISE LOPEZ</t>
  </si>
  <si>
    <t>ANDRES FELIPE PAPAMIJA LOPEZ</t>
  </si>
  <si>
    <t>TIMBIO</t>
  </si>
  <si>
    <t>VDA CINCO DIAS</t>
  </si>
  <si>
    <t>andreslopez28041999@gmail.com</t>
  </si>
  <si>
    <t>(+57) 3217701758</t>
  </si>
  <si>
    <t>M15858773</t>
  </si>
  <si>
    <t>BETTY YASMIN NAVARRO ASTAIZA</t>
  </si>
  <si>
    <t>beyanasta23@gmail.com</t>
  </si>
  <si>
    <t>(+57) 3234949767</t>
  </si>
  <si>
    <t>M07474069</t>
  </si>
  <si>
    <t>DANIEL FERNANDO SANCHEZ LOPEZ</t>
  </si>
  <si>
    <t>CL 25 CR 8A - 74</t>
  </si>
  <si>
    <t>danielsanchez50796@gmail.com</t>
  </si>
  <si>
    <t>(+57) 3007493711</t>
  </si>
  <si>
    <t>M08836861</t>
  </si>
  <si>
    <t>DIANA ISABELA SANCHEZ LOPEZ</t>
  </si>
  <si>
    <t>POPPAYAN</t>
  </si>
  <si>
    <t>lopezisabela570@gmail.com</t>
  </si>
  <si>
    <t>(+57) 3217631451</t>
  </si>
  <si>
    <t>M20813708</t>
  </si>
  <si>
    <t>DIONISE LOPEZ ASTAIZA</t>
  </si>
  <si>
    <t>lopezdiony77@gmail.com</t>
  </si>
  <si>
    <t>(+57) 3167816979</t>
  </si>
  <si>
    <t>2Q+3N</t>
  </si>
  <si>
    <t>M14084136</t>
  </si>
  <si>
    <t>M11070448</t>
  </si>
  <si>
    <t>M09534159</t>
  </si>
  <si>
    <t>M08792546</t>
  </si>
  <si>
    <t>3 REFERIDOS SEMANA</t>
  </si>
  <si>
    <t>M05675096</t>
  </si>
  <si>
    <t>M09276393</t>
  </si>
  <si>
    <t>EVENCIO LOPEZ ASTAIZA</t>
  </si>
  <si>
    <t>elopezastaiza@gmail.com</t>
  </si>
  <si>
    <t>(+57) 3125639070</t>
  </si>
  <si>
    <t>M15907095</t>
  </si>
  <si>
    <t>EVER LIONEY SANCHEZ GARZON</t>
  </si>
  <si>
    <t>lioneygarzon12@gmail.com</t>
  </si>
  <si>
    <t>(+57) 3127184009</t>
  </si>
  <si>
    <t>M14498831</t>
  </si>
  <si>
    <t>FRANCI LUDIVIA LOPEZ EUCECHA</t>
  </si>
  <si>
    <t>CARRERA 18B. 12C 79</t>
  </si>
  <si>
    <t>francilopez.e@gmail.com</t>
  </si>
  <si>
    <t>(+57) 3122826145</t>
  </si>
  <si>
    <t>M19419111</t>
  </si>
  <si>
    <t>JOSE MIGUEL LOPEZ ASTAIZA</t>
  </si>
  <si>
    <t>VEREDA PUEBLO NUEVO FIGUEROA</t>
  </si>
  <si>
    <t>josemiguellopezlopez06@gmail.com</t>
  </si>
  <si>
    <t>(+57) 3117805232</t>
  </si>
  <si>
    <t>M12154706</t>
  </si>
  <si>
    <t>LISETD DAYANA LOPEZ YASNO</t>
  </si>
  <si>
    <t>lisetd.lopez.y@gmil.com</t>
  </si>
  <si>
    <t>(+57) 3126820259</t>
  </si>
  <si>
    <t>M16307870</t>
  </si>
  <si>
    <t>MARY SENEIDA COLLAZOS LOPEZ</t>
  </si>
  <si>
    <t>RISARALDA</t>
  </si>
  <si>
    <t>PEREIRA</t>
  </si>
  <si>
    <t>CRA41C 63_81 MAZB CASA816</t>
  </si>
  <si>
    <t>mary090106@gmail.com</t>
  </si>
  <si>
    <t>(+57) 3116225060</t>
  </si>
  <si>
    <t>M17824194</t>
  </si>
  <si>
    <t>MIGUEL ANGEL LOPEZ ASTAIZA</t>
  </si>
  <si>
    <t>miguellopezastaiza@gmail.com</t>
  </si>
  <si>
    <t>(+57) 3132883288</t>
  </si>
  <si>
    <t>M22301970</t>
  </si>
  <si>
    <t>OLIMPO LOPEZ ASTAIZA</t>
  </si>
  <si>
    <t>pipolopez521@gmail.com</t>
  </si>
  <si>
    <t>(+57) 3113394573</t>
  </si>
  <si>
    <t>M11815133</t>
  </si>
  <si>
    <t>VIANNEY ANTONIO COLLAZOS LOPEZ</t>
  </si>
  <si>
    <t>MZI CS 2PS2</t>
  </si>
  <si>
    <t>antoniocollazos38@gmail.com</t>
  </si>
  <si>
    <t>(+57) 3217845342</t>
  </si>
  <si>
    <t>M14761737</t>
  </si>
  <si>
    <t>YISSELA ZULEIMABECERRA PAPAMIJA</t>
  </si>
  <si>
    <t>CRA 7 7-38 LOC 27</t>
  </si>
  <si>
    <t>aanty.becerrapapamija@gmail.com</t>
  </si>
  <si>
    <t>(+57) 3123717342</t>
  </si>
  <si>
    <t>M20221464</t>
  </si>
  <si>
    <t>YULY LOPEZ LONGO</t>
  </si>
  <si>
    <t>QUINTAS DE SAN CAMILO</t>
  </si>
  <si>
    <t>jl4078210@gmail.com</t>
  </si>
  <si>
    <t>(+57) 3137752889</t>
  </si>
  <si>
    <t>M09128046</t>
  </si>
  <si>
    <t xml:space="preserve">DIONISE LOPEZ </t>
  </si>
  <si>
    <t>X VENTAS HASTA EL 8 MAYO</t>
  </si>
  <si>
    <t>44Q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</si>
</sst>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\ #,##0"/>
    <numFmt numFmtId="165" formatCode="d/mm/yyyy;@"/>
    <numFmt numFmtId="166" formatCode="dd/mm/yyyy;@"/>
    <numFmt numFmtId="167" formatCode="&quot;$&quot;\ #,##0.00"/>
    <numFmt numFmtId="168" formatCode="[$-F800]dddd\,\ mmmm\ dd\,\ yyyy"/>
    <numFmt numFmtId="169" formatCode="#,##0.0"/>
  </numFmts>
  <fonts count="62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2"/>
      <color theme="1"/>
      <name val="Arial Black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4" tint="0.79998168889431442"/>
      <name val="Calibri"/>
      <family val="2"/>
      <scheme val="minor"/>
    </font>
    <font>
      <b/>
      <sz val="26"/>
      <color theme="4" tint="0.79998168889431442"/>
      <name val="Calibri"/>
      <family val="2"/>
      <scheme val="minor"/>
    </font>
    <font>
      <b/>
      <sz val="20"/>
      <color theme="4" tint="0.79998168889431442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6"/>
      <color rgb="FF000000"/>
      <name val="Arial"/>
      <family val="2"/>
    </font>
    <font>
      <b/>
      <sz val="18"/>
      <name val="Calibri"/>
      <family val="2"/>
      <scheme val="minor"/>
    </font>
    <font>
      <b/>
      <sz val="16"/>
      <color theme="1"/>
      <name val="Arial Black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6"/>
      <color theme="0" tint="-0.249977111117893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48"/>
      <color theme="6" tint="-0.249977111117893"/>
      <name val="Britannic Bold"/>
      <family val="2"/>
    </font>
    <font>
      <sz val="11"/>
      <name val="Calibri"/>
      <family val="2"/>
      <scheme val="minor"/>
    </font>
    <font>
      <sz val="20"/>
      <color theme="1"/>
      <name val="Bahnschrift SemiBold SemiConden"/>
      <family val="2"/>
    </font>
    <font>
      <b/>
      <sz val="26"/>
      <color theme="5" tint="0.79998168889431442"/>
      <name val="Calibri"/>
      <family val="2"/>
      <scheme val="minor"/>
    </font>
    <font>
      <b/>
      <sz val="2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32"/>
      <color theme="6" tint="-0.249977111117893"/>
      <name val="Britannic Bold"/>
      <family val="2"/>
    </font>
    <font>
      <u/>
      <sz val="10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8"/>
      <color theme="0" tint="-4.9989318521683403E-2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0" tint="-4.9989318521683403E-2"/>
      <name val="Calibri"/>
      <family val="2"/>
      <scheme val="minor"/>
    </font>
    <font>
      <b/>
      <sz val="12"/>
      <color rgb="FF9C5700"/>
      <name val="Calibri"/>
      <family val="2"/>
      <scheme val="minor"/>
    </font>
    <font>
      <sz val="8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0"/>
      <color rgb="FF000000"/>
      <name val="Algerian"/>
      <family val="5"/>
    </font>
    <font>
      <b/>
      <sz val="14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scadia Code Light"/>
      <family val="3"/>
    </font>
    <font>
      <b/>
      <sz val="12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FDBF9"/>
        <bgColor indexed="64"/>
      </patternFill>
    </fill>
    <fill>
      <patternFill patternType="solid">
        <fgColor rgb="FF72FA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6" tint="0.3999755851924192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6" tint="0.3999755851924192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6" fillId="2" borderId="0" applyNumberFormat="0" applyBorder="0" applyAlignment="0" applyProtection="0"/>
    <xf numFmtId="0" fontId="7" fillId="3" borderId="1" applyNumberFormat="0" applyAlignment="0" applyProtection="0"/>
    <xf numFmtId="0" fontId="8" fillId="0" borderId="0"/>
    <xf numFmtId="0" fontId="5" fillId="0" borderId="0"/>
    <xf numFmtId="0" fontId="3" fillId="0" borderId="0"/>
    <xf numFmtId="0" fontId="2" fillId="21" borderId="0" applyNumberFormat="0" applyBorder="0" applyAlignment="0" applyProtection="0"/>
    <xf numFmtId="0" fontId="48" fillId="0" borderId="0" applyNumberFormat="0" applyFill="0" applyBorder="0" applyAlignment="0" applyProtection="0"/>
    <xf numFmtId="0" fontId="1" fillId="0" borderId="0"/>
  </cellStyleXfs>
  <cellXfs count="173">
    <xf numFmtId="0" fontId="0" fillId="0" borderId="0" xfId="0"/>
    <xf numFmtId="0" fontId="9" fillId="4" borderId="0" xfId="1" applyFont="1" applyFill="1" applyBorder="1"/>
    <xf numFmtId="0" fontId="10" fillId="0" borderId="0" xfId="0" applyFont="1" applyAlignment="1">
      <alignment vertical="center"/>
    </xf>
    <xf numFmtId="0" fontId="8" fillId="4" borderId="0" xfId="3" applyFill="1"/>
    <xf numFmtId="0" fontId="12" fillId="4" borderId="0" xfId="3" applyFont="1" applyFill="1" applyAlignment="1">
      <alignment horizontal="right"/>
    </xf>
    <xf numFmtId="167" fontId="12" fillId="4" borderId="0" xfId="3" applyNumberFormat="1" applyFont="1" applyFill="1" applyAlignment="1">
      <alignment vertical="center"/>
    </xf>
    <xf numFmtId="0" fontId="5" fillId="4" borderId="0" xfId="4" applyFill="1" applyAlignment="1">
      <alignment horizontal="center"/>
    </xf>
    <xf numFmtId="0" fontId="5" fillId="4" borderId="0" xfId="4" applyFill="1"/>
    <xf numFmtId="0" fontId="5" fillId="4" borderId="0" xfId="4" applyFill="1" applyAlignment="1">
      <alignment horizontal="center" vertical="center"/>
    </xf>
    <xf numFmtId="0" fontId="5" fillId="10" borderId="0" xfId="4" applyFill="1" applyAlignment="1">
      <alignment horizontal="center" vertical="center"/>
    </xf>
    <xf numFmtId="0" fontId="5" fillId="0" borderId="0" xfId="4"/>
    <xf numFmtId="0" fontId="5" fillId="0" borderId="0" xfId="4" applyAlignment="1">
      <alignment horizontal="center"/>
    </xf>
    <xf numFmtId="1" fontId="8" fillId="4" borderId="0" xfId="3" applyNumberFormat="1" applyFill="1" applyAlignment="1">
      <alignment horizontal="left"/>
    </xf>
    <xf numFmtId="164" fontId="8" fillId="4" borderId="0" xfId="3" applyNumberFormat="1" applyFill="1" applyAlignment="1">
      <alignment horizontal="center"/>
    </xf>
    <xf numFmtId="49" fontId="8" fillId="4" borderId="0" xfId="3" applyNumberFormat="1" applyFill="1"/>
    <xf numFmtId="0" fontId="8" fillId="4" borderId="0" xfId="3" applyFill="1" applyAlignment="1">
      <alignment horizontal="left"/>
    </xf>
    <xf numFmtId="0" fontId="4" fillId="14" borderId="0" xfId="4" applyFont="1" applyFill="1" applyAlignment="1">
      <alignment horizontal="center"/>
    </xf>
    <xf numFmtId="0" fontId="5" fillId="14" borderId="0" xfId="4" applyFill="1" applyAlignment="1">
      <alignment horizontal="center"/>
    </xf>
    <xf numFmtId="0" fontId="5" fillId="4" borderId="0" xfId="4" applyFill="1" applyBorder="1" applyAlignment="1">
      <alignment horizontal="center"/>
    </xf>
    <xf numFmtId="0" fontId="18" fillId="12" borderId="7" xfId="4" applyNumberFormat="1" applyFont="1" applyFill="1" applyBorder="1" applyAlignment="1">
      <alignment horizontal="center" vertical="center" wrapText="1"/>
    </xf>
    <xf numFmtId="0" fontId="19" fillId="12" borderId="7" xfId="4" applyNumberFormat="1" applyFont="1" applyFill="1" applyBorder="1" applyAlignment="1">
      <alignment horizontal="center" vertical="center" wrapText="1"/>
    </xf>
    <xf numFmtId="0" fontId="20" fillId="12" borderId="7" xfId="4" applyNumberFormat="1" applyFont="1" applyFill="1" applyBorder="1" applyAlignment="1">
      <alignment horizontal="center" vertical="center" wrapText="1"/>
    </xf>
    <xf numFmtId="0" fontId="5" fillId="17" borderId="0" xfId="4" applyFill="1" applyBorder="1" applyAlignment="1">
      <alignment horizontal="center"/>
    </xf>
    <xf numFmtId="0" fontId="25" fillId="13" borderId="0" xfId="4" applyFont="1" applyFill="1" applyAlignment="1">
      <alignment horizontal="center"/>
    </xf>
    <xf numFmtId="0" fontId="22" fillId="4" borderId="0" xfId="4" applyFont="1" applyFill="1" applyAlignment="1">
      <alignment horizontal="center"/>
    </xf>
    <xf numFmtId="0" fontId="34" fillId="12" borderId="5" xfId="4" applyNumberFormat="1" applyFont="1" applyFill="1" applyBorder="1" applyAlignment="1">
      <alignment horizontal="center" vertical="center"/>
    </xf>
    <xf numFmtId="0" fontId="0" fillId="4" borderId="0" xfId="0" applyFill="1"/>
    <xf numFmtId="0" fontId="15" fillId="4" borderId="0" xfId="4" applyFont="1" applyFill="1" applyAlignment="1">
      <alignment horizontal="right" vertical="center"/>
    </xf>
    <xf numFmtId="0" fontId="5" fillId="17" borderId="0" xfId="4" applyFill="1" applyAlignment="1">
      <alignment horizontal="center"/>
    </xf>
    <xf numFmtId="0" fontId="37" fillId="14" borderId="0" xfId="4" applyFont="1" applyFill="1" applyAlignment="1">
      <alignment horizontal="center"/>
    </xf>
    <xf numFmtId="0" fontId="22" fillId="7" borderId="0" xfId="4" applyFont="1" applyFill="1" applyAlignment="1">
      <alignment horizontal="center"/>
    </xf>
    <xf numFmtId="164" fontId="30" fillId="4" borderId="0" xfId="4" applyNumberFormat="1" applyFont="1" applyFill="1" applyAlignment="1">
      <alignment horizontal="center"/>
    </xf>
    <xf numFmtId="0" fontId="16" fillId="17" borderId="0" xfId="4" applyFont="1" applyFill="1" applyAlignment="1">
      <alignment horizontal="center"/>
    </xf>
    <xf numFmtId="0" fontId="29" fillId="17" borderId="0" xfId="4" applyFont="1" applyFill="1" applyAlignment="1">
      <alignment horizontal="center"/>
    </xf>
    <xf numFmtId="0" fontId="38" fillId="14" borderId="0" xfId="4" applyFont="1" applyFill="1" applyAlignment="1">
      <alignment horizontal="right" vertical="center"/>
    </xf>
    <xf numFmtId="0" fontId="38" fillId="14" borderId="0" xfId="4" applyFont="1" applyFill="1" applyAlignment="1">
      <alignment horizontal="center" vertical="center"/>
    </xf>
    <xf numFmtId="0" fontId="31" fillId="4" borderId="0" xfId="4" applyFont="1" applyFill="1" applyBorder="1" applyAlignment="1">
      <alignment horizontal="center"/>
    </xf>
    <xf numFmtId="0" fontId="18" fillId="19" borderId="7" xfId="4" applyNumberFormat="1" applyFont="1" applyFill="1" applyBorder="1" applyAlignment="1">
      <alignment horizontal="center" vertical="center" wrapText="1"/>
    </xf>
    <xf numFmtId="0" fontId="19" fillId="19" borderId="7" xfId="4" applyNumberFormat="1" applyFont="1" applyFill="1" applyBorder="1" applyAlignment="1">
      <alignment horizontal="center" vertical="center" wrapText="1"/>
    </xf>
    <xf numFmtId="0" fontId="20" fillId="19" borderId="7" xfId="4" applyNumberFormat="1" applyFont="1" applyFill="1" applyBorder="1" applyAlignment="1">
      <alignment horizontal="center" vertical="center" wrapText="1"/>
    </xf>
    <xf numFmtId="0" fontId="24" fillId="4" borderId="0" xfId="4" applyFont="1" applyFill="1" applyAlignment="1">
      <alignment horizontal="center"/>
    </xf>
    <xf numFmtId="0" fontId="27" fillId="5" borderId="5" xfId="4" applyFont="1" applyFill="1" applyBorder="1" applyAlignment="1">
      <alignment horizontal="center" vertical="center" wrapText="1"/>
    </xf>
    <xf numFmtId="0" fontId="27" fillId="5" borderId="6" xfId="4" applyFont="1" applyFill="1" applyBorder="1" applyAlignment="1">
      <alignment horizontal="center" vertical="center" wrapText="1"/>
    </xf>
    <xf numFmtId="0" fontId="27" fillId="15" borderId="5" xfId="4" applyFont="1" applyFill="1" applyBorder="1" applyAlignment="1">
      <alignment horizontal="center" vertical="center" wrapText="1"/>
    </xf>
    <xf numFmtId="0" fontId="27" fillId="15" borderId="6" xfId="4" applyFont="1" applyFill="1" applyBorder="1" applyAlignment="1">
      <alignment horizontal="center" vertical="center" wrapText="1"/>
    </xf>
    <xf numFmtId="0" fontId="27" fillId="9" borderId="5" xfId="4" applyFont="1" applyFill="1" applyBorder="1" applyAlignment="1">
      <alignment horizontal="center" vertical="center" wrapText="1"/>
    </xf>
    <xf numFmtId="0" fontId="27" fillId="9" borderId="6" xfId="4" applyFont="1" applyFill="1" applyBorder="1" applyAlignment="1">
      <alignment horizontal="center" vertical="center" wrapText="1"/>
    </xf>
    <xf numFmtId="0" fontId="27" fillId="17" borderId="5" xfId="4" applyFont="1" applyFill="1" applyBorder="1" applyAlignment="1">
      <alignment horizontal="center" vertical="center" wrapText="1"/>
    </xf>
    <xf numFmtId="0" fontId="27" fillId="17" borderId="6" xfId="4" applyFont="1" applyFill="1" applyBorder="1" applyAlignment="1">
      <alignment horizontal="center" vertical="center" wrapText="1"/>
    </xf>
    <xf numFmtId="165" fontId="8" fillId="4" borderId="0" xfId="3" applyNumberFormat="1" applyFill="1"/>
    <xf numFmtId="164" fontId="17" fillId="4" borderId="15" xfId="4" applyNumberFormat="1" applyFont="1" applyFill="1" applyBorder="1" applyAlignment="1">
      <alignment horizontal="center"/>
    </xf>
    <xf numFmtId="164" fontId="21" fillId="0" borderId="15" xfId="4" applyNumberFormat="1" applyFont="1" applyFill="1" applyBorder="1" applyAlignment="1">
      <alignment horizontal="right"/>
    </xf>
    <xf numFmtId="164" fontId="21" fillId="0" borderId="10" xfId="4" applyNumberFormat="1" applyFont="1" applyFill="1" applyBorder="1" applyAlignment="1">
      <alignment horizontal="right"/>
    </xf>
    <xf numFmtId="164" fontId="22" fillId="0" borderId="9" xfId="4" applyNumberFormat="1" applyFont="1" applyFill="1" applyBorder="1" applyAlignment="1">
      <alignment horizontal="right"/>
    </xf>
    <xf numFmtId="164" fontId="22" fillId="0" borderId="11" xfId="4" applyNumberFormat="1" applyFont="1" applyFill="1" applyBorder="1" applyAlignment="1">
      <alignment horizontal="right"/>
    </xf>
    <xf numFmtId="0" fontId="8" fillId="4" borderId="0" xfId="3" applyFill="1" applyAlignment="1">
      <alignment horizontal="center"/>
    </xf>
    <xf numFmtId="166" fontId="8" fillId="4" borderId="0" xfId="3" applyNumberFormat="1" applyFill="1"/>
    <xf numFmtId="0" fontId="40" fillId="4" borderId="0" xfId="4" applyFont="1" applyFill="1" applyBorder="1" applyAlignment="1"/>
    <xf numFmtId="0" fontId="8" fillId="6" borderId="0" xfId="3" applyFill="1"/>
    <xf numFmtId="1" fontId="8" fillId="4" borderId="0" xfId="3" applyNumberFormat="1" applyFill="1" applyAlignment="1">
      <alignment horizontal="right"/>
    </xf>
    <xf numFmtId="0" fontId="8" fillId="0" borderId="0" xfId="3"/>
    <xf numFmtId="165" fontId="8" fillId="4" borderId="0" xfId="3" applyNumberFormat="1" applyFill="1" applyAlignment="1">
      <alignment horizontal="right"/>
    </xf>
    <xf numFmtId="49" fontId="8" fillId="4" borderId="0" xfId="3" applyNumberFormat="1" applyFill="1" applyAlignment="1">
      <alignment horizontal="left"/>
    </xf>
    <xf numFmtId="164" fontId="8" fillId="4" borderId="0" xfId="3" applyNumberFormat="1" applyFill="1"/>
    <xf numFmtId="164" fontId="21" fillId="0" borderId="3" xfId="4" applyNumberFormat="1" applyFont="1" applyFill="1" applyBorder="1" applyAlignment="1">
      <alignment horizontal="right"/>
    </xf>
    <xf numFmtId="3" fontId="17" fillId="4" borderId="15" xfId="4" applyNumberFormat="1" applyFont="1" applyFill="1" applyBorder="1" applyAlignment="1">
      <alignment horizontal="center"/>
    </xf>
    <xf numFmtId="0" fontId="17" fillId="0" borderId="9" xfId="4" applyNumberFormat="1" applyFont="1" applyFill="1" applyBorder="1" applyAlignment="1">
      <alignment horizontal="center"/>
    </xf>
    <xf numFmtId="0" fontId="17" fillId="0" borderId="10" xfId="4" applyNumberFormat="1" applyFont="1" applyFill="1" applyBorder="1" applyAlignment="1">
      <alignment horizontal="center"/>
    </xf>
    <xf numFmtId="0" fontId="22" fillId="17" borderId="0" xfId="4" applyFont="1" applyFill="1" applyAlignment="1">
      <alignment horizontal="center"/>
    </xf>
    <xf numFmtId="0" fontId="43" fillId="4" borderId="0" xfId="4" applyFont="1" applyFill="1" applyAlignment="1">
      <alignment horizontal="center" wrapText="1"/>
    </xf>
    <xf numFmtId="0" fontId="44" fillId="4" borderId="0" xfId="4" applyFont="1" applyFill="1"/>
    <xf numFmtId="0" fontId="39" fillId="20" borderId="7" xfId="4" applyFont="1" applyFill="1" applyBorder="1" applyAlignment="1">
      <alignment horizontal="center" vertical="center" wrapText="1"/>
    </xf>
    <xf numFmtId="0" fontId="39" fillId="23" borderId="8" xfId="4" applyFont="1" applyFill="1" applyBorder="1" applyAlignment="1">
      <alignment horizontal="center" vertical="center" wrapText="1"/>
    </xf>
    <xf numFmtId="0" fontId="23" fillId="11" borderId="7" xfId="4" applyFont="1" applyFill="1" applyBorder="1" applyAlignment="1">
      <alignment horizontal="center" vertical="center" wrapText="1"/>
    </xf>
    <xf numFmtId="0" fontId="23" fillId="11" borderId="8" xfId="4" applyFont="1" applyFill="1" applyBorder="1" applyAlignment="1">
      <alignment horizontal="center" vertical="center" wrapText="1"/>
    </xf>
    <xf numFmtId="0" fontId="23" fillId="9" borderId="7" xfId="4" applyFont="1" applyFill="1" applyBorder="1" applyAlignment="1">
      <alignment horizontal="center" vertical="center" wrapText="1"/>
    </xf>
    <xf numFmtId="9" fontId="23" fillId="17" borderId="8" xfId="4" applyNumberFormat="1" applyFont="1" applyFill="1" applyBorder="1" applyAlignment="1">
      <alignment horizontal="center" vertical="center" wrapText="1"/>
    </xf>
    <xf numFmtId="0" fontId="44" fillId="4" borderId="0" xfId="4" applyFont="1" applyFill="1" applyAlignment="1">
      <alignment horizontal="center" vertical="center"/>
    </xf>
    <xf numFmtId="0" fontId="13" fillId="0" borderId="0" xfId="0" applyFont="1"/>
    <xf numFmtId="0" fontId="39" fillId="20" borderId="16" xfId="4" applyFont="1" applyFill="1" applyBorder="1" applyAlignment="1">
      <alignment horizontal="center" vertical="center" wrapText="1"/>
    </xf>
    <xf numFmtId="0" fontId="20" fillId="19" borderId="7" xfId="4" applyFont="1" applyFill="1" applyBorder="1" applyAlignment="1">
      <alignment horizontal="center" vertical="center" wrapText="1"/>
    </xf>
    <xf numFmtId="164" fontId="21" fillId="4" borderId="0" xfId="4" applyNumberFormat="1" applyFont="1" applyFill="1" applyBorder="1" applyAlignment="1">
      <alignment horizontal="center"/>
    </xf>
    <xf numFmtId="9" fontId="21" fillId="4" borderId="0" xfId="4" applyNumberFormat="1" applyFont="1" applyFill="1" applyBorder="1" applyAlignment="1">
      <alignment horizontal="center"/>
    </xf>
    <xf numFmtId="164" fontId="21" fillId="24" borderId="0" xfId="4" applyNumberFormat="1" applyFont="1" applyFill="1" applyBorder="1" applyAlignment="1">
      <alignment horizontal="center"/>
    </xf>
    <xf numFmtId="9" fontId="42" fillId="24" borderId="0" xfId="4" applyNumberFormat="1" applyFont="1" applyFill="1" applyBorder="1" applyAlignment="1">
      <alignment horizontal="center"/>
    </xf>
    <xf numFmtId="164" fontId="31" fillId="25" borderId="2" xfId="4" applyNumberFormat="1" applyFont="1" applyFill="1" applyBorder="1" applyAlignment="1">
      <alignment horizontal="center"/>
    </xf>
    <xf numFmtId="164" fontId="30" fillId="25" borderId="2" xfId="4" applyNumberFormat="1" applyFont="1" applyFill="1" applyBorder="1" applyAlignment="1">
      <alignment horizontal="center"/>
    </xf>
    <xf numFmtId="0" fontId="37" fillId="17" borderId="0" xfId="4" applyFont="1" applyFill="1" applyAlignment="1">
      <alignment horizontal="center"/>
    </xf>
    <xf numFmtId="164" fontId="30" fillId="0" borderId="0" xfId="4" applyNumberFormat="1" applyFont="1" applyFill="1" applyAlignment="1">
      <alignment horizontal="center"/>
    </xf>
    <xf numFmtId="0" fontId="0" fillId="0" borderId="0" xfId="0" applyFill="1"/>
    <xf numFmtId="0" fontId="5" fillId="0" borderId="0" xfId="4" applyFill="1" applyAlignment="1"/>
    <xf numFmtId="0" fontId="41" fillId="17" borderId="0" xfId="4" applyFont="1" applyFill="1" applyAlignment="1">
      <alignment horizontal="center"/>
    </xf>
    <xf numFmtId="0" fontId="46" fillId="18" borderId="0" xfId="4" applyFont="1" applyFill="1" applyBorder="1" applyAlignment="1">
      <alignment horizontal="center"/>
    </xf>
    <xf numFmtId="0" fontId="5" fillId="17" borderId="20" xfId="4" applyFill="1" applyBorder="1" applyAlignment="1">
      <alignment horizontal="center"/>
    </xf>
    <xf numFmtId="164" fontId="31" fillId="4" borderId="0" xfId="4" applyNumberFormat="1" applyFont="1" applyFill="1" applyBorder="1" applyAlignment="1">
      <alignment horizontal="center"/>
    </xf>
    <xf numFmtId="0" fontId="32" fillId="18" borderId="19" xfId="4" applyFont="1" applyFill="1" applyBorder="1" applyAlignment="1">
      <alignment horizontal="center"/>
    </xf>
    <xf numFmtId="164" fontId="31" fillId="4" borderId="21" xfId="4" applyNumberFormat="1" applyFont="1" applyFill="1" applyBorder="1" applyAlignment="1">
      <alignment horizontal="center"/>
    </xf>
    <xf numFmtId="0" fontId="17" fillId="7" borderId="13" xfId="4" applyFont="1" applyFill="1" applyBorder="1" applyAlignment="1">
      <alignment horizontal="center" vertical="center"/>
    </xf>
    <xf numFmtId="0" fontId="32" fillId="18" borderId="0" xfId="4" applyFont="1" applyFill="1" applyBorder="1" applyAlignment="1">
      <alignment horizontal="center" vertical="center"/>
    </xf>
    <xf numFmtId="0" fontId="33" fillId="18" borderId="0" xfId="4" applyFont="1" applyFill="1" applyAlignment="1">
      <alignment horizontal="center" vertical="center"/>
    </xf>
    <xf numFmtId="0" fontId="48" fillId="4" borderId="0" xfId="7" applyFill="1" applyAlignment="1">
      <alignment vertical="center"/>
    </xf>
    <xf numFmtId="9" fontId="50" fillId="23" borderId="0" xfId="3" applyNumberFormat="1" applyFont="1" applyFill="1" applyAlignment="1">
      <alignment horizontal="right"/>
    </xf>
    <xf numFmtId="0" fontId="53" fillId="23" borderId="0" xfId="3" applyFont="1" applyFill="1" applyAlignment="1">
      <alignment horizontal="right"/>
    </xf>
    <xf numFmtId="9" fontId="53" fillId="23" borderId="0" xfId="3" applyNumberFormat="1" applyFont="1" applyFill="1" applyAlignment="1">
      <alignment horizontal="right"/>
    </xf>
    <xf numFmtId="167" fontId="14" fillId="5" borderId="2" xfId="3" applyNumberFormat="1" applyFont="1" applyFill="1" applyBorder="1" applyAlignment="1">
      <alignment vertical="center"/>
    </xf>
    <xf numFmtId="1" fontId="8" fillId="0" borderId="0" xfId="3" applyNumberFormat="1" applyAlignment="1">
      <alignment horizontal="left"/>
    </xf>
    <xf numFmtId="0" fontId="30" fillId="16" borderId="0" xfId="4" applyFont="1" applyFill="1" applyAlignment="1">
      <alignment horizontal="center"/>
    </xf>
    <xf numFmtId="0" fontId="26" fillId="0" borderId="9" xfId="4" applyFont="1" applyBorder="1" applyAlignment="1">
      <alignment horizontal="left"/>
    </xf>
    <xf numFmtId="0" fontId="17" fillId="4" borderId="15" xfId="4" applyFont="1" applyFill="1" applyBorder="1" applyAlignment="1">
      <alignment horizontal="center"/>
    </xf>
    <xf numFmtId="0" fontId="26" fillId="0" borderId="11" xfId="4" applyFont="1" applyBorder="1" applyAlignment="1">
      <alignment horizontal="left"/>
    </xf>
    <xf numFmtId="9" fontId="42" fillId="24" borderId="0" xfId="4" applyNumberFormat="1" applyFont="1" applyFill="1" applyAlignment="1">
      <alignment horizontal="center"/>
    </xf>
    <xf numFmtId="0" fontId="35" fillId="12" borderId="12" xfId="4" applyFont="1" applyFill="1" applyBorder="1" applyAlignment="1">
      <alignment horizontal="center" vertical="center" wrapText="1"/>
    </xf>
    <xf numFmtId="0" fontId="25" fillId="12" borderId="12" xfId="4" applyFont="1" applyFill="1" applyBorder="1" applyAlignment="1">
      <alignment horizontal="center" vertical="center"/>
    </xf>
    <xf numFmtId="0" fontId="35" fillId="12" borderId="5" xfId="4" applyFont="1" applyFill="1" applyBorder="1" applyAlignment="1">
      <alignment horizontal="center" vertical="center" wrapText="1"/>
    </xf>
    <xf numFmtId="0" fontId="25" fillId="12" borderId="5" xfId="4" applyFont="1" applyFill="1" applyBorder="1" applyAlignment="1">
      <alignment horizontal="center" vertical="center"/>
    </xf>
    <xf numFmtId="0" fontId="27" fillId="6" borderId="5" xfId="4" applyFont="1" applyFill="1" applyBorder="1" applyAlignment="1">
      <alignment horizontal="center" vertical="center" wrapText="1"/>
    </xf>
    <xf numFmtId="0" fontId="27" fillId="6" borderId="6" xfId="4" applyFont="1" applyFill="1" applyBorder="1" applyAlignment="1">
      <alignment horizontal="center" vertical="center" wrapText="1"/>
    </xf>
    <xf numFmtId="0" fontId="27" fillId="10" borderId="5" xfId="4" applyFont="1" applyFill="1" applyBorder="1" applyAlignment="1">
      <alignment horizontal="center" vertical="center" wrapText="1"/>
    </xf>
    <xf numFmtId="0" fontId="27" fillId="10" borderId="6" xfId="4" applyFont="1" applyFill="1" applyBorder="1" applyAlignment="1">
      <alignment horizontal="center" vertical="center" wrapText="1"/>
    </xf>
    <xf numFmtId="0" fontId="27" fillId="27" borderId="5" xfId="4" applyFont="1" applyFill="1" applyBorder="1" applyAlignment="1">
      <alignment horizontal="center" vertical="center" wrapText="1"/>
    </xf>
    <xf numFmtId="0" fontId="27" fillId="27" borderId="6" xfId="4" applyFont="1" applyFill="1" applyBorder="1" applyAlignment="1">
      <alignment horizontal="center" vertical="center" wrapText="1"/>
    </xf>
    <xf numFmtId="0" fontId="0" fillId="17" borderId="0" xfId="0" applyFill="1"/>
    <xf numFmtId="0" fontId="5" fillId="17" borderId="0" xfId="4" applyFill="1" applyAlignment="1"/>
    <xf numFmtId="0" fontId="38" fillId="17" borderId="0" xfId="4" applyFont="1" applyFill="1" applyAlignment="1">
      <alignment horizontal="right" vertical="center"/>
    </xf>
    <xf numFmtId="164" fontId="30" fillId="17" borderId="0" xfId="4" applyNumberFormat="1" applyFont="1" applyFill="1" applyAlignment="1">
      <alignment horizontal="center"/>
    </xf>
    <xf numFmtId="0" fontId="30" fillId="16" borderId="0" xfId="4" applyNumberFormat="1" applyFont="1" applyFill="1" applyAlignment="1">
      <alignment horizontal="center"/>
    </xf>
    <xf numFmtId="0" fontId="26" fillId="0" borderId="11" xfId="4" applyNumberFormat="1" applyFont="1" applyFill="1" applyBorder="1" applyAlignment="1">
      <alignment horizontal="left"/>
    </xf>
    <xf numFmtId="0" fontId="11" fillId="8" borderId="0" xfId="3" applyFont="1" applyFill="1" applyAlignment="1">
      <alignment horizontal="left" vertical="top"/>
    </xf>
    <xf numFmtId="0" fontId="11" fillId="8" borderId="0" xfId="3" applyFont="1" applyFill="1" applyAlignment="1">
      <alignment horizontal="center" vertical="top"/>
    </xf>
    <xf numFmtId="0" fontId="11" fillId="8" borderId="0" xfId="3" applyFont="1" applyFill="1" applyAlignment="1">
      <alignment vertical="top"/>
    </xf>
    <xf numFmtId="0" fontId="11" fillId="8" borderId="0" xfId="3" applyFont="1" applyFill="1" applyAlignment="1">
      <alignment horizontal="left" vertical="top" wrapText="1"/>
    </xf>
    <xf numFmtId="0" fontId="54" fillId="2" borderId="0" xfId="1" applyFont="1" applyBorder="1" applyAlignment="1">
      <alignment horizontal="right" vertical="top" wrapText="1"/>
    </xf>
    <xf numFmtId="0" fontId="54" fillId="2" borderId="0" xfId="1" applyFont="1" applyBorder="1" applyAlignment="1">
      <alignment horizontal="center" vertical="top" wrapText="1"/>
    </xf>
    <xf numFmtId="0" fontId="59" fillId="3" borderId="0" xfId="2" applyFont="1" applyBorder="1" applyAlignment="1">
      <alignment horizontal="center" vertical="top" wrapText="1"/>
    </xf>
    <xf numFmtId="0" fontId="60" fillId="21" borderId="0" xfId="6" applyFont="1" applyBorder="1" applyAlignment="1">
      <alignment horizontal="center" vertical="top" wrapText="1"/>
    </xf>
    <xf numFmtId="49" fontId="8" fillId="0" borderId="0" xfId="3" applyNumberFormat="1" applyAlignment="1">
      <alignment horizontal="left"/>
    </xf>
    <xf numFmtId="0" fontId="8" fillId="0" borderId="0" xfId="3" applyAlignment="1">
      <alignment horizontal="center"/>
    </xf>
    <xf numFmtId="0" fontId="8" fillId="0" borderId="0" xfId="3" applyAlignment="1">
      <alignment horizontal="left"/>
    </xf>
    <xf numFmtId="0" fontId="61" fillId="28" borderId="7" xfId="4" applyFont="1" applyFill="1" applyBorder="1" applyAlignment="1">
      <alignment horizontal="center" vertical="top" wrapText="1"/>
    </xf>
    <xf numFmtId="169" fontId="17" fillId="4" borderId="15" xfId="4" applyNumberFormat="1" applyFont="1" applyFill="1" applyBorder="1" applyAlignment="1">
      <alignment horizontal="center"/>
    </xf>
    <xf numFmtId="0" fontId="28" fillId="6" borderId="4" xfId="4" applyFont="1" applyFill="1" applyBorder="1" applyAlignment="1">
      <alignment horizontal="center" vertical="center" wrapText="1"/>
    </xf>
    <xf numFmtId="0" fontId="28" fillId="10" borderId="4" xfId="4" applyFont="1" applyFill="1" applyBorder="1" applyAlignment="1">
      <alignment horizontal="center" vertical="center"/>
    </xf>
    <xf numFmtId="0" fontId="28" fillId="27" borderId="4" xfId="4" applyFont="1" applyFill="1" applyBorder="1" applyAlignment="1">
      <alignment horizontal="center" vertical="center" wrapText="1"/>
    </xf>
    <xf numFmtId="0" fontId="28" fillId="27" borderId="26" xfId="4" applyFont="1" applyFill="1" applyBorder="1" applyAlignment="1">
      <alignment horizontal="center" vertical="center" wrapText="1"/>
    </xf>
    <xf numFmtId="0" fontId="39" fillId="22" borderId="16" xfId="4" applyFont="1" applyFill="1" applyBorder="1" applyAlignment="1">
      <alignment horizontal="center" vertical="center" wrapText="1"/>
    </xf>
    <xf numFmtId="0" fontId="39" fillId="22" borderId="18" xfId="4" applyFont="1" applyFill="1" applyBorder="1" applyAlignment="1">
      <alignment horizontal="center" vertical="center" wrapText="1"/>
    </xf>
    <xf numFmtId="0" fontId="39" fillId="22" borderId="17" xfId="4" applyFont="1" applyFill="1" applyBorder="1" applyAlignment="1">
      <alignment horizontal="center" vertical="center" wrapText="1"/>
    </xf>
    <xf numFmtId="0" fontId="36" fillId="4" borderId="0" xfId="4" applyFont="1" applyFill="1" applyBorder="1" applyAlignment="1">
      <alignment horizontal="left" vertical="center"/>
    </xf>
    <xf numFmtId="0" fontId="28" fillId="5" borderId="4" xfId="4" applyFont="1" applyFill="1" applyBorder="1" applyAlignment="1">
      <alignment horizontal="center" vertical="center"/>
    </xf>
    <xf numFmtId="0" fontId="28" fillId="15" borderId="4" xfId="4" applyFont="1" applyFill="1" applyBorder="1" applyAlignment="1">
      <alignment horizontal="center" vertical="center"/>
    </xf>
    <xf numFmtId="0" fontId="28" fillId="9" borderId="4" xfId="4" applyFont="1" applyFill="1" applyBorder="1" applyAlignment="1">
      <alignment horizontal="center" vertical="center" wrapText="1"/>
    </xf>
    <xf numFmtId="0" fontId="28" fillId="17" borderId="4" xfId="4" applyFont="1" applyFill="1" applyBorder="1" applyAlignment="1">
      <alignment horizontal="center" vertical="center" wrapText="1"/>
    </xf>
    <xf numFmtId="9" fontId="51" fillId="26" borderId="0" xfId="3" applyNumberFormat="1" applyFont="1" applyFill="1" applyAlignment="1">
      <alignment horizontal="right"/>
    </xf>
    <xf numFmtId="0" fontId="51" fillId="26" borderId="0" xfId="3" applyFont="1" applyFill="1" applyAlignment="1">
      <alignment horizontal="right"/>
    </xf>
    <xf numFmtId="164" fontId="45" fillId="7" borderId="25" xfId="3" applyNumberFormat="1" applyFont="1" applyFill="1" applyBorder="1" applyAlignment="1">
      <alignment horizontal="left" vertical="center"/>
    </xf>
    <xf numFmtId="164" fontId="45" fillId="7" borderId="4" xfId="3" applyNumberFormat="1" applyFont="1" applyFill="1" applyBorder="1" applyAlignment="1">
      <alignment horizontal="left" vertical="center"/>
    </xf>
    <xf numFmtId="164" fontId="45" fillId="7" borderId="26" xfId="3" applyNumberFormat="1" applyFont="1" applyFill="1" applyBorder="1" applyAlignment="1">
      <alignment horizontal="left" vertical="center"/>
    </xf>
    <xf numFmtId="164" fontId="45" fillId="7" borderId="14" xfId="3" applyNumberFormat="1" applyFont="1" applyFill="1" applyBorder="1" applyAlignment="1">
      <alignment horizontal="left" vertical="center"/>
    </xf>
    <xf numFmtId="164" fontId="45" fillId="7" borderId="0" xfId="3" applyNumberFormat="1" applyFont="1" applyFill="1" applyBorder="1" applyAlignment="1">
      <alignment horizontal="left" vertical="center"/>
    </xf>
    <xf numFmtId="164" fontId="45" fillId="7" borderId="22" xfId="3" applyNumberFormat="1" applyFont="1" applyFill="1" applyBorder="1" applyAlignment="1">
      <alignment horizontal="left" vertical="center"/>
    </xf>
    <xf numFmtId="164" fontId="45" fillId="4" borderId="5" xfId="3" applyNumberFormat="1" applyFont="1" applyFill="1" applyBorder="1" applyAlignment="1">
      <alignment horizontal="left" vertical="center"/>
    </xf>
    <xf numFmtId="164" fontId="45" fillId="4" borderId="23" xfId="3" applyNumberFormat="1" applyFont="1" applyFill="1" applyBorder="1" applyAlignment="1">
      <alignment horizontal="left" vertical="center"/>
    </xf>
    <xf numFmtId="164" fontId="45" fillId="4" borderId="24" xfId="3" applyNumberFormat="1" applyFont="1" applyFill="1" applyBorder="1" applyAlignment="1">
      <alignment horizontal="left" vertical="center"/>
    </xf>
    <xf numFmtId="168" fontId="58" fillId="5" borderId="0" xfId="0" applyNumberFormat="1" applyFont="1" applyFill="1" applyAlignment="1">
      <alignment horizontal="center"/>
    </xf>
    <xf numFmtId="0" fontId="57" fillId="0" borderId="0" xfId="0" applyFont="1" applyAlignment="1">
      <alignment horizontal="center"/>
    </xf>
    <xf numFmtId="0" fontId="47" fillId="4" borderId="0" xfId="4" applyFont="1" applyFill="1" applyBorder="1" applyAlignment="1">
      <alignment horizontal="center" vertical="center"/>
    </xf>
    <xf numFmtId="0" fontId="56" fillId="5" borderId="14" xfId="4" applyFont="1" applyFill="1" applyBorder="1" applyAlignment="1">
      <alignment horizontal="left"/>
    </xf>
    <xf numFmtId="0" fontId="56" fillId="5" borderId="0" xfId="4" applyFont="1" applyFill="1" applyBorder="1" applyAlignment="1">
      <alignment horizontal="left"/>
    </xf>
    <xf numFmtId="0" fontId="31" fillId="16" borderId="0" xfId="4" applyFont="1" applyFill="1" applyBorder="1" applyAlignment="1">
      <alignment horizontal="center"/>
    </xf>
    <xf numFmtId="0" fontId="49" fillId="7" borderId="0" xfId="3" applyFont="1" applyFill="1" applyAlignment="1">
      <alignment horizontal="center" vertical="top" wrapText="1"/>
    </xf>
    <xf numFmtId="0" fontId="14" fillId="7" borderId="0" xfId="3" applyFont="1" applyFill="1" applyAlignment="1">
      <alignment horizontal="center"/>
    </xf>
    <xf numFmtId="0" fontId="52" fillId="12" borderId="4" xfId="3" applyFont="1" applyFill="1" applyBorder="1" applyAlignment="1">
      <alignment horizontal="center"/>
    </xf>
    <xf numFmtId="0" fontId="52" fillId="12" borderId="0" xfId="3" applyFont="1" applyFill="1" applyAlignment="1">
      <alignment horizontal="right"/>
    </xf>
  </cellXfs>
  <cellStyles count="9">
    <cellStyle name="20% - Énfasis6 2" xfId="6" xr:uid="{C90DDD92-CE69-47E0-806F-7531B85B232B}"/>
    <cellStyle name="Celda de comprobación" xfId="2" builtinId="23"/>
    <cellStyle name="Hipervínculo" xfId="7" builtinId="8"/>
    <cellStyle name="Neutral" xfId="1" builtinId="28"/>
    <cellStyle name="Normal" xfId="0" builtinId="0"/>
    <cellStyle name="Normal 2" xfId="3" xr:uid="{A58FF782-1C81-47A9-938A-AF560EEE3662}"/>
    <cellStyle name="Normal 3" xfId="4" xr:uid="{3267825F-23EB-4266-9502-D21803C62868}"/>
    <cellStyle name="Normal 3 2" xfId="5" xr:uid="{5B457A1D-C3DE-4484-8FDA-CE414A4DCC1D}"/>
    <cellStyle name="Normal 3 3" xfId="8" xr:uid="{FD43C4BA-EE9A-4E8F-9DE9-54DC57A30FC5}"/>
  </cellStyles>
  <dxfs count="13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FF"/>
        </patternFill>
      </fill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theme="2" tint="-4.9989318521683403E-2"/>
      </font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3" formatCode="0%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6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\ 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&quot;$&quot;\ 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6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rgb="FF72FAF4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</dxfs>
  <tableStyles count="1" defaultTableStyle="TableStyleMedium2" defaultPivotStyle="PivotStyleLight16">
    <tableStyle name="Estilo de tabla 1" pivot="0" count="0" xr9:uid="{BC7E869B-C3ED-4D3A-9D58-BA0817A44A7E}"/>
  </tableStyles>
  <colors>
    <mruColors>
      <color rgb="FFDFDBF9"/>
      <color rgb="FFFFF7E1"/>
      <color rgb="FF72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500063</xdr:colOff>
      <xdr:row>0</xdr:row>
      <xdr:rowOff>1</xdr:rowOff>
    </xdr:from>
    <xdr:to>
      <xdr:col>2</xdr:col>
      <xdr:colOff>568327</xdr:colOff>
      <xdr:row>16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2CAB5F-7BF1-45AD-B571-8FB631C4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71626" y="1"/>
          <a:ext cx="3640139" cy="3643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607252</xdr:colOff>
      <xdr:row>1</xdr:row>
      <xdr:rowOff>98961</xdr:rowOff>
    </xdr:from>
    <xdr:to>
      <xdr:col>10</xdr:col>
      <xdr:colOff>204107</xdr:colOff>
      <xdr:row>27</xdr:row>
      <xdr:rowOff>163286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BF3EB24-38B4-44C3-AC4E-71E901D9C748}"/>
            </a:ext>
          </a:extLst>
        </xdr:cNvPr>
        <xdr:cNvSpPr/>
      </xdr:nvSpPr>
      <xdr:spPr>
        <a:xfrm>
          <a:off x="2131252" y="262247"/>
          <a:ext cx="11135712" cy="8555182"/>
        </a:xfrm>
        <a:prstGeom prst="roundRect">
          <a:avLst>
            <a:gd name="adj" fmla="val 5556"/>
          </a:avLst>
        </a:prstGeom>
        <a:noFill/>
        <a:effectLst>
          <a:glow>
            <a:schemeClr val="accent1"/>
          </a:glow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8</xdr:col>
      <xdr:colOff>345127</xdr:colOff>
      <xdr:row>4</xdr:row>
      <xdr:rowOff>74098</xdr:rowOff>
    </xdr:from>
    <xdr:to>
      <xdr:col>8</xdr:col>
      <xdr:colOff>2217964</xdr:colOff>
      <xdr:row>8</xdr:row>
      <xdr:rowOff>288594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695A1F7-6B28-4A8A-A5E4-A6DF1AE82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9965377" y="754455"/>
          <a:ext cx="1872837" cy="1888174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299357</xdr:rowOff>
    </xdr:from>
    <xdr:to>
      <xdr:col>13</xdr:col>
      <xdr:colOff>810941</xdr:colOff>
      <xdr:row>6</xdr:row>
      <xdr:rowOff>176894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2634F6B-044A-48DB-B98A-4074D056E9C4}"/>
            </a:ext>
          </a:extLst>
        </xdr:cNvPr>
        <xdr:cNvSpPr/>
      </xdr:nvSpPr>
      <xdr:spPr>
        <a:xfrm>
          <a:off x="14872607" y="1034143"/>
          <a:ext cx="1749834" cy="653144"/>
        </a:xfrm>
        <a:prstGeom prst="rightArrow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 b="1"/>
            <a:t>TRM</a:t>
          </a:r>
          <a:r>
            <a:rPr lang="es-CO" sz="1600" baseline="0"/>
            <a:t> </a:t>
          </a:r>
          <a:r>
            <a:rPr lang="es-CO" sz="1600" b="1" baseline="0"/>
            <a:t>AQUÍ</a:t>
          </a:r>
          <a:endParaRPr lang="es-CO" sz="16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9B5F03-0682-406B-8ADF-38315312E67D}" name="Tabla3" displayName="Tabla3" ref="A19:AB36" totalsRowShown="0">
  <autoFilter ref="A19:AB36" xr:uid="{189B5F03-0682-406B-8ADF-38315312E67D}"/>
  <sortState xmlns:xlrd2="http://schemas.microsoft.com/office/spreadsheetml/2017/richdata2" ref="A20:T32">
    <sortCondition ref="C20:C32"/>
  </sortState>
  <tableColumns count="28">
    <tableColumn id="1" xr3:uid="{24928231-2D11-450F-A164-9DCC0B4F2FA4}" name="LISTA" dataDxfId="1356" dataCellStyle="Normal 3">
      <calculatedColumnFormula>(A19+1)</calculatedColumnFormula>
    </tableColumn>
    <tableColumn id="2" xr3:uid="{26996E8E-494E-49B5-8DA5-60DDB5FAB7C0}" name="CC-ID-DNI" dataDxfId="1355" dataCellStyle="Normal 3"/>
    <tableColumn id="21" xr3:uid="{940FA4C9-8C82-45D9-8FE5-780FB0A652A6}" name="NOMBRE" dataDxfId="1354" dataCellStyle="Normal 3"/>
    <tableColumn id="4" xr3:uid="{1FD2DB22-FDB6-41E3-BC33-776BA57625FB}" name="CANT" dataDxfId="1353" dataCellStyle="Normal 3"/>
    <tableColumn id="5" xr3:uid="{87BD2DDF-3751-41C6-BDDB-7A5ABB14FFD1}" name="MONTO" dataDxfId="1352" dataCellStyle="Normal 3">
      <calculatedColumnFormula>(Tabla3[[#This Row],[CANT]]*5000000)</calculatedColumnFormula>
    </tableColumn>
    <tableColumn id="6" xr3:uid="{164D5526-0F4D-46C0-AF53-4865FA82E041}" name="CANT2" dataDxfId="1351" dataCellStyle="Normal 3"/>
    <tableColumn id="7" xr3:uid="{27356B0F-A0CC-47B8-AC1D-43DA285AFD9C}" name="MONTO2" dataDxfId="1350" dataCellStyle="Normal 3">
      <calculatedColumnFormula>(Tabla3[[#This Row],[CANT2]]*10000000)</calculatedColumnFormula>
    </tableColumn>
    <tableColumn id="8" xr3:uid="{E7312A44-1FA2-4BA4-9AE0-D0D6ED06925F}" name="CANT3" dataDxfId="1349" dataCellStyle="Normal 3"/>
    <tableColumn id="9" xr3:uid="{C09806EE-B718-4A53-8362-DA4B910374D0}" name="MONTO3" dataDxfId="1348" dataCellStyle="Normal 3">
      <calculatedColumnFormula>(Tabla3[[#This Row],[CANT3]]*7500000)</calculatedColumnFormula>
    </tableColumn>
    <tableColumn id="10" xr3:uid="{1F1E94B6-2632-46FD-A511-095BB8BE3DCC}" name="CANT4" dataDxfId="1347" dataCellStyle="Normal 3"/>
    <tableColumn id="11" xr3:uid="{43AB87BB-D6EB-44DD-8CF3-A356C2F817F9}" name="MONTO4" dataDxfId="1346" dataCellStyle="Normal 3">
      <calculatedColumnFormula>(Tabla3[[#This Row],[CANT4]]*500000)</calculatedColumnFormula>
    </tableColumn>
    <tableColumn id="14" xr3:uid="{3C5090B3-2969-4011-9FA9-4608618A963C}" name="CANT5" dataDxfId="1345" dataCellStyle="Normal 3"/>
    <tableColumn id="15" xr3:uid="{A0169FA0-BD83-4F2D-A3D9-70587DE4CC1E}" name="MONTO5" dataDxfId="1344" dataCellStyle="Normal 3"/>
    <tableColumn id="16" xr3:uid="{DE61D1F8-5885-4690-A360-A9DC7FB4E2F2}" name="CANT6" dataDxfId="1343" dataCellStyle="Normal 3"/>
    <tableColumn id="17" xr3:uid="{B8E06A2B-4369-4C3E-82E3-924E01D47E8D}" name="MONTO6" dataDxfId="1342" dataCellStyle="Normal 3">
      <calculatedColumnFormula>(Tabla3[[#This Row],[CANT6]]*200000)</calculatedColumnFormula>
    </tableColumn>
    <tableColumn id="13" xr3:uid="{C629C21B-7E1F-4D25-9B5C-A8334C4BE981}" name="CANT7" dataDxfId="1341" dataCellStyle="Normal 3"/>
    <tableColumn id="12" xr3:uid="{2AD4D448-D8E8-414E-BEFF-EC4118631CB1}" name="MONTO7" dataDxfId="1340" dataCellStyle="Normal 3">
      <calculatedColumnFormula>(20*15000000)</calculatedColumnFormula>
    </tableColumn>
    <tableColumn id="18" xr3:uid="{370850A5-8634-4FA6-A75E-BD9FA7347480}" name="USD" dataDxfId="1339" dataCellStyle="Normal 3">
      <calculatedColumnFormula>(Tabla3[[#This Row],[MONTO]]+Tabla3[[#This Row],[MONTO2]]+Tabla3[[#This Row],[MONTO3]]+Tabla3[[#This Row],[MONTO4]]+Tabla3[[#This Row],[MONTO5]]+Tabla3[[#This Row],[MONTO6]]+Tabla3[[#This Row],[MONTO7]])</calculatedColumnFormula>
    </tableColumn>
    <tableColumn id="19" xr3:uid="{48A6BD56-5370-47EB-9C51-7ACFF538DD6C}" name="TOTAL -10%" dataDxfId="1338" dataCellStyle="Normal 3">
      <calculatedColumnFormula>R20-(R20*10%)</calculatedColumnFormula>
    </tableColumn>
    <tableColumn id="20" xr3:uid="{A8971EC0-711A-45DC-8FF1-2D0C44FDF9BF}" name="1% PAGO INICIAL" dataDxfId="1337" dataCellStyle="Normal 3">
      <calculatedColumnFormula>(S20*1%)</calculatedColumnFormula>
    </tableColumn>
    <tableColumn id="3" xr3:uid="{5A1D69C9-F75C-4FFA-8FDD-78291A593FD1}" name="% FIDUCIA" dataDxfId="1336" dataCellStyle="Normal 3">
      <calculatedColumnFormula>(Tabla3[[#This Row],[TOTAL -10%]]*Tabla3[[#This Row],[FIDUCIA]])</calculatedColumnFormula>
    </tableColumn>
    <tableColumn id="22" xr3:uid="{9EA602FB-B13A-4E3D-94AB-782E9F338FDC}" name="% NUBE" dataDxfId="1335" dataCellStyle="Normal 3">
      <calculatedColumnFormula>(Tabla3[[#This Row],[TOTAL -10%]]*Tabla3[[#This Row],[NUBE]])</calculatedColumnFormula>
    </tableColumn>
    <tableColumn id="23" xr3:uid="{C4526160-8BD3-4C5C-958E-0924F1AB1B46}" name="SKR SI/NO" dataDxfId="1334" dataCellStyle="Normal 3"/>
    <tableColumn id="24" xr3:uid="{F5ECBC59-958E-42E1-8CD1-36192C2F558F}" name="FIDUCIA/NUBE" dataDxfId="1333" dataCellStyle="Normal 3"/>
    <tableColumn id="25" xr3:uid="{890AB6C8-8C2C-414E-A1D6-100429F9D1A1}" name="BANCO" dataDxfId="1332" dataCellStyle="Normal 3"/>
    <tableColumn id="26" xr3:uid="{CECEE305-191C-4376-9898-1DF3638573DA}" name="FIDUCIA" dataDxfId="1331" dataCellStyle="Normal 3"/>
    <tableColumn id="27" xr3:uid="{59D8F4F2-9F5C-42D6-AE6C-2A860889AC75}" name="NUBE" dataDxfId="1330" dataCellStyle="Normal 3"/>
    <tableColumn id="28" xr3:uid="{183CCE5F-1070-4508-BA03-BA9438BF2795}" name="100%" dataDxfId="1329" dataCellStyle="Normal 3">
      <calculatedColumnFormula>SUM(Y20:AA20)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pezisabela570@gmail.com" TargetMode="External"/><Relationship Id="rId13" Type="http://schemas.openxmlformats.org/officeDocument/2006/relationships/hyperlink" Target="mailto:mary090106@gmail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lisetd.lopez.y@gmil.com" TargetMode="External"/><Relationship Id="rId7" Type="http://schemas.openxmlformats.org/officeDocument/2006/relationships/hyperlink" Target="mailto:danielsanchez50796@gmail.com" TargetMode="External"/><Relationship Id="rId12" Type="http://schemas.openxmlformats.org/officeDocument/2006/relationships/hyperlink" Target="mailto:lioneygarzon12@gmail.com" TargetMode="External"/><Relationship Id="rId17" Type="http://schemas.openxmlformats.org/officeDocument/2006/relationships/hyperlink" Target="mailto:beyanasta23@gmail.com" TargetMode="External"/><Relationship Id="rId2" Type="http://schemas.openxmlformats.org/officeDocument/2006/relationships/hyperlink" Target="mailto:lisetd.lopez.y@gmil.com" TargetMode="External"/><Relationship Id="rId16" Type="http://schemas.openxmlformats.org/officeDocument/2006/relationships/hyperlink" Target="mailto:miguellopezastaiza@gmail.com" TargetMode="External"/><Relationship Id="rId1" Type="http://schemas.openxmlformats.org/officeDocument/2006/relationships/hyperlink" Target="mailto:beyanasta23@gmail.com" TargetMode="External"/><Relationship Id="rId6" Type="http://schemas.openxmlformats.org/officeDocument/2006/relationships/hyperlink" Target="mailto:danielsanchez50796@gmail.com" TargetMode="External"/><Relationship Id="rId11" Type="http://schemas.openxmlformats.org/officeDocument/2006/relationships/hyperlink" Target="mailto:elopezastaiza@gmail.com" TargetMode="External"/><Relationship Id="rId5" Type="http://schemas.openxmlformats.org/officeDocument/2006/relationships/hyperlink" Target="mailto:andreslopez28041999@gmail.com" TargetMode="External"/><Relationship Id="rId15" Type="http://schemas.openxmlformats.org/officeDocument/2006/relationships/hyperlink" Target="mailto:aanty.becerrapapamija@gmail.com" TargetMode="External"/><Relationship Id="rId10" Type="http://schemas.openxmlformats.org/officeDocument/2006/relationships/hyperlink" Target="mailto:elopezastaiza@gmail.com" TargetMode="External"/><Relationship Id="rId4" Type="http://schemas.openxmlformats.org/officeDocument/2006/relationships/hyperlink" Target="mailto:jl4078210@gmail.com" TargetMode="External"/><Relationship Id="rId9" Type="http://schemas.openxmlformats.org/officeDocument/2006/relationships/hyperlink" Target="mailto:lopezisabela570@gmail.com" TargetMode="External"/><Relationship Id="rId14" Type="http://schemas.openxmlformats.org/officeDocument/2006/relationships/hyperlink" Target="mailto:miguellopezastaiz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dolar-colomb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9A06-041E-4BD8-B15E-F417C7709518}">
  <sheetPr codeName="Hoja1"/>
  <dimension ref="A1:S167"/>
  <sheetViews>
    <sheetView showGridLines="0" zoomScale="85" zoomScaleNormal="85" workbookViewId="0">
      <pane ySplit="1" topLeftCell="A2" activePane="bottomLeft" state="frozen"/>
      <selection pane="bottomLeft" activeCell="L19" sqref="L19"/>
    </sheetView>
  </sheetViews>
  <sheetFormatPr baseColWidth="10" defaultRowHeight="12.75" x14ac:dyDescent="0.2"/>
  <cols>
    <col min="1" max="1" width="11.85546875" customWidth="1"/>
    <col min="2" max="2" width="36.5703125" customWidth="1"/>
    <col min="3" max="3" width="12.140625" customWidth="1"/>
    <col min="4" max="4" width="11.5703125" customWidth="1"/>
    <col min="5" max="5" width="9.140625" customWidth="1"/>
    <col min="6" max="6" width="14.42578125" customWidth="1"/>
    <col min="7" max="7" width="7.85546875" customWidth="1"/>
    <col min="8" max="8" width="17" customWidth="1"/>
    <col min="9" max="9" width="8" customWidth="1"/>
    <col min="10" max="10" width="24.42578125" customWidth="1"/>
    <col min="11" max="11" width="17.42578125" customWidth="1"/>
    <col min="12" max="12" width="15.140625" customWidth="1"/>
    <col min="13" max="13" width="11.42578125" customWidth="1"/>
    <col min="14" max="14" width="16" customWidth="1"/>
    <col min="15" max="15" width="13.42578125" customWidth="1"/>
    <col min="16" max="16" width="21.5703125" customWidth="1"/>
    <col min="17" max="17" width="18" customWidth="1"/>
    <col min="18" max="18" width="20.5703125" customWidth="1"/>
    <col min="19" max="19" width="41.7109375" bestFit="1" customWidth="1"/>
  </cols>
  <sheetData>
    <row r="1" spans="1:19" s="2" customFormat="1" ht="47.25" x14ac:dyDescent="0.2">
      <c r="A1" s="127" t="s">
        <v>9</v>
      </c>
      <c r="B1" s="127" t="s">
        <v>8</v>
      </c>
      <c r="C1" s="127" t="s">
        <v>43</v>
      </c>
      <c r="D1" s="128" t="s">
        <v>44</v>
      </c>
      <c r="E1" s="128" t="s">
        <v>45</v>
      </c>
      <c r="F1" s="128" t="s">
        <v>46</v>
      </c>
      <c r="G1" s="128">
        <v>1.1111111111111099E+23</v>
      </c>
      <c r="H1" s="129" t="s">
        <v>47</v>
      </c>
      <c r="I1" s="130" t="s">
        <v>48</v>
      </c>
      <c r="J1" s="127" t="s">
        <v>49</v>
      </c>
      <c r="K1" s="127" t="s">
        <v>50</v>
      </c>
      <c r="L1" s="131" t="s">
        <v>86</v>
      </c>
      <c r="M1" s="132" t="s">
        <v>7</v>
      </c>
      <c r="N1" s="132" t="s">
        <v>51</v>
      </c>
      <c r="O1" s="132" t="s">
        <v>55</v>
      </c>
      <c r="P1" s="132" t="s">
        <v>6</v>
      </c>
      <c r="Q1" s="133" t="s">
        <v>93</v>
      </c>
      <c r="R1" s="134" t="s">
        <v>87</v>
      </c>
      <c r="S1" s="138" t="s">
        <v>92</v>
      </c>
    </row>
    <row r="2" spans="1:19" ht="12" customHeight="1" x14ac:dyDescent="0.2">
      <c r="A2" s="61">
        <v>46065</v>
      </c>
      <c r="B2" s="58" t="s">
        <v>94</v>
      </c>
      <c r="C2" s="15">
        <v>10308783</v>
      </c>
      <c r="D2" s="55" t="s">
        <v>53</v>
      </c>
      <c r="E2" s="55" t="s">
        <v>52</v>
      </c>
      <c r="F2" s="55" t="s">
        <v>95</v>
      </c>
      <c r="G2" s="55" t="s">
        <v>96</v>
      </c>
      <c r="H2" s="3" t="s">
        <v>97</v>
      </c>
      <c r="I2" s="15">
        <v>190001</v>
      </c>
      <c r="J2" s="15" t="s">
        <v>98</v>
      </c>
      <c r="K2" s="12" t="s">
        <v>99</v>
      </c>
      <c r="L2" s="59" t="s">
        <v>60</v>
      </c>
      <c r="M2" s="13">
        <v>500000</v>
      </c>
      <c r="N2" s="14" t="s">
        <v>100</v>
      </c>
      <c r="O2" s="15" t="s">
        <v>2</v>
      </c>
      <c r="P2" s="3" t="s">
        <v>101</v>
      </c>
      <c r="Q2" s="1" t="s">
        <v>0</v>
      </c>
      <c r="R2" s="55" t="s">
        <v>53</v>
      </c>
      <c r="S2" s="3"/>
    </row>
    <row r="3" spans="1:19" ht="12" customHeight="1" x14ac:dyDescent="0.2">
      <c r="A3" s="49">
        <v>46059</v>
      </c>
      <c r="B3" s="58" t="s">
        <v>102</v>
      </c>
      <c r="C3" s="15">
        <v>1063818082</v>
      </c>
      <c r="D3" s="55" t="s">
        <v>53</v>
      </c>
      <c r="E3" s="55" t="s">
        <v>52</v>
      </c>
      <c r="F3" s="55" t="s">
        <v>95</v>
      </c>
      <c r="G3" s="55" t="s">
        <v>103</v>
      </c>
      <c r="H3" s="3" t="s">
        <v>104</v>
      </c>
      <c r="I3" s="15">
        <v>193520</v>
      </c>
      <c r="J3" s="15" t="s">
        <v>105</v>
      </c>
      <c r="K3" s="12" t="s">
        <v>106</v>
      </c>
      <c r="L3" s="59" t="s">
        <v>3</v>
      </c>
      <c r="M3" s="13">
        <v>150000</v>
      </c>
      <c r="N3" s="14" t="s">
        <v>107</v>
      </c>
      <c r="O3" s="15" t="s">
        <v>2</v>
      </c>
      <c r="P3" s="3" t="s">
        <v>101</v>
      </c>
      <c r="Q3" s="1" t="s">
        <v>0</v>
      </c>
      <c r="R3" s="55" t="s">
        <v>53</v>
      </c>
      <c r="S3" s="3"/>
    </row>
    <row r="4" spans="1:19" ht="12" customHeight="1" x14ac:dyDescent="0.2">
      <c r="A4" s="61">
        <v>46142</v>
      </c>
      <c r="B4" s="58" t="s">
        <v>108</v>
      </c>
      <c r="C4" s="15">
        <v>34658108</v>
      </c>
      <c r="D4" s="55" t="s">
        <v>53</v>
      </c>
      <c r="E4" s="55" t="s">
        <v>52</v>
      </c>
      <c r="F4" s="55" t="s">
        <v>95</v>
      </c>
      <c r="G4" s="55" t="s">
        <v>103</v>
      </c>
      <c r="H4" s="3" t="s">
        <v>104</v>
      </c>
      <c r="I4" s="15">
        <v>193520</v>
      </c>
      <c r="J4" s="15" t="s">
        <v>109</v>
      </c>
      <c r="K4" s="12" t="s">
        <v>110</v>
      </c>
      <c r="L4" s="59" t="s">
        <v>72</v>
      </c>
      <c r="M4" s="13">
        <v>100000</v>
      </c>
      <c r="N4" s="62" t="s">
        <v>111</v>
      </c>
      <c r="O4" s="15" t="s">
        <v>2</v>
      </c>
      <c r="P4" s="3" t="s">
        <v>101</v>
      </c>
      <c r="Q4" s="1" t="s">
        <v>0</v>
      </c>
      <c r="R4" s="55" t="s">
        <v>53</v>
      </c>
      <c r="S4" s="3"/>
    </row>
    <row r="5" spans="1:19" ht="12" customHeight="1" x14ac:dyDescent="0.2">
      <c r="A5" s="56">
        <v>46147</v>
      </c>
      <c r="B5" s="58" t="s">
        <v>108</v>
      </c>
      <c r="C5" s="15">
        <v>34658108</v>
      </c>
      <c r="D5" s="55" t="s">
        <v>53</v>
      </c>
      <c r="E5" s="55" t="s">
        <v>52</v>
      </c>
      <c r="F5" s="55" t="s">
        <v>95</v>
      </c>
      <c r="G5" s="55" t="s">
        <v>103</v>
      </c>
      <c r="H5" s="3" t="s">
        <v>104</v>
      </c>
      <c r="I5" s="15">
        <v>193520</v>
      </c>
      <c r="J5" s="15" t="s">
        <v>109</v>
      </c>
      <c r="K5" s="12" t="s">
        <v>110</v>
      </c>
      <c r="L5" s="59" t="s">
        <v>59</v>
      </c>
      <c r="M5" s="13">
        <v>0</v>
      </c>
      <c r="N5" s="12" t="s">
        <v>58</v>
      </c>
      <c r="O5" s="15" t="s">
        <v>53</v>
      </c>
      <c r="P5" s="3" t="s">
        <v>101</v>
      </c>
      <c r="Q5" s="1" t="s">
        <v>0</v>
      </c>
      <c r="R5" s="55" t="s">
        <v>53</v>
      </c>
      <c r="S5" s="3"/>
    </row>
    <row r="6" spans="1:19" ht="12" customHeight="1" x14ac:dyDescent="0.2">
      <c r="A6" s="49">
        <v>46106</v>
      </c>
      <c r="B6" s="58" t="s">
        <v>112</v>
      </c>
      <c r="C6" s="15">
        <v>1061793801</v>
      </c>
      <c r="D6" s="55" t="s">
        <v>53</v>
      </c>
      <c r="E6" s="55" t="s">
        <v>52</v>
      </c>
      <c r="F6" s="55" t="s">
        <v>95</v>
      </c>
      <c r="G6" s="55" t="s">
        <v>96</v>
      </c>
      <c r="H6" s="3" t="s">
        <v>113</v>
      </c>
      <c r="I6" s="15">
        <v>190001</v>
      </c>
      <c r="J6" s="15" t="s">
        <v>114</v>
      </c>
      <c r="K6" s="12" t="s">
        <v>115</v>
      </c>
      <c r="L6" s="59" t="s">
        <v>1</v>
      </c>
      <c r="M6" s="13">
        <v>100000</v>
      </c>
      <c r="N6" s="14" t="s">
        <v>116</v>
      </c>
      <c r="O6" s="15" t="s">
        <v>2</v>
      </c>
      <c r="P6" s="3" t="s">
        <v>101</v>
      </c>
      <c r="Q6" s="1" t="s">
        <v>0</v>
      </c>
      <c r="R6" s="55" t="s">
        <v>53</v>
      </c>
      <c r="S6" s="3"/>
    </row>
    <row r="7" spans="1:19" ht="12" customHeight="1" x14ac:dyDescent="0.2">
      <c r="A7" s="49">
        <v>46119</v>
      </c>
      <c r="B7" s="58" t="s">
        <v>112</v>
      </c>
      <c r="C7" s="15">
        <v>1061793801</v>
      </c>
      <c r="D7" s="55" t="s">
        <v>53</v>
      </c>
      <c r="E7" s="55" t="s">
        <v>52</v>
      </c>
      <c r="F7" s="55" t="s">
        <v>95</v>
      </c>
      <c r="G7" s="55" t="s">
        <v>96</v>
      </c>
      <c r="H7" s="3" t="s">
        <v>113</v>
      </c>
      <c r="I7" s="15">
        <v>190001</v>
      </c>
      <c r="J7" s="15" t="s">
        <v>114</v>
      </c>
      <c r="K7" s="12" t="s">
        <v>115</v>
      </c>
      <c r="L7" s="59" t="s">
        <v>54</v>
      </c>
      <c r="M7" s="13">
        <v>0</v>
      </c>
      <c r="N7" s="12" t="s">
        <v>57</v>
      </c>
      <c r="O7" s="15" t="s">
        <v>53</v>
      </c>
      <c r="P7" s="3" t="s">
        <v>101</v>
      </c>
      <c r="Q7" s="1" t="s">
        <v>0</v>
      </c>
      <c r="R7" s="55" t="s">
        <v>53</v>
      </c>
      <c r="S7" s="3"/>
    </row>
    <row r="8" spans="1:19" ht="12" customHeight="1" x14ac:dyDescent="0.2">
      <c r="A8" s="49">
        <v>46072</v>
      </c>
      <c r="B8" s="58" t="s">
        <v>117</v>
      </c>
      <c r="C8" s="15">
        <v>1058547003</v>
      </c>
      <c r="D8" s="55" t="s">
        <v>53</v>
      </c>
      <c r="E8" s="55" t="s">
        <v>52</v>
      </c>
      <c r="F8" s="55" t="s">
        <v>95</v>
      </c>
      <c r="G8" s="55" t="s">
        <v>118</v>
      </c>
      <c r="H8" s="3" t="s">
        <v>113</v>
      </c>
      <c r="I8" s="12">
        <v>190001</v>
      </c>
      <c r="J8" s="15" t="s">
        <v>119</v>
      </c>
      <c r="K8" s="12" t="s">
        <v>120</v>
      </c>
      <c r="L8" s="59" t="s">
        <v>4</v>
      </c>
      <c r="M8" s="13">
        <v>300000</v>
      </c>
      <c r="N8" s="14" t="s">
        <v>121</v>
      </c>
      <c r="O8" s="15" t="s">
        <v>2</v>
      </c>
      <c r="P8" s="3" t="s">
        <v>101</v>
      </c>
      <c r="Q8" s="1" t="s">
        <v>0</v>
      </c>
      <c r="R8" s="55" t="s">
        <v>53</v>
      </c>
      <c r="S8" s="3"/>
    </row>
    <row r="9" spans="1:19" ht="12" customHeight="1" x14ac:dyDescent="0.2">
      <c r="A9" s="49">
        <v>46119</v>
      </c>
      <c r="B9" s="58" t="s">
        <v>117</v>
      </c>
      <c r="C9" s="15">
        <v>1058547003</v>
      </c>
      <c r="D9" s="55" t="s">
        <v>53</v>
      </c>
      <c r="E9" s="55" t="s">
        <v>52</v>
      </c>
      <c r="F9" s="55" t="s">
        <v>95</v>
      </c>
      <c r="G9" s="55" t="s">
        <v>118</v>
      </c>
      <c r="H9" s="3" t="s">
        <v>113</v>
      </c>
      <c r="I9" s="12">
        <v>190001</v>
      </c>
      <c r="J9" s="15" t="s">
        <v>119</v>
      </c>
      <c r="K9" s="12" t="s">
        <v>120</v>
      </c>
      <c r="L9" s="59" t="s">
        <v>91</v>
      </c>
      <c r="M9" s="13">
        <v>0</v>
      </c>
      <c r="N9" s="12" t="s">
        <v>57</v>
      </c>
      <c r="O9" s="15" t="s">
        <v>53</v>
      </c>
      <c r="P9" s="3" t="s">
        <v>101</v>
      </c>
      <c r="Q9" s="1" t="s">
        <v>0</v>
      </c>
      <c r="R9" s="55" t="s">
        <v>53</v>
      </c>
      <c r="S9" s="3"/>
    </row>
    <row r="10" spans="1:19" ht="12" customHeight="1" x14ac:dyDescent="0.2">
      <c r="A10" s="56">
        <v>45953.586759259262</v>
      </c>
      <c r="B10" s="58" t="s">
        <v>122</v>
      </c>
      <c r="C10" s="15">
        <v>25712307</v>
      </c>
      <c r="D10" s="55" t="s">
        <v>53</v>
      </c>
      <c r="E10" s="55" t="s">
        <v>52</v>
      </c>
      <c r="F10" s="55" t="s">
        <v>95</v>
      </c>
      <c r="G10" s="55" t="s">
        <v>96</v>
      </c>
      <c r="H10" s="3" t="s">
        <v>113</v>
      </c>
      <c r="I10" s="15">
        <v>190001</v>
      </c>
      <c r="J10" s="15" t="s">
        <v>123</v>
      </c>
      <c r="K10" s="12" t="s">
        <v>124</v>
      </c>
      <c r="L10" s="59" t="s">
        <v>125</v>
      </c>
      <c r="M10" s="13">
        <v>300000</v>
      </c>
      <c r="N10" s="14" t="s">
        <v>126</v>
      </c>
      <c r="O10" s="15" t="s">
        <v>2</v>
      </c>
      <c r="P10" s="3" t="s">
        <v>101</v>
      </c>
      <c r="Q10" s="1" t="s">
        <v>0</v>
      </c>
      <c r="R10" s="55" t="s">
        <v>53</v>
      </c>
    </row>
    <row r="11" spans="1:19" ht="12" customHeight="1" x14ac:dyDescent="0.2">
      <c r="A11" s="56">
        <v>45988</v>
      </c>
      <c r="B11" s="58" t="s">
        <v>122</v>
      </c>
      <c r="C11" s="15">
        <v>25712307</v>
      </c>
      <c r="D11" s="55" t="s">
        <v>53</v>
      </c>
      <c r="E11" s="55" t="s">
        <v>52</v>
      </c>
      <c r="F11" s="55" t="s">
        <v>95</v>
      </c>
      <c r="G11" s="55" t="s">
        <v>96</v>
      </c>
      <c r="H11" s="3" t="s">
        <v>113</v>
      </c>
      <c r="I11" s="15">
        <v>190001</v>
      </c>
      <c r="J11" s="15" t="s">
        <v>123</v>
      </c>
      <c r="K11" s="12" t="s">
        <v>124</v>
      </c>
      <c r="L11" s="59" t="s">
        <v>75</v>
      </c>
      <c r="M11" s="13">
        <v>200000</v>
      </c>
      <c r="N11" s="14" t="s">
        <v>127</v>
      </c>
      <c r="O11" s="15" t="s">
        <v>2</v>
      </c>
      <c r="P11" s="3" t="s">
        <v>101</v>
      </c>
      <c r="Q11" s="1" t="s">
        <v>0</v>
      </c>
      <c r="R11" s="55" t="s">
        <v>53</v>
      </c>
      <c r="S11" s="3"/>
    </row>
    <row r="12" spans="1:19" ht="12" customHeight="1" x14ac:dyDescent="0.2">
      <c r="A12" s="56">
        <v>46029</v>
      </c>
      <c r="B12" s="58" t="s">
        <v>122</v>
      </c>
      <c r="C12" s="15">
        <v>25712307</v>
      </c>
      <c r="D12" s="55" t="s">
        <v>53</v>
      </c>
      <c r="E12" s="55" t="s">
        <v>52</v>
      </c>
      <c r="F12" s="55" t="s">
        <v>95</v>
      </c>
      <c r="G12" s="55" t="s">
        <v>96</v>
      </c>
      <c r="H12" s="3" t="s">
        <v>113</v>
      </c>
      <c r="I12" s="15">
        <v>190001</v>
      </c>
      <c r="J12" s="15" t="s">
        <v>123</v>
      </c>
      <c r="K12" s="12" t="s">
        <v>124</v>
      </c>
      <c r="L12" s="59" t="s">
        <v>74</v>
      </c>
      <c r="M12" s="13">
        <v>400000</v>
      </c>
      <c r="N12" s="14" t="s">
        <v>128</v>
      </c>
      <c r="O12" s="15" t="s">
        <v>2</v>
      </c>
      <c r="P12" s="3" t="s">
        <v>101</v>
      </c>
      <c r="Q12" s="1" t="s">
        <v>0</v>
      </c>
      <c r="R12" s="55" t="s">
        <v>53</v>
      </c>
      <c r="S12" s="3"/>
    </row>
    <row r="13" spans="1:19" ht="12" customHeight="1" x14ac:dyDescent="0.2">
      <c r="A13" s="56">
        <v>46055</v>
      </c>
      <c r="B13" s="58" t="s">
        <v>122</v>
      </c>
      <c r="C13" s="15">
        <v>25712307</v>
      </c>
      <c r="D13" s="55" t="s">
        <v>53</v>
      </c>
      <c r="E13" s="55" t="s">
        <v>52</v>
      </c>
      <c r="F13" s="55" t="s">
        <v>95</v>
      </c>
      <c r="G13" s="55" t="s">
        <v>96</v>
      </c>
      <c r="H13" s="3" t="s">
        <v>113</v>
      </c>
      <c r="I13" s="15">
        <v>190001</v>
      </c>
      <c r="J13" s="15" t="s">
        <v>123</v>
      </c>
      <c r="K13" s="12" t="s">
        <v>124</v>
      </c>
      <c r="L13" s="59" t="s">
        <v>60</v>
      </c>
      <c r="M13" s="13">
        <v>500000</v>
      </c>
      <c r="N13" s="14" t="s">
        <v>129</v>
      </c>
      <c r="O13" s="15" t="s">
        <v>2</v>
      </c>
      <c r="P13" s="3" t="s">
        <v>101</v>
      </c>
      <c r="Q13" s="1" t="s">
        <v>0</v>
      </c>
      <c r="R13" s="55" t="s">
        <v>53</v>
      </c>
      <c r="S13" s="3"/>
    </row>
    <row r="14" spans="1:19" ht="12" customHeight="1" x14ac:dyDescent="0.2">
      <c r="A14" s="56">
        <v>46058</v>
      </c>
      <c r="B14" s="58" t="s">
        <v>122</v>
      </c>
      <c r="C14" s="15">
        <v>25712307</v>
      </c>
      <c r="D14" s="55" t="s">
        <v>53</v>
      </c>
      <c r="E14" s="55" t="s">
        <v>52</v>
      </c>
      <c r="F14" s="55" t="s">
        <v>95</v>
      </c>
      <c r="G14" s="55" t="s">
        <v>96</v>
      </c>
      <c r="H14" s="3" t="s">
        <v>113</v>
      </c>
      <c r="I14" s="15">
        <v>190001</v>
      </c>
      <c r="J14" s="15" t="s">
        <v>123</v>
      </c>
      <c r="K14" s="12" t="s">
        <v>124</v>
      </c>
      <c r="L14" s="59" t="s">
        <v>3</v>
      </c>
      <c r="M14" s="13">
        <v>150000</v>
      </c>
      <c r="N14" s="14" t="s">
        <v>131</v>
      </c>
      <c r="O14" s="15" t="s">
        <v>2</v>
      </c>
      <c r="P14" s="3" t="s">
        <v>101</v>
      </c>
      <c r="Q14" s="1" t="s">
        <v>0</v>
      </c>
      <c r="R14" s="55" t="s">
        <v>53</v>
      </c>
      <c r="S14" s="3"/>
    </row>
    <row r="15" spans="1:19" ht="12" customHeight="1" x14ac:dyDescent="0.2">
      <c r="A15" s="49">
        <v>46113</v>
      </c>
      <c r="B15" s="58" t="s">
        <v>122</v>
      </c>
      <c r="C15" s="15">
        <v>25712307</v>
      </c>
      <c r="D15" s="55" t="s">
        <v>53</v>
      </c>
      <c r="E15" s="55" t="s">
        <v>52</v>
      </c>
      <c r="F15" s="55" t="s">
        <v>95</v>
      </c>
      <c r="G15" s="55" t="s">
        <v>96</v>
      </c>
      <c r="H15" s="3" t="s">
        <v>113</v>
      </c>
      <c r="I15" s="15">
        <v>190001</v>
      </c>
      <c r="J15" s="15" t="s">
        <v>123</v>
      </c>
      <c r="K15" s="12" t="s">
        <v>124</v>
      </c>
      <c r="L15" s="59" t="s">
        <v>73</v>
      </c>
      <c r="M15" s="13">
        <v>100000</v>
      </c>
      <c r="N15" s="14" t="s">
        <v>132</v>
      </c>
      <c r="O15" s="15" t="s">
        <v>2</v>
      </c>
      <c r="P15" s="3" t="s">
        <v>101</v>
      </c>
      <c r="Q15" s="1" t="s">
        <v>0</v>
      </c>
      <c r="R15" s="55" t="s">
        <v>53</v>
      </c>
      <c r="S15" s="3"/>
    </row>
    <row r="16" spans="1:19" ht="12" customHeight="1" x14ac:dyDescent="0.2">
      <c r="A16" s="56">
        <v>46119</v>
      </c>
      <c r="B16" s="58" t="s">
        <v>122</v>
      </c>
      <c r="C16" s="15">
        <v>25712307</v>
      </c>
      <c r="D16" s="55" t="s">
        <v>53</v>
      </c>
      <c r="E16" s="55" t="s">
        <v>52</v>
      </c>
      <c r="F16" s="55" t="s">
        <v>95</v>
      </c>
      <c r="G16" s="55" t="s">
        <v>96</v>
      </c>
      <c r="H16" s="3" t="s">
        <v>113</v>
      </c>
      <c r="I16" s="15">
        <v>190001</v>
      </c>
      <c r="J16" s="15" t="s">
        <v>123</v>
      </c>
      <c r="K16" s="12" t="s">
        <v>124</v>
      </c>
      <c r="L16" s="59" t="s">
        <v>91</v>
      </c>
      <c r="M16" s="13">
        <v>0</v>
      </c>
      <c r="N16" s="14" t="s">
        <v>130</v>
      </c>
      <c r="O16" s="15" t="s">
        <v>53</v>
      </c>
      <c r="P16" s="3" t="s">
        <v>101</v>
      </c>
      <c r="Q16" s="1" t="s">
        <v>0</v>
      </c>
      <c r="R16" s="55" t="s">
        <v>53</v>
      </c>
      <c r="S16" s="3"/>
    </row>
    <row r="17" spans="1:19" ht="12" customHeight="1" x14ac:dyDescent="0.2">
      <c r="A17" s="56">
        <v>46126</v>
      </c>
      <c r="B17" s="58" t="s">
        <v>122</v>
      </c>
      <c r="C17" s="15">
        <v>25712307</v>
      </c>
      <c r="D17" s="55" t="s">
        <v>53</v>
      </c>
      <c r="E17" s="55" t="s">
        <v>52</v>
      </c>
      <c r="F17" s="55" t="s">
        <v>95</v>
      </c>
      <c r="G17" s="55" t="s">
        <v>96</v>
      </c>
      <c r="H17" s="3" t="s">
        <v>113</v>
      </c>
      <c r="I17" s="15">
        <v>190001</v>
      </c>
      <c r="J17" s="15" t="s">
        <v>123</v>
      </c>
      <c r="K17" s="12" t="s">
        <v>124</v>
      </c>
      <c r="L17" s="59" t="s">
        <v>60</v>
      </c>
      <c r="M17" s="13">
        <v>0</v>
      </c>
      <c r="N17" s="14" t="s">
        <v>61</v>
      </c>
      <c r="O17" s="15" t="s">
        <v>53</v>
      </c>
      <c r="P17" s="3" t="s">
        <v>101</v>
      </c>
      <c r="Q17" s="1" t="s">
        <v>0</v>
      </c>
      <c r="R17" s="55" t="s">
        <v>53</v>
      </c>
      <c r="S17" s="3"/>
    </row>
    <row r="18" spans="1:19" ht="12" customHeight="1" x14ac:dyDescent="0.2">
      <c r="A18" s="49">
        <v>46150</v>
      </c>
      <c r="B18" s="58" t="s">
        <v>122</v>
      </c>
      <c r="C18" s="15">
        <v>25712307</v>
      </c>
      <c r="D18" s="55" t="s">
        <v>53</v>
      </c>
      <c r="E18" s="55" t="s">
        <v>52</v>
      </c>
      <c r="F18" s="55" t="s">
        <v>95</v>
      </c>
      <c r="G18" s="55" t="s">
        <v>96</v>
      </c>
      <c r="H18" s="3" t="s">
        <v>113</v>
      </c>
      <c r="I18" s="15">
        <v>190001</v>
      </c>
      <c r="J18" s="15" t="s">
        <v>123</v>
      </c>
      <c r="K18" s="12" t="s">
        <v>124</v>
      </c>
      <c r="L18" s="59" t="s">
        <v>88</v>
      </c>
      <c r="M18" s="13">
        <v>0</v>
      </c>
      <c r="N18" s="14" t="s">
        <v>89</v>
      </c>
      <c r="O18" s="63" t="s">
        <v>90</v>
      </c>
      <c r="P18" s="3" t="s">
        <v>101</v>
      </c>
      <c r="Q18" s="1" t="s">
        <v>0</v>
      </c>
      <c r="R18" s="55" t="s">
        <v>53</v>
      </c>
      <c r="S18" s="3"/>
    </row>
    <row r="19" spans="1:19" ht="12" customHeight="1" x14ac:dyDescent="0.2">
      <c r="A19" s="49">
        <v>46154</v>
      </c>
      <c r="B19" s="58" t="s">
        <v>122</v>
      </c>
      <c r="C19" s="15">
        <v>25712307</v>
      </c>
      <c r="D19" s="55" t="s">
        <v>53</v>
      </c>
      <c r="E19" s="55" t="s">
        <v>52</v>
      </c>
      <c r="F19" s="55" t="s">
        <v>95</v>
      </c>
      <c r="G19" s="55" t="s">
        <v>96</v>
      </c>
      <c r="H19" s="3" t="s">
        <v>113</v>
      </c>
      <c r="I19" s="15">
        <v>190001</v>
      </c>
      <c r="J19" s="15" t="s">
        <v>123</v>
      </c>
      <c r="K19" s="12" t="s">
        <v>124</v>
      </c>
      <c r="L19" s="59" t="s">
        <v>187</v>
      </c>
      <c r="M19" s="13">
        <v>100000</v>
      </c>
      <c r="N19" s="14" t="s">
        <v>186</v>
      </c>
      <c r="O19" s="15" t="s">
        <v>2</v>
      </c>
      <c r="P19" s="3" t="s">
        <v>101</v>
      </c>
      <c r="Q19" s="1" t="s">
        <v>0</v>
      </c>
      <c r="R19" s="55" t="s">
        <v>53</v>
      </c>
      <c r="S19" s="3"/>
    </row>
    <row r="20" spans="1:19" ht="12" customHeight="1" x14ac:dyDescent="0.2">
      <c r="A20" s="56">
        <v>46130</v>
      </c>
      <c r="B20" s="58" t="s">
        <v>133</v>
      </c>
      <c r="C20" s="15">
        <v>76297055</v>
      </c>
      <c r="D20" s="55" t="s">
        <v>53</v>
      </c>
      <c r="E20" s="55" t="s">
        <v>52</v>
      </c>
      <c r="F20" s="55" t="s">
        <v>95</v>
      </c>
      <c r="G20" s="55" t="s">
        <v>103</v>
      </c>
      <c r="H20" s="3" t="s">
        <v>104</v>
      </c>
      <c r="I20" s="15">
        <v>192601</v>
      </c>
      <c r="J20" s="15" t="s">
        <v>134</v>
      </c>
      <c r="K20" s="12" t="s">
        <v>135</v>
      </c>
      <c r="L20" s="59" t="s">
        <v>1</v>
      </c>
      <c r="M20" s="13">
        <v>100000</v>
      </c>
      <c r="N20" s="12" t="s">
        <v>136</v>
      </c>
      <c r="O20" s="15" t="s">
        <v>2</v>
      </c>
      <c r="P20" s="3" t="s">
        <v>101</v>
      </c>
      <c r="Q20" s="1" t="s">
        <v>0</v>
      </c>
      <c r="R20" s="55" t="s">
        <v>53</v>
      </c>
      <c r="S20" s="3"/>
    </row>
    <row r="21" spans="1:19" ht="12" customHeight="1" x14ac:dyDescent="0.2">
      <c r="A21" s="56">
        <v>46133</v>
      </c>
      <c r="B21" s="58" t="s">
        <v>133</v>
      </c>
      <c r="C21" s="15">
        <v>76297055</v>
      </c>
      <c r="D21" s="55" t="s">
        <v>53</v>
      </c>
      <c r="E21" s="55" t="s">
        <v>52</v>
      </c>
      <c r="F21" s="55" t="s">
        <v>95</v>
      </c>
      <c r="G21" s="55" t="s">
        <v>103</v>
      </c>
      <c r="H21" s="3" t="s">
        <v>104</v>
      </c>
      <c r="I21" s="15">
        <v>192601</v>
      </c>
      <c r="J21" s="15" t="s">
        <v>134</v>
      </c>
      <c r="K21" s="12" t="s">
        <v>135</v>
      </c>
      <c r="L21" s="59" t="s">
        <v>54</v>
      </c>
      <c r="M21" s="13">
        <v>0</v>
      </c>
      <c r="N21" s="12" t="s">
        <v>58</v>
      </c>
      <c r="O21" s="15" t="s">
        <v>53</v>
      </c>
      <c r="P21" s="3" t="s">
        <v>101</v>
      </c>
      <c r="Q21" s="1" t="s">
        <v>0</v>
      </c>
      <c r="R21" s="55" t="s">
        <v>53</v>
      </c>
      <c r="S21" s="3"/>
    </row>
    <row r="22" spans="1:19" ht="12" customHeight="1" x14ac:dyDescent="0.2">
      <c r="A22" s="56">
        <v>46118</v>
      </c>
      <c r="B22" s="58" t="s">
        <v>137</v>
      </c>
      <c r="C22" s="15">
        <v>76160109</v>
      </c>
      <c r="D22" s="55" t="s">
        <v>53</v>
      </c>
      <c r="E22" s="55" t="s">
        <v>52</v>
      </c>
      <c r="F22" s="55" t="s">
        <v>95</v>
      </c>
      <c r="G22" s="55" t="s">
        <v>96</v>
      </c>
      <c r="H22" s="3" t="s">
        <v>113</v>
      </c>
      <c r="I22" s="15">
        <v>190001</v>
      </c>
      <c r="J22" s="15" t="s">
        <v>138</v>
      </c>
      <c r="K22" s="12" t="s">
        <v>139</v>
      </c>
      <c r="L22" s="59" t="s">
        <v>73</v>
      </c>
      <c r="M22" s="13">
        <v>100000</v>
      </c>
      <c r="N22" s="14" t="s">
        <v>140</v>
      </c>
      <c r="O22" s="15" t="s">
        <v>2</v>
      </c>
      <c r="P22" s="3" t="s">
        <v>101</v>
      </c>
      <c r="Q22" s="1" t="s">
        <v>0</v>
      </c>
      <c r="R22" s="55" t="s">
        <v>53</v>
      </c>
      <c r="S22" s="3"/>
    </row>
    <row r="23" spans="1:19" ht="12" customHeight="1" x14ac:dyDescent="0.2">
      <c r="A23" s="56">
        <v>46059</v>
      </c>
      <c r="B23" s="58" t="s">
        <v>141</v>
      </c>
      <c r="C23" s="15">
        <v>34571699</v>
      </c>
      <c r="D23" s="55" t="s">
        <v>53</v>
      </c>
      <c r="E23" s="55" t="s">
        <v>52</v>
      </c>
      <c r="F23" s="55" t="s">
        <v>95</v>
      </c>
      <c r="G23" s="55" t="s">
        <v>96</v>
      </c>
      <c r="H23" s="3" t="s">
        <v>142</v>
      </c>
      <c r="I23" s="15">
        <v>190001</v>
      </c>
      <c r="J23" s="15" t="s">
        <v>143</v>
      </c>
      <c r="K23" s="12" t="s">
        <v>144</v>
      </c>
      <c r="L23" s="59" t="s">
        <v>3</v>
      </c>
      <c r="M23" s="13">
        <v>150000</v>
      </c>
      <c r="N23" s="14" t="s">
        <v>145</v>
      </c>
      <c r="O23" s="15" t="s">
        <v>2</v>
      </c>
      <c r="P23" s="3" t="s">
        <v>101</v>
      </c>
      <c r="Q23" s="1" t="s">
        <v>0</v>
      </c>
      <c r="R23" s="55" t="s">
        <v>53</v>
      </c>
      <c r="S23" s="3"/>
    </row>
    <row r="24" spans="1:19" ht="12" customHeight="1" x14ac:dyDescent="0.2">
      <c r="A24" s="56">
        <v>46132</v>
      </c>
      <c r="B24" s="58" t="s">
        <v>146</v>
      </c>
      <c r="C24" s="15">
        <v>1011096675</v>
      </c>
      <c r="D24" s="55" t="s">
        <v>53</v>
      </c>
      <c r="E24" s="55" t="s">
        <v>52</v>
      </c>
      <c r="F24" s="55" t="s">
        <v>95</v>
      </c>
      <c r="G24" s="55" t="s">
        <v>96</v>
      </c>
      <c r="H24" s="3" t="s">
        <v>147</v>
      </c>
      <c r="I24" s="15">
        <v>190001</v>
      </c>
      <c r="J24" s="15" t="s">
        <v>148</v>
      </c>
      <c r="K24" s="12" t="s">
        <v>149</v>
      </c>
      <c r="L24" s="59" t="s">
        <v>1</v>
      </c>
      <c r="M24" s="13">
        <v>100000</v>
      </c>
      <c r="N24" s="12" t="s">
        <v>150</v>
      </c>
      <c r="O24" s="15" t="s">
        <v>2</v>
      </c>
      <c r="P24" s="3" t="s">
        <v>101</v>
      </c>
      <c r="Q24" s="1" t="s">
        <v>0</v>
      </c>
      <c r="R24" s="55" t="s">
        <v>53</v>
      </c>
      <c r="S24" s="3"/>
    </row>
    <row r="25" spans="1:19" ht="12" customHeight="1" x14ac:dyDescent="0.2">
      <c r="A25" s="56">
        <v>46147</v>
      </c>
      <c r="B25" s="58" t="s">
        <v>146</v>
      </c>
      <c r="C25" s="15">
        <v>1011096675</v>
      </c>
      <c r="D25" s="55" t="s">
        <v>53</v>
      </c>
      <c r="E25" s="55" t="s">
        <v>52</v>
      </c>
      <c r="F25" s="55" t="s">
        <v>95</v>
      </c>
      <c r="G25" s="55" t="s">
        <v>96</v>
      </c>
      <c r="H25" s="3" t="s">
        <v>147</v>
      </c>
      <c r="I25" s="15">
        <v>190001</v>
      </c>
      <c r="J25" s="15" t="s">
        <v>148</v>
      </c>
      <c r="K25" s="12" t="s">
        <v>149</v>
      </c>
      <c r="L25" s="59" t="s">
        <v>54</v>
      </c>
      <c r="M25" s="13">
        <v>0</v>
      </c>
      <c r="N25" s="12" t="s">
        <v>58</v>
      </c>
      <c r="O25" s="15" t="s">
        <v>53</v>
      </c>
      <c r="P25" s="3" t="s">
        <v>101</v>
      </c>
      <c r="Q25" s="1" t="s">
        <v>0</v>
      </c>
      <c r="R25" s="55" t="s">
        <v>53</v>
      </c>
      <c r="S25" s="3"/>
    </row>
    <row r="26" spans="1:19" ht="12" customHeight="1" x14ac:dyDescent="0.2">
      <c r="A26" s="56">
        <v>46130</v>
      </c>
      <c r="B26" s="58" t="s">
        <v>151</v>
      </c>
      <c r="C26" s="15">
        <v>1003102894</v>
      </c>
      <c r="D26" s="55" t="s">
        <v>53</v>
      </c>
      <c r="E26" s="55" t="s">
        <v>52</v>
      </c>
      <c r="F26" s="55" t="s">
        <v>95</v>
      </c>
      <c r="G26" s="55" t="s">
        <v>103</v>
      </c>
      <c r="H26" s="3" t="s">
        <v>104</v>
      </c>
      <c r="I26" s="15">
        <v>192601</v>
      </c>
      <c r="J26" s="15" t="s">
        <v>152</v>
      </c>
      <c r="K26" s="12" t="s">
        <v>153</v>
      </c>
      <c r="L26" s="59" t="s">
        <v>56</v>
      </c>
      <c r="M26" s="13">
        <v>0</v>
      </c>
      <c r="N26" s="12" t="s">
        <v>58</v>
      </c>
      <c r="O26" s="15" t="s">
        <v>53</v>
      </c>
      <c r="P26" s="3" t="s">
        <v>101</v>
      </c>
      <c r="Q26" s="1" t="s">
        <v>0</v>
      </c>
      <c r="R26" s="55" t="s">
        <v>53</v>
      </c>
      <c r="S26" s="3"/>
    </row>
    <row r="27" spans="1:19" ht="12" customHeight="1" x14ac:dyDescent="0.2">
      <c r="A27" s="56">
        <v>46130</v>
      </c>
      <c r="B27" s="58" t="s">
        <v>151</v>
      </c>
      <c r="C27" s="15">
        <v>1003102894</v>
      </c>
      <c r="D27" s="55" t="s">
        <v>53</v>
      </c>
      <c r="E27" s="55" t="s">
        <v>52</v>
      </c>
      <c r="F27" s="55" t="s">
        <v>95</v>
      </c>
      <c r="G27" s="55" t="s">
        <v>103</v>
      </c>
      <c r="H27" s="3" t="s">
        <v>104</v>
      </c>
      <c r="I27" s="15">
        <v>192601</v>
      </c>
      <c r="J27" s="15" t="s">
        <v>152</v>
      </c>
      <c r="K27" s="12" t="s">
        <v>153</v>
      </c>
      <c r="L27" s="59" t="s">
        <v>42</v>
      </c>
      <c r="M27" s="13">
        <v>200000</v>
      </c>
      <c r="N27" s="12" t="s">
        <v>154</v>
      </c>
      <c r="O27" s="15" t="s">
        <v>2</v>
      </c>
      <c r="P27" s="3" t="s">
        <v>101</v>
      </c>
      <c r="Q27" s="1" t="s">
        <v>0</v>
      </c>
      <c r="R27" s="55" t="s">
        <v>53</v>
      </c>
      <c r="S27" s="3"/>
    </row>
    <row r="28" spans="1:19" ht="12" customHeight="1" x14ac:dyDescent="0.2">
      <c r="A28" s="49">
        <v>46113</v>
      </c>
      <c r="B28" s="58" t="s">
        <v>155</v>
      </c>
      <c r="C28" s="15">
        <v>25285110</v>
      </c>
      <c r="D28" s="55" t="s">
        <v>53</v>
      </c>
      <c r="E28" s="55" t="s">
        <v>52</v>
      </c>
      <c r="F28" s="55" t="s">
        <v>156</v>
      </c>
      <c r="G28" s="55" t="s">
        <v>157</v>
      </c>
      <c r="H28" s="3" t="s">
        <v>158</v>
      </c>
      <c r="I28" s="15">
        <v>660001</v>
      </c>
      <c r="J28" s="15" t="s">
        <v>159</v>
      </c>
      <c r="K28" s="12" t="s">
        <v>160</v>
      </c>
      <c r="L28" s="59" t="s">
        <v>73</v>
      </c>
      <c r="M28" s="13">
        <v>100000</v>
      </c>
      <c r="N28" s="14" t="s">
        <v>161</v>
      </c>
      <c r="O28" s="15" t="s">
        <v>2</v>
      </c>
      <c r="P28" s="3" t="s">
        <v>101</v>
      </c>
      <c r="Q28" s="1" t="s">
        <v>0</v>
      </c>
      <c r="R28" s="55" t="s">
        <v>53</v>
      </c>
      <c r="S28" s="3"/>
    </row>
    <row r="29" spans="1:19" ht="12" customHeight="1" x14ac:dyDescent="0.2">
      <c r="A29" s="61">
        <v>46069</v>
      </c>
      <c r="B29" s="58" t="s">
        <v>162</v>
      </c>
      <c r="C29" s="15">
        <v>14879972</v>
      </c>
      <c r="D29" s="55" t="s">
        <v>53</v>
      </c>
      <c r="E29" s="55" t="s">
        <v>52</v>
      </c>
      <c r="F29" s="55" t="s">
        <v>95</v>
      </c>
      <c r="G29" s="55" t="s">
        <v>96</v>
      </c>
      <c r="H29" s="3" t="s">
        <v>104</v>
      </c>
      <c r="I29" s="15">
        <v>190001</v>
      </c>
      <c r="J29" s="15" t="s">
        <v>163</v>
      </c>
      <c r="K29" s="12" t="s">
        <v>164</v>
      </c>
      <c r="L29" s="59" t="s">
        <v>4</v>
      </c>
      <c r="M29" s="13">
        <v>300000</v>
      </c>
      <c r="N29" s="14" t="s">
        <v>165</v>
      </c>
      <c r="O29" s="15" t="s">
        <v>2</v>
      </c>
      <c r="P29" s="3" t="s">
        <v>101</v>
      </c>
      <c r="Q29" s="1" t="s">
        <v>0</v>
      </c>
      <c r="R29" s="55" t="s">
        <v>53</v>
      </c>
      <c r="S29" s="3"/>
    </row>
    <row r="30" spans="1:19" ht="12" customHeight="1" x14ac:dyDescent="0.2">
      <c r="A30" s="61">
        <v>46069</v>
      </c>
      <c r="B30" s="58" t="s">
        <v>162</v>
      </c>
      <c r="C30" s="15">
        <v>14879972</v>
      </c>
      <c r="D30" s="55" t="s">
        <v>53</v>
      </c>
      <c r="E30" s="55" t="s">
        <v>52</v>
      </c>
      <c r="F30" s="55" t="s">
        <v>95</v>
      </c>
      <c r="G30" s="55" t="s">
        <v>96</v>
      </c>
      <c r="H30" s="3" t="s">
        <v>104</v>
      </c>
      <c r="I30" s="15">
        <v>190001</v>
      </c>
      <c r="J30" s="15" t="s">
        <v>163</v>
      </c>
      <c r="K30" s="12" t="s">
        <v>164</v>
      </c>
      <c r="L30" s="59" t="s">
        <v>56</v>
      </c>
      <c r="M30" s="13">
        <v>0</v>
      </c>
      <c r="N30" s="12" t="s">
        <v>57</v>
      </c>
      <c r="O30" s="15" t="s">
        <v>53</v>
      </c>
      <c r="P30" s="3" t="s">
        <v>101</v>
      </c>
      <c r="Q30" s="1" t="s">
        <v>0</v>
      </c>
      <c r="R30" s="55" t="s">
        <v>53</v>
      </c>
      <c r="S30" s="3"/>
    </row>
    <row r="31" spans="1:19" ht="12" customHeight="1" x14ac:dyDescent="0.2">
      <c r="A31" s="61">
        <v>46057</v>
      </c>
      <c r="B31" s="58" t="s">
        <v>166</v>
      </c>
      <c r="C31" s="15">
        <v>76344521</v>
      </c>
      <c r="D31" s="55" t="s">
        <v>53</v>
      </c>
      <c r="E31" s="55" t="s">
        <v>52</v>
      </c>
      <c r="F31" s="55" t="s">
        <v>95</v>
      </c>
      <c r="G31" s="55" t="s">
        <v>103</v>
      </c>
      <c r="H31" s="3" t="s">
        <v>104</v>
      </c>
      <c r="I31" s="15">
        <v>193520</v>
      </c>
      <c r="J31" s="15" t="s">
        <v>167</v>
      </c>
      <c r="K31" s="12" t="s">
        <v>168</v>
      </c>
      <c r="L31" s="59" t="s">
        <v>60</v>
      </c>
      <c r="M31" s="13">
        <v>500000</v>
      </c>
      <c r="N31" s="14" t="s">
        <v>169</v>
      </c>
      <c r="O31" s="15" t="s">
        <v>2</v>
      </c>
      <c r="P31" s="3" t="s">
        <v>101</v>
      </c>
      <c r="Q31" s="1" t="s">
        <v>0</v>
      </c>
      <c r="R31" s="55" t="s">
        <v>53</v>
      </c>
      <c r="S31" s="3"/>
    </row>
    <row r="32" spans="1:19" ht="12" customHeight="1" x14ac:dyDescent="0.2">
      <c r="A32" s="56">
        <v>46127</v>
      </c>
      <c r="B32" s="58" t="s">
        <v>170</v>
      </c>
      <c r="C32" s="15">
        <v>12169578</v>
      </c>
      <c r="D32" s="55" t="s">
        <v>53</v>
      </c>
      <c r="E32" s="55" t="s">
        <v>52</v>
      </c>
      <c r="F32" s="55" t="s">
        <v>156</v>
      </c>
      <c r="G32" s="55" t="s">
        <v>157</v>
      </c>
      <c r="H32" s="3" t="s">
        <v>171</v>
      </c>
      <c r="I32" s="15">
        <v>660009</v>
      </c>
      <c r="J32" s="15" t="s">
        <v>172</v>
      </c>
      <c r="K32" s="12" t="s">
        <v>173</v>
      </c>
      <c r="L32" s="59" t="s">
        <v>1</v>
      </c>
      <c r="M32" s="13">
        <v>0</v>
      </c>
      <c r="N32" s="12" t="s">
        <v>58</v>
      </c>
      <c r="O32" s="15" t="s">
        <v>53</v>
      </c>
      <c r="P32" s="3" t="s">
        <v>101</v>
      </c>
      <c r="Q32" s="1" t="s">
        <v>0</v>
      </c>
      <c r="R32" s="55" t="s">
        <v>53</v>
      </c>
      <c r="S32" s="3"/>
    </row>
    <row r="33" spans="1:19" ht="12" customHeight="1" x14ac:dyDescent="0.2">
      <c r="A33" s="56">
        <v>46127</v>
      </c>
      <c r="B33" s="58" t="s">
        <v>170</v>
      </c>
      <c r="C33" s="15">
        <v>12169578</v>
      </c>
      <c r="D33" s="55" t="s">
        <v>53</v>
      </c>
      <c r="E33" s="55" t="s">
        <v>52</v>
      </c>
      <c r="F33" s="55" t="s">
        <v>156</v>
      </c>
      <c r="G33" s="55" t="s">
        <v>157</v>
      </c>
      <c r="H33" s="3" t="s">
        <v>171</v>
      </c>
      <c r="I33" s="15">
        <v>660009</v>
      </c>
      <c r="J33" s="15" t="s">
        <v>172</v>
      </c>
      <c r="K33" s="12" t="s">
        <v>173</v>
      </c>
      <c r="L33" s="59" t="s">
        <v>1</v>
      </c>
      <c r="M33" s="13">
        <v>100000</v>
      </c>
      <c r="N33" s="12" t="s">
        <v>174</v>
      </c>
      <c r="O33" s="15" t="s">
        <v>2</v>
      </c>
      <c r="P33" s="3" t="s">
        <v>101</v>
      </c>
      <c r="Q33" s="1" t="s">
        <v>0</v>
      </c>
      <c r="R33" s="55" t="s">
        <v>53</v>
      </c>
      <c r="S33" s="3"/>
    </row>
    <row r="34" spans="1:19" ht="12" customHeight="1" x14ac:dyDescent="0.2">
      <c r="A34" s="61">
        <v>46113</v>
      </c>
      <c r="B34" s="58" t="s">
        <v>175</v>
      </c>
      <c r="C34" s="135">
        <v>1061755202</v>
      </c>
      <c r="D34" s="136" t="s">
        <v>53</v>
      </c>
      <c r="E34" s="136" t="s">
        <v>52</v>
      </c>
      <c r="F34" s="136" t="s">
        <v>95</v>
      </c>
      <c r="G34" s="136" t="s">
        <v>96</v>
      </c>
      <c r="H34" s="60" t="s">
        <v>176</v>
      </c>
      <c r="I34" s="137">
        <v>190001</v>
      </c>
      <c r="J34" s="15" t="s">
        <v>177</v>
      </c>
      <c r="K34" s="105" t="s">
        <v>178</v>
      </c>
      <c r="L34" s="59" t="s">
        <v>73</v>
      </c>
      <c r="M34" s="13">
        <v>100000</v>
      </c>
      <c r="N34" s="14" t="s">
        <v>179</v>
      </c>
      <c r="O34" s="15" t="s">
        <v>2</v>
      </c>
      <c r="P34" s="3" t="s">
        <v>101</v>
      </c>
      <c r="Q34" s="1" t="s">
        <v>0</v>
      </c>
      <c r="R34" s="55" t="s">
        <v>53</v>
      </c>
      <c r="S34" s="3"/>
    </row>
    <row r="35" spans="1:19" ht="12" customHeight="1" x14ac:dyDescent="0.2">
      <c r="A35" s="61">
        <v>46156</v>
      </c>
      <c r="B35" s="58" t="s">
        <v>180</v>
      </c>
      <c r="C35" s="135">
        <v>25707939</v>
      </c>
      <c r="D35" s="136" t="s">
        <v>53</v>
      </c>
      <c r="E35" s="136" t="s">
        <v>52</v>
      </c>
      <c r="F35" s="136" t="s">
        <v>95</v>
      </c>
      <c r="G35" s="136" t="s">
        <v>103</v>
      </c>
      <c r="H35" s="60" t="s">
        <v>181</v>
      </c>
      <c r="I35" s="137">
        <v>193520</v>
      </c>
      <c r="J35" s="15" t="s">
        <v>182</v>
      </c>
      <c r="K35" s="105" t="s">
        <v>183</v>
      </c>
      <c r="L35" s="59" t="s">
        <v>1</v>
      </c>
      <c r="M35" s="13">
        <v>100000</v>
      </c>
      <c r="N35" s="14" t="s">
        <v>184</v>
      </c>
      <c r="O35" s="15" t="s">
        <v>2</v>
      </c>
      <c r="P35" s="3" t="s">
        <v>101</v>
      </c>
      <c r="Q35" s="1" t="s">
        <v>0</v>
      </c>
      <c r="R35" s="55" t="s">
        <v>53</v>
      </c>
      <c r="S35" s="3"/>
    </row>
    <row r="36" spans="1:19" x14ac:dyDescent="0.2">
      <c r="L36" s="62"/>
    </row>
    <row r="37" spans="1:19" x14ac:dyDescent="0.2">
      <c r="L37" s="62"/>
    </row>
    <row r="38" spans="1:19" x14ac:dyDescent="0.2">
      <c r="L38" s="62"/>
    </row>
    <row r="39" spans="1:19" x14ac:dyDescent="0.2">
      <c r="L39" s="62"/>
    </row>
    <row r="40" spans="1:19" x14ac:dyDescent="0.2">
      <c r="L40" s="62"/>
    </row>
    <row r="41" spans="1:19" x14ac:dyDescent="0.2">
      <c r="L41" s="62"/>
    </row>
    <row r="42" spans="1:19" x14ac:dyDescent="0.2">
      <c r="L42" s="62"/>
    </row>
    <row r="43" spans="1:19" x14ac:dyDescent="0.2">
      <c r="L43" s="62"/>
    </row>
    <row r="44" spans="1:19" x14ac:dyDescent="0.2">
      <c r="L44" s="62"/>
    </row>
    <row r="45" spans="1:19" x14ac:dyDescent="0.2">
      <c r="L45" s="62"/>
    </row>
    <row r="46" spans="1:19" x14ac:dyDescent="0.2">
      <c r="L46" s="62"/>
    </row>
    <row r="47" spans="1:19" x14ac:dyDescent="0.2">
      <c r="L47" s="62"/>
    </row>
    <row r="48" spans="1:19" x14ac:dyDescent="0.2">
      <c r="L48" s="62"/>
    </row>
    <row r="49" spans="12:12" x14ac:dyDescent="0.2">
      <c r="L49" s="62"/>
    </row>
    <row r="50" spans="12:12" x14ac:dyDescent="0.2">
      <c r="L50" s="62"/>
    </row>
    <row r="51" spans="12:12" x14ac:dyDescent="0.2">
      <c r="L51" s="62"/>
    </row>
    <row r="52" spans="12:12" x14ac:dyDescent="0.2">
      <c r="L52" s="62"/>
    </row>
    <row r="53" spans="12:12" x14ac:dyDescent="0.2">
      <c r="L53" s="62"/>
    </row>
    <row r="54" spans="12:12" x14ac:dyDescent="0.2">
      <c r="L54" s="62"/>
    </row>
    <row r="55" spans="12:12" x14ac:dyDescent="0.2">
      <c r="L55" s="62"/>
    </row>
    <row r="56" spans="12:12" x14ac:dyDescent="0.2">
      <c r="L56" s="62"/>
    </row>
    <row r="57" spans="12:12" x14ac:dyDescent="0.2">
      <c r="L57" s="62"/>
    </row>
    <row r="58" spans="12:12" x14ac:dyDescent="0.2">
      <c r="L58" s="62"/>
    </row>
    <row r="59" spans="12:12" x14ac:dyDescent="0.2">
      <c r="L59" s="62"/>
    </row>
    <row r="60" spans="12:12" x14ac:dyDescent="0.2">
      <c r="L60" s="62"/>
    </row>
    <row r="61" spans="12:12" x14ac:dyDescent="0.2">
      <c r="L61" s="62"/>
    </row>
    <row r="62" spans="12:12" x14ac:dyDescent="0.2">
      <c r="L62" s="62"/>
    </row>
    <row r="63" spans="12:12" x14ac:dyDescent="0.2">
      <c r="L63" s="62"/>
    </row>
    <row r="64" spans="12:12" x14ac:dyDescent="0.2">
      <c r="L64" s="62"/>
    </row>
    <row r="65" spans="12:12" x14ac:dyDescent="0.2">
      <c r="L65" s="62"/>
    </row>
    <row r="66" spans="12:12" x14ac:dyDescent="0.2">
      <c r="L66" s="62"/>
    </row>
    <row r="67" spans="12:12" x14ac:dyDescent="0.2">
      <c r="L67" s="62"/>
    </row>
    <row r="68" spans="12:12" x14ac:dyDescent="0.2">
      <c r="L68" s="62"/>
    </row>
    <row r="69" spans="12:12" x14ac:dyDescent="0.2">
      <c r="L69" s="62"/>
    </row>
    <row r="70" spans="12:12" x14ac:dyDescent="0.2">
      <c r="L70" s="62"/>
    </row>
    <row r="71" spans="12:12" x14ac:dyDescent="0.2">
      <c r="L71" s="62"/>
    </row>
    <row r="72" spans="12:12" x14ac:dyDescent="0.2">
      <c r="L72" s="62"/>
    </row>
    <row r="73" spans="12:12" x14ac:dyDescent="0.2">
      <c r="L73" s="62"/>
    </row>
    <row r="74" spans="12:12" x14ac:dyDescent="0.2">
      <c r="L74" s="62"/>
    </row>
    <row r="75" spans="12:12" x14ac:dyDescent="0.2">
      <c r="L75" s="62"/>
    </row>
    <row r="76" spans="12:12" x14ac:dyDescent="0.2">
      <c r="L76" s="62"/>
    </row>
    <row r="77" spans="12:12" x14ac:dyDescent="0.2">
      <c r="L77" s="62"/>
    </row>
    <row r="78" spans="12:12" x14ac:dyDescent="0.2">
      <c r="L78" s="62"/>
    </row>
    <row r="79" spans="12:12" x14ac:dyDescent="0.2">
      <c r="L79" s="62"/>
    </row>
    <row r="80" spans="12:12" x14ac:dyDescent="0.2">
      <c r="L80" s="62"/>
    </row>
    <row r="81" spans="12:12" x14ac:dyDescent="0.2">
      <c r="L81" s="62"/>
    </row>
    <row r="82" spans="12:12" x14ac:dyDescent="0.2">
      <c r="L82" s="62"/>
    </row>
    <row r="83" spans="12:12" x14ac:dyDescent="0.2">
      <c r="L83" s="62"/>
    </row>
    <row r="84" spans="12:12" x14ac:dyDescent="0.2">
      <c r="L84" s="62"/>
    </row>
    <row r="85" spans="12:12" x14ac:dyDescent="0.2">
      <c r="L85" s="62"/>
    </row>
    <row r="86" spans="12:12" x14ac:dyDescent="0.2">
      <c r="L86" s="62"/>
    </row>
    <row r="87" spans="12:12" x14ac:dyDescent="0.2">
      <c r="L87" s="62"/>
    </row>
    <row r="88" spans="12:12" x14ac:dyDescent="0.2">
      <c r="L88" s="62"/>
    </row>
    <row r="89" spans="12:12" x14ac:dyDescent="0.2">
      <c r="L89" s="62"/>
    </row>
    <row r="90" spans="12:12" x14ac:dyDescent="0.2">
      <c r="L90" s="62"/>
    </row>
    <row r="91" spans="12:12" x14ac:dyDescent="0.2">
      <c r="L91" s="62"/>
    </row>
    <row r="92" spans="12:12" x14ac:dyDescent="0.2">
      <c r="L92" s="62"/>
    </row>
    <row r="93" spans="12:12" x14ac:dyDescent="0.2">
      <c r="L93" s="62"/>
    </row>
    <row r="94" spans="12:12" x14ac:dyDescent="0.2">
      <c r="L94" s="62"/>
    </row>
    <row r="95" spans="12:12" x14ac:dyDescent="0.2">
      <c r="L95" s="62"/>
    </row>
    <row r="96" spans="12:12" x14ac:dyDescent="0.2">
      <c r="L96" s="62"/>
    </row>
    <row r="97" spans="12:12" x14ac:dyDescent="0.2">
      <c r="L97" s="62"/>
    </row>
    <row r="98" spans="12:12" x14ac:dyDescent="0.2">
      <c r="L98" s="62"/>
    </row>
    <row r="99" spans="12:12" x14ac:dyDescent="0.2">
      <c r="L99" s="62"/>
    </row>
    <row r="100" spans="12:12" x14ac:dyDescent="0.2">
      <c r="L100" s="62"/>
    </row>
    <row r="101" spans="12:12" x14ac:dyDescent="0.2">
      <c r="L101" s="62"/>
    </row>
    <row r="102" spans="12:12" x14ac:dyDescent="0.2">
      <c r="L102" s="62"/>
    </row>
    <row r="103" spans="12:12" x14ac:dyDescent="0.2">
      <c r="L103" s="62"/>
    </row>
    <row r="104" spans="12:12" x14ac:dyDescent="0.2">
      <c r="L104" s="62"/>
    </row>
    <row r="105" spans="12:12" x14ac:dyDescent="0.2">
      <c r="L105" s="62"/>
    </row>
    <row r="106" spans="12:12" x14ac:dyDescent="0.2">
      <c r="L106" s="62"/>
    </row>
    <row r="107" spans="12:12" x14ac:dyDescent="0.2">
      <c r="L107" s="62"/>
    </row>
    <row r="108" spans="12:12" x14ac:dyDescent="0.2">
      <c r="L108" s="62"/>
    </row>
    <row r="109" spans="12:12" x14ac:dyDescent="0.2">
      <c r="L109" s="62"/>
    </row>
    <row r="110" spans="12:12" x14ac:dyDescent="0.2">
      <c r="L110" s="62"/>
    </row>
    <row r="111" spans="12:12" x14ac:dyDescent="0.2">
      <c r="L111" s="62"/>
    </row>
    <row r="112" spans="12:12" x14ac:dyDescent="0.2">
      <c r="L112" s="62"/>
    </row>
    <row r="113" spans="12:12" x14ac:dyDescent="0.2">
      <c r="L113" s="62"/>
    </row>
    <row r="114" spans="12:12" x14ac:dyDescent="0.2">
      <c r="L114" s="62"/>
    </row>
    <row r="115" spans="12:12" x14ac:dyDescent="0.2">
      <c r="L115" s="62"/>
    </row>
    <row r="116" spans="12:12" x14ac:dyDescent="0.2">
      <c r="L116" s="62"/>
    </row>
    <row r="117" spans="12:12" x14ac:dyDescent="0.2">
      <c r="L117" s="62"/>
    </row>
    <row r="118" spans="12:12" x14ac:dyDescent="0.2">
      <c r="L118" s="62"/>
    </row>
    <row r="119" spans="12:12" x14ac:dyDescent="0.2">
      <c r="L119" s="62"/>
    </row>
    <row r="120" spans="12:12" x14ac:dyDescent="0.2">
      <c r="L120" s="62"/>
    </row>
    <row r="121" spans="12:12" x14ac:dyDescent="0.2">
      <c r="L121" s="62"/>
    </row>
    <row r="122" spans="12:12" x14ac:dyDescent="0.2">
      <c r="L122" s="62"/>
    </row>
    <row r="123" spans="12:12" x14ac:dyDescent="0.2">
      <c r="L123" s="62"/>
    </row>
    <row r="124" spans="12:12" x14ac:dyDescent="0.2">
      <c r="L124" s="62"/>
    </row>
    <row r="125" spans="12:12" x14ac:dyDescent="0.2">
      <c r="L125" s="62"/>
    </row>
    <row r="126" spans="12:12" x14ac:dyDescent="0.2">
      <c r="L126" s="62"/>
    </row>
    <row r="127" spans="12:12" x14ac:dyDescent="0.2">
      <c r="L127" s="62"/>
    </row>
    <row r="128" spans="12:12" x14ac:dyDescent="0.2">
      <c r="L128" s="62"/>
    </row>
    <row r="129" spans="12:12" x14ac:dyDescent="0.2">
      <c r="L129" s="62"/>
    </row>
    <row r="130" spans="12:12" x14ac:dyDescent="0.2">
      <c r="L130" s="62"/>
    </row>
    <row r="131" spans="12:12" x14ac:dyDescent="0.2">
      <c r="L131" s="62"/>
    </row>
    <row r="132" spans="12:12" x14ac:dyDescent="0.2">
      <c r="L132" s="62"/>
    </row>
    <row r="133" spans="12:12" x14ac:dyDescent="0.2">
      <c r="L133" s="62"/>
    </row>
    <row r="134" spans="12:12" x14ac:dyDescent="0.2">
      <c r="L134" s="62"/>
    </row>
    <row r="135" spans="12:12" x14ac:dyDescent="0.2">
      <c r="L135" s="62"/>
    </row>
    <row r="136" spans="12:12" x14ac:dyDescent="0.2">
      <c r="L136" s="62"/>
    </row>
    <row r="137" spans="12:12" x14ac:dyDescent="0.2">
      <c r="L137" s="62"/>
    </row>
    <row r="138" spans="12:12" x14ac:dyDescent="0.2">
      <c r="L138" s="62"/>
    </row>
    <row r="139" spans="12:12" x14ac:dyDescent="0.2">
      <c r="L139" s="62"/>
    </row>
    <row r="140" spans="12:12" x14ac:dyDescent="0.2">
      <c r="L140" s="62"/>
    </row>
    <row r="141" spans="12:12" x14ac:dyDescent="0.2">
      <c r="L141" s="62"/>
    </row>
    <row r="142" spans="12:12" x14ac:dyDescent="0.2">
      <c r="L142" s="62"/>
    </row>
    <row r="143" spans="12:12" x14ac:dyDescent="0.2">
      <c r="L143" s="62"/>
    </row>
    <row r="144" spans="12:12" x14ac:dyDescent="0.2">
      <c r="L144" s="62"/>
    </row>
    <row r="145" spans="12:12" x14ac:dyDescent="0.2">
      <c r="L145" s="62"/>
    </row>
    <row r="146" spans="12:12" x14ac:dyDescent="0.2">
      <c r="L146" s="62"/>
    </row>
    <row r="147" spans="12:12" x14ac:dyDescent="0.2">
      <c r="L147" s="62"/>
    </row>
    <row r="148" spans="12:12" x14ac:dyDescent="0.2">
      <c r="L148" s="62"/>
    </row>
    <row r="149" spans="12:12" x14ac:dyDescent="0.2">
      <c r="L149" s="62"/>
    </row>
    <row r="150" spans="12:12" x14ac:dyDescent="0.2">
      <c r="L150" s="62"/>
    </row>
    <row r="151" spans="12:12" x14ac:dyDescent="0.2">
      <c r="L151" s="62"/>
    </row>
    <row r="152" spans="12:12" x14ac:dyDescent="0.2">
      <c r="L152" s="62"/>
    </row>
    <row r="153" spans="12:12" x14ac:dyDescent="0.2">
      <c r="L153" s="62"/>
    </row>
    <row r="154" spans="12:12" x14ac:dyDescent="0.2">
      <c r="L154" s="62"/>
    </row>
    <row r="155" spans="12:12" x14ac:dyDescent="0.2">
      <c r="L155" s="62"/>
    </row>
    <row r="156" spans="12:12" x14ac:dyDescent="0.2">
      <c r="L156" s="62"/>
    </row>
    <row r="157" spans="12:12" x14ac:dyDescent="0.2">
      <c r="L157" s="62"/>
    </row>
    <row r="158" spans="12:12" x14ac:dyDescent="0.2">
      <c r="L158" s="62"/>
    </row>
    <row r="159" spans="12:12" x14ac:dyDescent="0.2">
      <c r="L159" s="62"/>
    </row>
    <row r="160" spans="12:12" x14ac:dyDescent="0.2">
      <c r="L160" s="62"/>
    </row>
    <row r="161" spans="12:12" x14ac:dyDescent="0.2">
      <c r="L161" s="62"/>
    </row>
    <row r="162" spans="12:12" x14ac:dyDescent="0.2">
      <c r="L162" s="62"/>
    </row>
    <row r="163" spans="12:12" x14ac:dyDescent="0.2">
      <c r="L163" s="105"/>
    </row>
    <row r="164" spans="12:12" x14ac:dyDescent="0.2">
      <c r="L164" s="105"/>
    </row>
    <row r="165" spans="12:12" x14ac:dyDescent="0.2">
      <c r="L165" s="105"/>
    </row>
    <row r="166" spans="12:12" x14ac:dyDescent="0.2">
      <c r="L166" s="105"/>
    </row>
    <row r="167" spans="12:12" x14ac:dyDescent="0.2">
      <c r="L167" s="105"/>
    </row>
  </sheetData>
  <autoFilter ref="A1:S35" xr:uid="{BAB99A06-041E-4BD8-B15E-F417C7709518}"/>
  <sortState xmlns:xlrd2="http://schemas.microsoft.com/office/spreadsheetml/2017/richdata2" ref="A2:S168">
    <sortCondition ref="B1:B168"/>
  </sortState>
  <conditionalFormatting sqref="A1">
    <cfRule type="duplicateValues" dxfId="1328" priority="1122"/>
    <cfRule type="duplicateValues" dxfId="1327" priority="1123"/>
    <cfRule type="duplicateValues" dxfId="1326" priority="1124"/>
    <cfRule type="duplicateValues" dxfId="1325" priority="1125"/>
    <cfRule type="duplicateValues" dxfId="1324" priority="1126"/>
    <cfRule type="duplicateValues" dxfId="1323" priority="1127"/>
    <cfRule type="duplicateValues" dxfId="1322" priority="1128"/>
    <cfRule type="duplicateValues" dxfId="1321" priority="1129"/>
    <cfRule type="duplicateValues" dxfId="1320" priority="1130"/>
    <cfRule type="duplicateValues" dxfId="1319" priority="1131"/>
    <cfRule type="duplicateValues" dxfId="1318" priority="1132"/>
    <cfRule type="duplicateValues" dxfId="1317" priority="1133"/>
    <cfRule type="duplicateValues" dxfId="1316" priority="1134"/>
    <cfRule type="duplicateValues" dxfId="1315" priority="1135"/>
  </conditionalFormatting>
  <conditionalFormatting sqref="B1">
    <cfRule type="duplicateValues" dxfId="1314" priority="1136"/>
    <cfRule type="duplicateValues" dxfId="1313" priority="1137"/>
    <cfRule type="duplicateValues" dxfId="1312" priority="1138"/>
    <cfRule type="duplicateValues" dxfId="1311" priority="1139"/>
    <cfRule type="duplicateValues" dxfId="1310" priority="1140"/>
    <cfRule type="duplicateValues" dxfId="1309" priority="1141"/>
    <cfRule type="duplicateValues" dxfId="1308" priority="1142"/>
    <cfRule type="duplicateValues" dxfId="1307" priority="1143"/>
    <cfRule type="duplicateValues" dxfId="1306" priority="1144"/>
    <cfRule type="duplicateValues" dxfId="1305" priority="1145"/>
    <cfRule type="duplicateValues" dxfId="1304" priority="1146"/>
    <cfRule type="duplicateValues" dxfId="1303" priority="1147"/>
    <cfRule type="duplicateValues" dxfId="1302" priority="1148"/>
    <cfRule type="duplicateValues" dxfId="1301" priority="1149"/>
    <cfRule type="duplicateValues" dxfId="1300" priority="1150"/>
    <cfRule type="duplicateValues" dxfId="1299" priority="1151"/>
  </conditionalFormatting>
  <conditionalFormatting sqref="B2">
    <cfRule type="duplicateValues" dxfId="1298" priority="1074"/>
    <cfRule type="duplicateValues" dxfId="1297" priority="1075"/>
    <cfRule type="duplicateValues" dxfId="1296" priority="1076"/>
    <cfRule type="duplicateValues" dxfId="1295" priority="1077"/>
    <cfRule type="duplicateValues" dxfId="1294" priority="1078"/>
    <cfRule type="duplicateValues" dxfId="1293" priority="1079"/>
    <cfRule type="duplicateValues" dxfId="1292" priority="1080"/>
    <cfRule type="duplicateValues" dxfId="1291" priority="1081"/>
    <cfRule type="duplicateValues" dxfId="1290" priority="1082"/>
    <cfRule type="duplicateValues" dxfId="1289" priority="1083"/>
    <cfRule type="duplicateValues" dxfId="1288" priority="1084"/>
    <cfRule type="duplicateValues" dxfId="1287" priority="1085"/>
    <cfRule type="duplicateValues" dxfId="1286" priority="1086"/>
    <cfRule type="duplicateValues" dxfId="1285" priority="1087"/>
    <cfRule type="duplicateValues" dxfId="1284" priority="1088"/>
    <cfRule type="duplicateValues" dxfId="1283" priority="1089"/>
    <cfRule type="duplicateValues" dxfId="1282" priority="1090"/>
    <cfRule type="duplicateValues" dxfId="1281" priority="1091"/>
    <cfRule type="duplicateValues" dxfId="1280" priority="1092"/>
    <cfRule type="duplicateValues" dxfId="1279" priority="1093"/>
    <cfRule type="duplicateValues" dxfId="1278" priority="1094"/>
    <cfRule type="duplicateValues" dxfId="1277" priority="1095"/>
    <cfRule type="duplicateValues" dxfId="1276" priority="1096"/>
    <cfRule type="duplicateValues" dxfId="1275" priority="1097"/>
    <cfRule type="duplicateValues" dxfId="1274" priority="1098"/>
    <cfRule type="duplicateValues" dxfId="1273" priority="1099"/>
    <cfRule type="duplicateValues" dxfId="1272" priority="1100"/>
    <cfRule type="duplicateValues" dxfId="1271" priority="1101"/>
    <cfRule type="duplicateValues" dxfId="1270" priority="1102"/>
    <cfRule type="duplicateValues" dxfId="1269" priority="1103"/>
    <cfRule type="duplicateValues" dxfId="1268" priority="1104"/>
    <cfRule type="duplicateValues" dxfId="1267" priority="1105"/>
    <cfRule type="duplicateValues" dxfId="1266" priority="1106"/>
    <cfRule type="duplicateValues" dxfId="1265" priority="1107"/>
    <cfRule type="duplicateValues" dxfId="1264" priority="1108"/>
    <cfRule type="duplicateValues" dxfId="1263" priority="1109"/>
    <cfRule type="duplicateValues" dxfId="1262" priority="1110"/>
    <cfRule type="duplicateValues" dxfId="1261" priority="1111"/>
  </conditionalFormatting>
  <conditionalFormatting sqref="B2:B3 B22:B35 B5:B20">
    <cfRule type="duplicateValues" dxfId="1260" priority="1072"/>
    <cfRule type="duplicateValues" dxfId="1259" priority="1073"/>
  </conditionalFormatting>
  <conditionalFormatting sqref="B2:B35">
    <cfRule type="duplicateValues" dxfId="1258" priority="1197"/>
    <cfRule type="duplicateValues" dxfId="1257" priority="1198"/>
    <cfRule type="duplicateValues" dxfId="1256" priority="1199"/>
    <cfRule type="duplicateValues" dxfId="1255" priority="1200"/>
    <cfRule type="duplicateValues" dxfId="1254" priority="1201"/>
  </conditionalFormatting>
  <conditionalFormatting sqref="B3 B5:B19">
    <cfRule type="duplicateValues" dxfId="1253" priority="1202"/>
    <cfRule type="duplicateValues" dxfId="1252" priority="1203"/>
    <cfRule type="duplicateValues" dxfId="1251" priority="1204"/>
    <cfRule type="duplicateValues" dxfId="1250" priority="1205"/>
    <cfRule type="duplicateValues" dxfId="1249" priority="1206"/>
    <cfRule type="duplicateValues" dxfId="1248" priority="1207"/>
    <cfRule type="duplicateValues" dxfId="1247" priority="1208"/>
    <cfRule type="duplicateValues" dxfId="1246" priority="1209"/>
    <cfRule type="duplicateValues" dxfId="1245" priority="1210"/>
    <cfRule type="duplicateValues" dxfId="1244" priority="1211"/>
    <cfRule type="duplicateValues" dxfId="1243" priority="1212"/>
    <cfRule type="duplicateValues" dxfId="1242" priority="1213"/>
    <cfRule type="duplicateValues" dxfId="1241" priority="1214"/>
    <cfRule type="duplicateValues" dxfId="1240" priority="1215"/>
    <cfRule type="duplicateValues" dxfId="1239" priority="1216"/>
    <cfRule type="duplicateValues" dxfId="1238" priority="1217"/>
    <cfRule type="duplicateValues" dxfId="1237" priority="1218"/>
    <cfRule type="duplicateValues" dxfId="1236" priority="1219"/>
    <cfRule type="duplicateValues" dxfId="1235" priority="1220"/>
    <cfRule type="duplicateValues" dxfId="1234" priority="1221"/>
    <cfRule type="duplicateValues" dxfId="1233" priority="1222"/>
    <cfRule type="duplicateValues" dxfId="1232" priority="1223"/>
    <cfRule type="duplicateValues" dxfId="1231" priority="1224"/>
    <cfRule type="duplicateValues" dxfId="1230" priority="1225"/>
    <cfRule type="duplicateValues" dxfId="1229" priority="1226"/>
    <cfRule type="duplicateValues" dxfId="1228" priority="1227"/>
    <cfRule type="duplicateValues" dxfId="1227" priority="1228"/>
    <cfRule type="duplicateValues" dxfId="1226" priority="1229"/>
    <cfRule type="duplicateValues" dxfId="1225" priority="1230"/>
    <cfRule type="duplicateValues" dxfId="1224" priority="1231"/>
    <cfRule type="duplicateValues" dxfId="1223" priority="1232"/>
    <cfRule type="duplicateValues" dxfId="1222" priority="1233"/>
    <cfRule type="duplicateValues" dxfId="1221" priority="1234"/>
    <cfRule type="duplicateValues" dxfId="1220" priority="1235"/>
    <cfRule type="duplicateValues" dxfId="1219" priority="1236"/>
    <cfRule type="duplicateValues" dxfId="1218" priority="1237"/>
    <cfRule type="duplicateValues" dxfId="1217" priority="1238"/>
  </conditionalFormatting>
  <conditionalFormatting sqref="B4">
    <cfRule type="duplicateValues" dxfId="1216" priority="958"/>
    <cfRule type="duplicateValues" dxfId="1215" priority="959"/>
    <cfRule type="duplicateValues" dxfId="1214" priority="960"/>
    <cfRule type="duplicateValues" dxfId="1213" priority="961"/>
    <cfRule type="duplicateValues" dxfId="1212" priority="962"/>
    <cfRule type="duplicateValues" dxfId="1211" priority="963"/>
    <cfRule type="duplicateValues" dxfId="1210" priority="964"/>
    <cfRule type="duplicateValues" dxfId="1209" priority="965"/>
    <cfRule type="duplicateValues" dxfId="1208" priority="966"/>
    <cfRule type="duplicateValues" dxfId="1207" priority="967"/>
    <cfRule type="duplicateValues" dxfId="1206" priority="968"/>
    <cfRule type="duplicateValues" dxfId="1205" priority="969"/>
    <cfRule type="duplicateValues" dxfId="1204" priority="970"/>
    <cfRule type="duplicateValues" dxfId="1203" priority="971"/>
    <cfRule type="duplicateValues" dxfId="1202" priority="972"/>
    <cfRule type="duplicateValues" dxfId="1201" priority="973"/>
    <cfRule type="duplicateValues" dxfId="1200" priority="974"/>
    <cfRule type="duplicateValues" dxfId="1199" priority="975"/>
    <cfRule type="duplicateValues" dxfId="1198" priority="976"/>
    <cfRule type="duplicateValues" dxfId="1197" priority="977"/>
    <cfRule type="duplicateValues" dxfId="1196" priority="978"/>
    <cfRule type="duplicateValues" dxfId="1195" priority="979"/>
    <cfRule type="duplicateValues" dxfId="1194" priority="980"/>
    <cfRule type="duplicateValues" dxfId="1193" priority="981"/>
    <cfRule type="duplicateValues" dxfId="1192" priority="982"/>
    <cfRule type="duplicateValues" dxfId="1191" priority="983"/>
    <cfRule type="duplicateValues" dxfId="1190" priority="984"/>
    <cfRule type="duplicateValues" dxfId="1189" priority="985"/>
    <cfRule type="duplicateValues" dxfId="1188" priority="986"/>
    <cfRule type="duplicateValues" dxfId="1187" priority="987"/>
    <cfRule type="duplicateValues" dxfId="1186" priority="988"/>
    <cfRule type="duplicateValues" dxfId="1185" priority="989"/>
    <cfRule type="duplicateValues" dxfId="1184" priority="990"/>
    <cfRule type="duplicateValues" dxfId="1183" priority="991"/>
    <cfRule type="duplicateValues" dxfId="1182" priority="992"/>
    <cfRule type="duplicateValues" dxfId="1181" priority="993"/>
    <cfRule type="duplicateValues" dxfId="1180" priority="994"/>
    <cfRule type="duplicateValues" dxfId="1179" priority="995"/>
    <cfRule type="duplicateValues" dxfId="1178" priority="996"/>
    <cfRule type="duplicateValues" dxfId="1177" priority="997"/>
    <cfRule type="duplicateValues" dxfId="1176" priority="998"/>
    <cfRule type="duplicateValues" dxfId="1175" priority="999"/>
    <cfRule type="duplicateValues" dxfId="1174" priority="1000"/>
    <cfRule type="duplicateValues" dxfId="1173" priority="1001"/>
    <cfRule type="duplicateValues" dxfId="1172" priority="1002"/>
    <cfRule type="duplicateValues" dxfId="1171" priority="1003"/>
    <cfRule type="duplicateValues" dxfId="1170" priority="1004"/>
    <cfRule type="duplicateValues" dxfId="1169" priority="1005"/>
    <cfRule type="duplicateValues" dxfId="1168" priority="1006"/>
    <cfRule type="duplicateValues" dxfId="1167" priority="1007"/>
    <cfRule type="duplicateValues" dxfId="1166" priority="1008"/>
    <cfRule type="duplicateValues" dxfId="1165" priority="1009"/>
    <cfRule type="duplicateValues" dxfId="1164" priority="1010"/>
    <cfRule type="duplicateValues" dxfId="1163" priority="1011"/>
    <cfRule type="duplicateValues" dxfId="1162" priority="1012"/>
    <cfRule type="duplicateValues" dxfId="1161" priority="1013"/>
    <cfRule type="duplicateValues" dxfId="1160" priority="1014"/>
    <cfRule type="duplicateValues" dxfId="1159" priority="1015"/>
    <cfRule type="duplicateValues" dxfId="1158" priority="1016"/>
    <cfRule type="duplicateValues" dxfId="1157" priority="1017"/>
    <cfRule type="duplicateValues" dxfId="1156" priority="1018"/>
    <cfRule type="duplicateValues" dxfId="1155" priority="1019"/>
    <cfRule type="duplicateValues" dxfId="1154" priority="1020"/>
    <cfRule type="duplicateValues" dxfId="1153" priority="1021"/>
    <cfRule type="duplicateValues" dxfId="1152" priority="1022"/>
    <cfRule type="duplicateValues" dxfId="1151" priority="1023"/>
    <cfRule type="duplicateValues" dxfId="1150" priority="1024"/>
    <cfRule type="duplicateValues" dxfId="1149" priority="1025"/>
    <cfRule type="duplicateValues" dxfId="1148" priority="1026"/>
    <cfRule type="duplicateValues" dxfId="1147" priority="1027"/>
    <cfRule type="duplicateValues" dxfId="1146" priority="1028"/>
    <cfRule type="duplicateValues" dxfId="1145" priority="1029"/>
    <cfRule type="duplicateValues" dxfId="1144" priority="1030"/>
    <cfRule type="duplicateValues" dxfId="1143" priority="1031"/>
    <cfRule type="duplicateValues" dxfId="1142" priority="1032"/>
    <cfRule type="duplicateValues" dxfId="1141" priority="1033"/>
    <cfRule type="duplicateValues" dxfId="1140" priority="1034"/>
    <cfRule type="duplicateValues" dxfId="1139" priority="1035"/>
    <cfRule type="duplicateValues" dxfId="1138" priority="1036"/>
    <cfRule type="duplicateValues" dxfId="1137" priority="1037"/>
  </conditionalFormatting>
  <conditionalFormatting sqref="B5:B19">
    <cfRule type="duplicateValues" dxfId="1136" priority="1239"/>
    <cfRule type="duplicateValues" dxfId="1135" priority="1240"/>
    <cfRule type="duplicateValues" dxfId="1134" priority="1241"/>
    <cfRule type="duplicateValues" dxfId="1133" priority="1242"/>
    <cfRule type="duplicateValues" dxfId="1132" priority="1243"/>
    <cfRule type="duplicateValues" dxfId="1131" priority="1244"/>
    <cfRule type="duplicateValues" dxfId="1130" priority="1245"/>
    <cfRule type="duplicateValues" dxfId="1129" priority="1246"/>
    <cfRule type="duplicateValues" dxfId="1128" priority="1247"/>
    <cfRule type="duplicateValues" dxfId="1127" priority="1248"/>
    <cfRule type="duplicateValues" dxfId="1126" priority="1249"/>
    <cfRule type="duplicateValues" dxfId="1125" priority="1250"/>
    <cfRule type="duplicateValues" dxfId="1124" priority="1251"/>
    <cfRule type="duplicateValues" dxfId="1123" priority="1252"/>
    <cfRule type="duplicateValues" dxfId="1122" priority="1253"/>
    <cfRule type="duplicateValues" dxfId="1121" priority="1254"/>
    <cfRule type="duplicateValues" dxfId="1120" priority="1255"/>
    <cfRule type="duplicateValues" dxfId="1119" priority="1256"/>
    <cfRule type="duplicateValues" dxfId="1118" priority="1257"/>
    <cfRule type="duplicateValues" dxfId="1117" priority="1258"/>
    <cfRule type="duplicateValues" dxfId="1116" priority="1259"/>
    <cfRule type="duplicateValues" dxfId="1115" priority="1260"/>
    <cfRule type="duplicateValues" dxfId="1114" priority="1261"/>
    <cfRule type="duplicateValues" dxfId="1113" priority="1262"/>
    <cfRule type="duplicateValues" dxfId="1112" priority="1263"/>
    <cfRule type="duplicateValues" dxfId="1111" priority="1264"/>
    <cfRule type="duplicateValues" dxfId="1110" priority="1265"/>
    <cfRule type="duplicateValues" dxfId="1109" priority="1266"/>
    <cfRule type="duplicateValues" dxfId="1108" priority="1267"/>
    <cfRule type="duplicateValues" dxfId="1107" priority="1268"/>
    <cfRule type="duplicateValues" dxfId="1106" priority="1269"/>
    <cfRule type="duplicateValues" dxfId="1105" priority="1270"/>
    <cfRule type="duplicateValues" dxfId="1104" priority="1271"/>
    <cfRule type="duplicateValues" dxfId="1103" priority="1272"/>
    <cfRule type="duplicateValues" dxfId="1102" priority="1273"/>
    <cfRule type="duplicateValues" dxfId="1101" priority="1274"/>
    <cfRule type="duplicateValues" dxfId="1100" priority="1275"/>
    <cfRule type="duplicateValues" dxfId="1099" priority="1276"/>
  </conditionalFormatting>
  <conditionalFormatting sqref="B20">
    <cfRule type="duplicateValues" dxfId="1098" priority="911"/>
    <cfRule type="duplicateValues" dxfId="1097" priority="912"/>
    <cfRule type="duplicateValues" dxfId="1096" priority="913"/>
    <cfRule type="duplicateValues" dxfId="1095" priority="914"/>
    <cfRule type="duplicateValues" dxfId="1094" priority="915"/>
    <cfRule type="duplicateValues" dxfId="1093" priority="916"/>
    <cfRule type="duplicateValues" dxfId="1092" priority="917"/>
    <cfRule type="duplicateValues" dxfId="1091" priority="918"/>
    <cfRule type="duplicateValues" dxfId="1090" priority="919"/>
    <cfRule type="duplicateValues" dxfId="1089" priority="920"/>
    <cfRule type="duplicateValues" dxfId="1088" priority="921"/>
    <cfRule type="duplicateValues" dxfId="1087" priority="922"/>
    <cfRule type="duplicateValues" dxfId="1086" priority="923"/>
    <cfRule type="duplicateValues" dxfId="1085" priority="924"/>
    <cfRule type="duplicateValues" dxfId="1084" priority="925"/>
    <cfRule type="duplicateValues" dxfId="1083" priority="926"/>
    <cfRule type="duplicateValues" dxfId="1082" priority="927"/>
    <cfRule type="duplicateValues" dxfId="1081" priority="928"/>
    <cfRule type="duplicateValues" dxfId="1080" priority="929"/>
    <cfRule type="duplicateValues" dxfId="1079" priority="930"/>
    <cfRule type="duplicateValues" dxfId="1078" priority="931"/>
    <cfRule type="duplicateValues" dxfId="1077" priority="932"/>
    <cfRule type="duplicateValues" dxfId="1076" priority="933"/>
    <cfRule type="duplicateValues" dxfId="1075" priority="934"/>
    <cfRule type="duplicateValues" dxfId="1074" priority="935"/>
    <cfRule type="duplicateValues" dxfId="1073" priority="936"/>
    <cfRule type="duplicateValues" dxfId="1072" priority="937"/>
    <cfRule type="duplicateValues" dxfId="1071" priority="938"/>
    <cfRule type="duplicateValues" dxfId="1070" priority="939"/>
    <cfRule type="duplicateValues" dxfId="1069" priority="940"/>
    <cfRule type="duplicateValues" dxfId="1068" priority="941"/>
    <cfRule type="duplicateValues" dxfId="1067" priority="942"/>
    <cfRule type="duplicateValues" dxfId="1066" priority="943"/>
    <cfRule type="duplicateValues" dxfId="1065" priority="944"/>
    <cfRule type="duplicateValues" dxfId="1064" priority="945"/>
    <cfRule type="duplicateValues" dxfId="1063" priority="946"/>
    <cfRule type="duplicateValues" dxfId="1062" priority="947"/>
    <cfRule type="duplicateValues" dxfId="1061" priority="948"/>
    <cfRule type="duplicateValues" dxfId="1060" priority="949"/>
    <cfRule type="duplicateValues" dxfId="1059" priority="950"/>
  </conditionalFormatting>
  <conditionalFormatting sqref="B21">
    <cfRule type="duplicateValues" dxfId="1058" priority="869"/>
    <cfRule type="duplicateValues" dxfId="1057" priority="870"/>
    <cfRule type="duplicateValues" dxfId="1056" priority="871"/>
    <cfRule type="duplicateValues" dxfId="1055" priority="872"/>
    <cfRule type="duplicateValues" dxfId="1054" priority="873"/>
    <cfRule type="duplicateValues" dxfId="1053" priority="874"/>
    <cfRule type="duplicateValues" dxfId="1052" priority="875"/>
    <cfRule type="duplicateValues" dxfId="1051" priority="876"/>
    <cfRule type="duplicateValues" dxfId="1050" priority="877"/>
    <cfRule type="duplicateValues" dxfId="1049" priority="878"/>
    <cfRule type="duplicateValues" dxfId="1048" priority="879"/>
    <cfRule type="duplicateValues" dxfId="1047" priority="880"/>
    <cfRule type="duplicateValues" dxfId="1046" priority="881"/>
    <cfRule type="duplicateValues" dxfId="1045" priority="882"/>
    <cfRule type="duplicateValues" dxfId="1044" priority="883"/>
    <cfRule type="duplicateValues" dxfId="1043" priority="884"/>
    <cfRule type="duplicateValues" dxfId="1042" priority="885"/>
    <cfRule type="duplicateValues" dxfId="1041" priority="886"/>
    <cfRule type="duplicateValues" dxfId="1040" priority="887"/>
    <cfRule type="duplicateValues" dxfId="1039" priority="888"/>
    <cfRule type="duplicateValues" dxfId="1038" priority="889"/>
    <cfRule type="duplicateValues" dxfId="1037" priority="890"/>
    <cfRule type="duplicateValues" dxfId="1036" priority="891"/>
    <cfRule type="duplicateValues" dxfId="1035" priority="892"/>
    <cfRule type="duplicateValues" dxfId="1034" priority="893"/>
    <cfRule type="duplicateValues" dxfId="1033" priority="894"/>
    <cfRule type="duplicateValues" dxfId="1032" priority="895"/>
    <cfRule type="duplicateValues" dxfId="1031" priority="896"/>
    <cfRule type="duplicateValues" dxfId="1030" priority="897"/>
    <cfRule type="duplicateValues" dxfId="1029" priority="898"/>
    <cfRule type="duplicateValues" dxfId="1028" priority="899"/>
    <cfRule type="duplicateValues" dxfId="1027" priority="900"/>
    <cfRule type="duplicateValues" dxfId="1026" priority="901"/>
    <cfRule type="duplicateValues" dxfId="1025" priority="902"/>
    <cfRule type="duplicateValues" dxfId="1024" priority="903"/>
    <cfRule type="duplicateValues" dxfId="1023" priority="904"/>
    <cfRule type="duplicateValues" dxfId="1022" priority="905"/>
    <cfRule type="duplicateValues" dxfId="1021" priority="906"/>
    <cfRule type="duplicateValues" dxfId="1020" priority="907"/>
    <cfRule type="duplicateValues" dxfId="1019" priority="908"/>
    <cfRule type="duplicateValues" dxfId="1018" priority="909"/>
    <cfRule type="duplicateValues" dxfId="1017" priority="910"/>
  </conditionalFormatting>
  <conditionalFormatting sqref="B22">
    <cfRule type="duplicateValues" dxfId="1016" priority="735"/>
    <cfRule type="duplicateValues" dxfId="1015" priority="736"/>
    <cfRule type="duplicateValues" dxfId="1014" priority="737"/>
    <cfRule type="duplicateValues" dxfId="1013" priority="738"/>
    <cfRule type="duplicateValues" dxfId="1012" priority="739"/>
    <cfRule type="duplicateValues" dxfId="1011" priority="740"/>
    <cfRule type="duplicateValues" dxfId="1010" priority="741"/>
    <cfRule type="duplicateValues" dxfId="1009" priority="742"/>
    <cfRule type="duplicateValues" dxfId="1008" priority="743"/>
    <cfRule type="duplicateValues" dxfId="1007" priority="744"/>
    <cfRule type="duplicateValues" dxfId="1006" priority="745"/>
    <cfRule type="duplicateValues" dxfId="1005" priority="746"/>
    <cfRule type="duplicateValues" dxfId="1004" priority="747"/>
    <cfRule type="duplicateValues" dxfId="1003" priority="748"/>
    <cfRule type="duplicateValues" dxfId="1002" priority="749"/>
    <cfRule type="duplicateValues" dxfId="1001" priority="750"/>
    <cfRule type="duplicateValues" dxfId="1000" priority="751"/>
    <cfRule type="duplicateValues" dxfId="999" priority="752"/>
    <cfRule type="duplicateValues" dxfId="998" priority="753"/>
    <cfRule type="duplicateValues" dxfId="997" priority="754"/>
    <cfRule type="duplicateValues" dxfId="996" priority="755"/>
    <cfRule type="duplicateValues" dxfId="995" priority="756"/>
    <cfRule type="duplicateValues" dxfId="994" priority="757"/>
    <cfRule type="duplicateValues" dxfId="993" priority="758"/>
    <cfRule type="duplicateValues" dxfId="992" priority="759"/>
    <cfRule type="duplicateValues" dxfId="991" priority="760"/>
    <cfRule type="duplicateValues" dxfId="990" priority="761"/>
    <cfRule type="duplicateValues" dxfId="989" priority="762"/>
    <cfRule type="duplicateValues" dxfId="988" priority="763"/>
    <cfRule type="duplicateValues" dxfId="987" priority="764"/>
    <cfRule type="duplicateValues" dxfId="986" priority="765"/>
    <cfRule type="duplicateValues" dxfId="985" priority="766"/>
    <cfRule type="duplicateValues" dxfId="984" priority="767"/>
    <cfRule type="duplicateValues" dxfId="983" priority="768"/>
    <cfRule type="duplicateValues" dxfId="982" priority="769"/>
    <cfRule type="duplicateValues" dxfId="981" priority="770"/>
    <cfRule type="duplicateValues" dxfId="980" priority="771"/>
    <cfRule type="duplicateValues" dxfId="979" priority="772"/>
    <cfRule type="duplicateValues" dxfId="978" priority="773"/>
    <cfRule type="duplicateValues" dxfId="977" priority="774"/>
  </conditionalFormatting>
  <conditionalFormatting sqref="B22:B23">
    <cfRule type="duplicateValues" dxfId="976" priority="775"/>
    <cfRule type="duplicateValues" dxfId="975" priority="776"/>
    <cfRule type="duplicateValues" dxfId="974" priority="777"/>
    <cfRule type="duplicateValues" dxfId="973" priority="778"/>
    <cfRule type="duplicateValues" dxfId="972" priority="779"/>
    <cfRule type="duplicateValues" dxfId="971" priority="780"/>
    <cfRule type="duplicateValues" dxfId="970" priority="781"/>
    <cfRule type="duplicateValues" dxfId="969" priority="782"/>
    <cfRule type="duplicateValues" dxfId="968" priority="783"/>
    <cfRule type="duplicateValues" dxfId="967" priority="784"/>
    <cfRule type="duplicateValues" dxfId="966" priority="785"/>
    <cfRule type="duplicateValues" dxfId="965" priority="786"/>
    <cfRule type="duplicateValues" dxfId="964" priority="787"/>
    <cfRule type="duplicateValues" dxfId="963" priority="788"/>
    <cfRule type="duplicateValues" dxfId="962" priority="789"/>
    <cfRule type="duplicateValues" dxfId="961" priority="790"/>
    <cfRule type="duplicateValues" dxfId="960" priority="791"/>
    <cfRule type="duplicateValues" dxfId="959" priority="792"/>
    <cfRule type="duplicateValues" dxfId="958" priority="793"/>
    <cfRule type="duplicateValues" dxfId="957" priority="794"/>
    <cfRule type="duplicateValues" dxfId="956" priority="795"/>
    <cfRule type="duplicateValues" dxfId="955" priority="796"/>
    <cfRule type="duplicateValues" dxfId="954" priority="797"/>
    <cfRule type="duplicateValues" dxfId="953" priority="798"/>
    <cfRule type="duplicateValues" dxfId="952" priority="799"/>
    <cfRule type="duplicateValues" dxfId="951" priority="800"/>
    <cfRule type="duplicateValues" dxfId="950" priority="801"/>
    <cfRule type="duplicateValues" dxfId="949" priority="802"/>
    <cfRule type="duplicateValues" dxfId="948" priority="803"/>
    <cfRule type="duplicateValues" dxfId="947" priority="804"/>
    <cfRule type="duplicateValues" dxfId="946" priority="805"/>
    <cfRule type="duplicateValues" dxfId="945" priority="806"/>
    <cfRule type="duplicateValues" dxfId="944" priority="807"/>
    <cfRule type="duplicateValues" dxfId="943" priority="808"/>
    <cfRule type="duplicateValues" dxfId="942" priority="809"/>
    <cfRule type="duplicateValues" dxfId="941" priority="810"/>
    <cfRule type="duplicateValues" dxfId="940" priority="811"/>
    <cfRule type="duplicateValues" dxfId="939" priority="812"/>
    <cfRule type="duplicateValues" dxfId="938" priority="813"/>
    <cfRule type="duplicateValues" dxfId="937" priority="814"/>
    <cfRule type="duplicateValues" dxfId="936" priority="815"/>
    <cfRule type="duplicateValues" dxfId="935" priority="816"/>
    <cfRule type="duplicateValues" dxfId="934" priority="817"/>
    <cfRule type="duplicateValues" dxfId="933" priority="818"/>
    <cfRule type="duplicateValues" dxfId="932" priority="819"/>
    <cfRule type="duplicateValues" dxfId="931" priority="820"/>
    <cfRule type="duplicateValues" dxfId="930" priority="821"/>
    <cfRule type="duplicateValues" dxfId="929" priority="822"/>
    <cfRule type="duplicateValues" dxfId="928" priority="823"/>
    <cfRule type="duplicateValues" dxfId="927" priority="824"/>
    <cfRule type="duplicateValues" dxfId="926" priority="825"/>
    <cfRule type="duplicateValues" dxfId="925" priority="826"/>
    <cfRule type="duplicateValues" dxfId="924" priority="827"/>
    <cfRule type="duplicateValues" dxfId="923" priority="828"/>
    <cfRule type="duplicateValues" dxfId="922" priority="829"/>
    <cfRule type="duplicateValues" dxfId="921" priority="830"/>
    <cfRule type="duplicateValues" dxfId="920" priority="831"/>
    <cfRule type="duplicateValues" dxfId="919" priority="832"/>
    <cfRule type="duplicateValues" dxfId="918" priority="833"/>
    <cfRule type="duplicateValues" dxfId="917" priority="834"/>
    <cfRule type="duplicateValues" dxfId="916" priority="835"/>
    <cfRule type="duplicateValues" dxfId="915" priority="836"/>
    <cfRule type="duplicateValues" dxfId="914" priority="837"/>
    <cfRule type="duplicateValues" dxfId="913" priority="838"/>
    <cfRule type="duplicateValues" dxfId="912" priority="839"/>
    <cfRule type="duplicateValues" dxfId="911" priority="840"/>
    <cfRule type="duplicateValues" dxfId="910" priority="841"/>
    <cfRule type="duplicateValues" dxfId="909" priority="842"/>
    <cfRule type="duplicateValues" dxfId="908" priority="843"/>
    <cfRule type="duplicateValues" dxfId="907" priority="844"/>
    <cfRule type="duplicateValues" dxfId="906" priority="845"/>
    <cfRule type="duplicateValues" dxfId="905" priority="846"/>
    <cfRule type="duplicateValues" dxfId="904" priority="847"/>
    <cfRule type="duplicateValues" dxfId="903" priority="848"/>
    <cfRule type="duplicateValues" dxfId="902" priority="849"/>
    <cfRule type="duplicateValues" dxfId="901" priority="850"/>
    <cfRule type="duplicateValues" dxfId="900" priority="851"/>
    <cfRule type="duplicateValues" dxfId="899" priority="852"/>
    <cfRule type="duplicateValues" dxfId="898" priority="853"/>
    <cfRule type="duplicateValues" dxfId="897" priority="854"/>
    <cfRule type="duplicateValues" dxfId="896" priority="855"/>
  </conditionalFormatting>
  <conditionalFormatting sqref="B24">
    <cfRule type="duplicateValues" dxfId="895" priority="69"/>
    <cfRule type="duplicateValues" dxfId="894" priority="70"/>
    <cfRule type="duplicateValues" dxfId="893" priority="71"/>
    <cfRule type="duplicateValues" dxfId="892" priority="72"/>
    <cfRule type="duplicateValues" dxfId="891" priority="73"/>
    <cfRule type="duplicateValues" dxfId="890" priority="74"/>
    <cfRule type="duplicateValues" dxfId="889" priority="75"/>
    <cfRule type="duplicateValues" dxfId="888" priority="76"/>
    <cfRule type="duplicateValues" dxfId="887" priority="77"/>
    <cfRule type="duplicateValues" dxfId="886" priority="78"/>
    <cfRule type="duplicateValues" dxfId="885" priority="79"/>
    <cfRule type="duplicateValues" dxfId="884" priority="80"/>
    <cfRule type="duplicateValues" dxfId="883" priority="81"/>
    <cfRule type="duplicateValues" dxfId="882" priority="82"/>
    <cfRule type="duplicateValues" dxfId="881" priority="83"/>
    <cfRule type="duplicateValues" dxfId="880" priority="84"/>
    <cfRule type="duplicateValues" dxfId="879" priority="85"/>
    <cfRule type="duplicateValues" dxfId="878" priority="86"/>
    <cfRule type="duplicateValues" dxfId="877" priority="87"/>
    <cfRule type="duplicateValues" dxfId="876" priority="88"/>
    <cfRule type="duplicateValues" dxfId="875" priority="89"/>
    <cfRule type="duplicateValues" dxfId="874" priority="90"/>
    <cfRule type="duplicateValues" dxfId="873" priority="91"/>
    <cfRule type="duplicateValues" dxfId="872" priority="92"/>
    <cfRule type="duplicateValues" dxfId="871" priority="93"/>
    <cfRule type="duplicateValues" dxfId="870" priority="94"/>
    <cfRule type="duplicateValues" dxfId="869" priority="95"/>
    <cfRule type="duplicateValues" dxfId="868" priority="96"/>
    <cfRule type="duplicateValues" dxfId="867" priority="97"/>
    <cfRule type="duplicateValues" dxfId="866" priority="98"/>
    <cfRule type="duplicateValues" dxfId="865" priority="99"/>
    <cfRule type="duplicateValues" dxfId="864" priority="100"/>
    <cfRule type="duplicateValues" dxfId="863" priority="101"/>
    <cfRule type="duplicateValues" dxfId="862" priority="102"/>
    <cfRule type="duplicateValues" dxfId="861" priority="103"/>
    <cfRule type="duplicateValues" dxfId="860" priority="104"/>
    <cfRule type="duplicateValues" dxfId="859" priority="105"/>
    <cfRule type="duplicateValues" dxfId="858" priority="106"/>
    <cfRule type="duplicateValues" dxfId="857" priority="107"/>
    <cfRule type="duplicateValues" dxfId="856" priority="108"/>
    <cfRule type="duplicateValues" dxfId="855" priority="109"/>
    <cfRule type="duplicateValues" dxfId="854" priority="110"/>
    <cfRule type="duplicateValues" dxfId="853" priority="111"/>
    <cfRule type="duplicateValues" dxfId="852" priority="112"/>
    <cfRule type="duplicateValues" dxfId="851" priority="113"/>
    <cfRule type="duplicateValues" dxfId="850" priority="114"/>
    <cfRule type="duplicateValues" dxfId="849" priority="115"/>
    <cfRule type="duplicateValues" dxfId="848" priority="116"/>
    <cfRule type="duplicateValues" dxfId="847" priority="117"/>
    <cfRule type="duplicateValues" dxfId="846" priority="118"/>
    <cfRule type="duplicateValues" dxfId="845" priority="119"/>
    <cfRule type="duplicateValues" dxfId="844" priority="120"/>
    <cfRule type="duplicateValues" dxfId="843" priority="121"/>
    <cfRule type="duplicateValues" dxfId="842" priority="122"/>
    <cfRule type="duplicateValues" dxfId="841" priority="123"/>
    <cfRule type="duplicateValues" dxfId="840" priority="124"/>
    <cfRule type="duplicateValues" dxfId="839" priority="125"/>
    <cfRule type="duplicateValues" dxfId="838" priority="126"/>
    <cfRule type="duplicateValues" dxfId="837" priority="127"/>
    <cfRule type="duplicateValues" dxfId="836" priority="128"/>
    <cfRule type="duplicateValues" dxfId="835" priority="129"/>
    <cfRule type="duplicateValues" dxfId="834" priority="130"/>
    <cfRule type="duplicateValues" dxfId="833" priority="131"/>
    <cfRule type="duplicateValues" dxfId="832" priority="132"/>
    <cfRule type="duplicateValues" dxfId="831" priority="133"/>
    <cfRule type="duplicateValues" dxfId="830" priority="134"/>
    <cfRule type="duplicateValues" dxfId="829" priority="135"/>
    <cfRule type="duplicateValues" dxfId="828" priority="136"/>
    <cfRule type="duplicateValues" dxfId="827" priority="137"/>
    <cfRule type="duplicateValues" dxfId="826" priority="138"/>
    <cfRule type="duplicateValues" dxfId="825" priority="139"/>
    <cfRule type="duplicateValues" dxfId="824" priority="140"/>
    <cfRule type="duplicateValues" dxfId="823" priority="141"/>
    <cfRule type="duplicateValues" dxfId="822" priority="142"/>
    <cfRule type="duplicateValues" dxfId="821" priority="143"/>
  </conditionalFormatting>
  <conditionalFormatting sqref="B25">
    <cfRule type="duplicateValues" dxfId="820" priority="601"/>
    <cfRule type="duplicateValues" dxfId="819" priority="602"/>
    <cfRule type="duplicateValues" dxfId="818" priority="603"/>
    <cfRule type="duplicateValues" dxfId="817" priority="604"/>
    <cfRule type="duplicateValues" dxfId="816" priority="605"/>
    <cfRule type="duplicateValues" dxfId="815" priority="606"/>
    <cfRule type="duplicateValues" dxfId="814" priority="607"/>
    <cfRule type="duplicateValues" dxfId="813" priority="608"/>
    <cfRule type="duplicateValues" dxfId="812" priority="609"/>
    <cfRule type="duplicateValues" dxfId="811" priority="610"/>
    <cfRule type="duplicateValues" dxfId="810" priority="611"/>
    <cfRule type="duplicateValues" dxfId="809" priority="612"/>
    <cfRule type="duplicateValues" dxfId="808" priority="613"/>
    <cfRule type="duplicateValues" dxfId="807" priority="614"/>
    <cfRule type="duplicateValues" dxfId="806" priority="615"/>
    <cfRule type="duplicateValues" dxfId="805" priority="616"/>
    <cfRule type="duplicateValues" dxfId="804" priority="617"/>
    <cfRule type="duplicateValues" dxfId="803" priority="618"/>
    <cfRule type="duplicateValues" dxfId="802" priority="619"/>
    <cfRule type="duplicateValues" dxfId="801" priority="620"/>
    <cfRule type="duplicateValues" dxfId="800" priority="621"/>
    <cfRule type="duplicateValues" dxfId="799" priority="622"/>
    <cfRule type="duplicateValues" dxfId="798" priority="623"/>
    <cfRule type="duplicateValues" dxfId="797" priority="624"/>
    <cfRule type="duplicateValues" dxfId="796" priority="625"/>
    <cfRule type="duplicateValues" dxfId="795" priority="626"/>
    <cfRule type="duplicateValues" dxfId="794" priority="627"/>
    <cfRule type="duplicateValues" dxfId="793" priority="628"/>
    <cfRule type="duplicateValues" dxfId="792" priority="629"/>
    <cfRule type="duplicateValues" dxfId="791" priority="630"/>
    <cfRule type="duplicateValues" dxfId="790" priority="631"/>
    <cfRule type="duplicateValues" dxfId="789" priority="632"/>
    <cfRule type="duplicateValues" dxfId="788" priority="633"/>
    <cfRule type="duplicateValues" dxfId="787" priority="634"/>
    <cfRule type="duplicateValues" dxfId="786" priority="635"/>
    <cfRule type="duplicateValues" dxfId="785" priority="636"/>
    <cfRule type="duplicateValues" dxfId="784" priority="637"/>
    <cfRule type="duplicateValues" dxfId="783" priority="638"/>
    <cfRule type="duplicateValues" dxfId="782" priority="639"/>
    <cfRule type="duplicateValues" dxfId="781" priority="640"/>
    <cfRule type="duplicateValues" dxfId="780" priority="641"/>
    <cfRule type="duplicateValues" dxfId="779" priority="642"/>
    <cfRule type="duplicateValues" dxfId="778" priority="643"/>
    <cfRule type="duplicateValues" dxfId="777" priority="644"/>
    <cfRule type="duplicateValues" dxfId="776" priority="645"/>
    <cfRule type="duplicateValues" dxfId="775" priority="646"/>
    <cfRule type="duplicateValues" dxfId="774" priority="647"/>
    <cfRule type="duplicateValues" dxfId="773" priority="648"/>
    <cfRule type="duplicateValues" dxfId="772" priority="649"/>
    <cfRule type="duplicateValues" dxfId="771" priority="650"/>
    <cfRule type="duplicateValues" dxfId="770" priority="651"/>
    <cfRule type="duplicateValues" dxfId="769" priority="652"/>
    <cfRule type="duplicateValues" dxfId="768" priority="653"/>
    <cfRule type="duplicateValues" dxfId="767" priority="654"/>
    <cfRule type="duplicateValues" dxfId="766" priority="655"/>
    <cfRule type="duplicateValues" dxfId="765" priority="656"/>
    <cfRule type="duplicateValues" dxfId="764" priority="657"/>
    <cfRule type="duplicateValues" dxfId="763" priority="658"/>
    <cfRule type="duplicateValues" dxfId="762" priority="659"/>
    <cfRule type="duplicateValues" dxfId="761" priority="660"/>
    <cfRule type="duplicateValues" dxfId="760" priority="661"/>
    <cfRule type="duplicateValues" dxfId="759" priority="662"/>
    <cfRule type="duplicateValues" dxfId="758" priority="663"/>
    <cfRule type="duplicateValues" dxfId="757" priority="664"/>
    <cfRule type="duplicateValues" dxfId="756" priority="665"/>
    <cfRule type="duplicateValues" dxfId="755" priority="666"/>
    <cfRule type="duplicateValues" dxfId="754" priority="667"/>
    <cfRule type="duplicateValues" dxfId="753" priority="668"/>
    <cfRule type="duplicateValues" dxfId="752" priority="669"/>
    <cfRule type="duplicateValues" dxfId="751" priority="670"/>
    <cfRule type="duplicateValues" dxfId="750" priority="671"/>
    <cfRule type="duplicateValues" dxfId="749" priority="672"/>
    <cfRule type="duplicateValues" dxfId="748" priority="673"/>
    <cfRule type="duplicateValues" dxfId="747" priority="674"/>
    <cfRule type="duplicateValues" dxfId="746" priority="675"/>
    <cfRule type="duplicateValues" dxfId="745" priority="676"/>
    <cfRule type="duplicateValues" dxfId="744" priority="677"/>
    <cfRule type="duplicateValues" dxfId="743" priority="678"/>
    <cfRule type="duplicateValues" dxfId="742" priority="679"/>
    <cfRule type="duplicateValues" dxfId="741" priority="680"/>
    <cfRule type="duplicateValues" dxfId="740" priority="681"/>
    <cfRule type="duplicateValues" dxfId="739" priority="682"/>
    <cfRule type="duplicateValues" dxfId="738" priority="683"/>
    <cfRule type="duplicateValues" dxfId="737" priority="684"/>
    <cfRule type="duplicateValues" dxfId="736" priority="685"/>
    <cfRule type="duplicateValues" dxfId="735" priority="686"/>
    <cfRule type="duplicateValues" dxfId="734" priority="687"/>
    <cfRule type="duplicateValues" dxfId="733" priority="688"/>
    <cfRule type="duplicateValues" dxfId="732" priority="689"/>
    <cfRule type="duplicateValues" dxfId="731" priority="690"/>
    <cfRule type="duplicateValues" dxfId="730" priority="691"/>
    <cfRule type="duplicateValues" dxfId="729" priority="692"/>
    <cfRule type="duplicateValues" dxfId="728" priority="693"/>
    <cfRule type="duplicateValues" dxfId="727" priority="694"/>
    <cfRule type="duplicateValues" dxfId="726" priority="695"/>
    <cfRule type="duplicateValues" dxfId="725" priority="696"/>
    <cfRule type="duplicateValues" dxfId="724" priority="697"/>
    <cfRule type="duplicateValues" dxfId="723" priority="698"/>
    <cfRule type="duplicateValues" dxfId="722" priority="699"/>
    <cfRule type="duplicateValues" dxfId="721" priority="700"/>
    <cfRule type="duplicateValues" dxfId="720" priority="701"/>
    <cfRule type="duplicateValues" dxfId="719" priority="702"/>
    <cfRule type="duplicateValues" dxfId="718" priority="703"/>
    <cfRule type="duplicateValues" dxfId="717" priority="704"/>
    <cfRule type="duplicateValues" dxfId="716" priority="705"/>
    <cfRule type="duplicateValues" dxfId="715" priority="706"/>
    <cfRule type="duplicateValues" dxfId="714" priority="707"/>
    <cfRule type="duplicateValues" dxfId="713" priority="708"/>
    <cfRule type="duplicateValues" dxfId="712" priority="709"/>
    <cfRule type="duplicateValues" dxfId="711" priority="710"/>
    <cfRule type="duplicateValues" dxfId="710" priority="711"/>
    <cfRule type="duplicateValues" dxfId="709" priority="712"/>
    <cfRule type="duplicateValues" dxfId="708" priority="713"/>
    <cfRule type="duplicateValues" dxfId="707" priority="714"/>
    <cfRule type="duplicateValues" dxfId="706" priority="715"/>
    <cfRule type="duplicateValues" dxfId="705" priority="716"/>
    <cfRule type="duplicateValues" dxfId="704" priority="717"/>
    <cfRule type="duplicateValues" dxfId="703" priority="718"/>
    <cfRule type="duplicateValues" dxfId="702" priority="719"/>
    <cfRule type="duplicateValues" dxfId="701" priority="720"/>
    <cfRule type="duplicateValues" dxfId="700" priority="721"/>
  </conditionalFormatting>
  <conditionalFormatting sqref="B26">
    <cfRule type="duplicateValues" dxfId="699" priority="591"/>
    <cfRule type="duplicateValues" dxfId="698" priority="592"/>
    <cfRule type="duplicateValues" dxfId="697" priority="593"/>
    <cfRule type="duplicateValues" dxfId="696" priority="594"/>
    <cfRule type="duplicateValues" dxfId="695" priority="595"/>
    <cfRule type="duplicateValues" dxfId="694" priority="596"/>
  </conditionalFormatting>
  <conditionalFormatting sqref="B27:B28">
    <cfRule type="duplicateValues" dxfId="693" priority="349"/>
    <cfRule type="duplicateValues" dxfId="692" priority="350"/>
    <cfRule type="duplicateValues" dxfId="691" priority="351"/>
    <cfRule type="duplicateValues" dxfId="690" priority="352"/>
    <cfRule type="duplicateValues" dxfId="689" priority="353"/>
    <cfRule type="duplicateValues" dxfId="688" priority="354"/>
    <cfRule type="duplicateValues" dxfId="687" priority="355"/>
    <cfRule type="duplicateValues" dxfId="686" priority="356"/>
    <cfRule type="duplicateValues" dxfId="685" priority="357"/>
    <cfRule type="duplicateValues" dxfId="684" priority="358"/>
    <cfRule type="duplicateValues" dxfId="683" priority="359"/>
    <cfRule type="duplicateValues" dxfId="682" priority="360"/>
    <cfRule type="duplicateValues" dxfId="681" priority="361"/>
    <cfRule type="duplicateValues" dxfId="680" priority="362"/>
    <cfRule type="duplicateValues" dxfId="679" priority="363"/>
    <cfRule type="duplicateValues" dxfId="678" priority="364"/>
    <cfRule type="duplicateValues" dxfId="677" priority="365"/>
    <cfRule type="duplicateValues" dxfId="676" priority="366"/>
    <cfRule type="duplicateValues" dxfId="675" priority="367"/>
    <cfRule type="duplicateValues" dxfId="674" priority="368"/>
    <cfRule type="duplicateValues" dxfId="673" priority="369"/>
    <cfRule type="duplicateValues" dxfId="672" priority="370"/>
    <cfRule type="duplicateValues" dxfId="671" priority="371"/>
    <cfRule type="duplicateValues" dxfId="670" priority="372"/>
    <cfRule type="duplicateValues" dxfId="669" priority="373"/>
    <cfRule type="duplicateValues" dxfId="668" priority="374"/>
    <cfRule type="duplicateValues" dxfId="667" priority="375"/>
    <cfRule type="duplicateValues" dxfId="666" priority="376"/>
    <cfRule type="duplicateValues" dxfId="665" priority="377"/>
    <cfRule type="duplicateValues" dxfId="664" priority="378"/>
    <cfRule type="duplicateValues" dxfId="663" priority="379"/>
    <cfRule type="duplicateValues" dxfId="662" priority="380"/>
    <cfRule type="duplicateValues" dxfId="661" priority="381"/>
    <cfRule type="duplicateValues" dxfId="660" priority="382"/>
    <cfRule type="duplicateValues" dxfId="659" priority="383"/>
    <cfRule type="duplicateValues" dxfId="658" priority="384"/>
    <cfRule type="duplicateValues" dxfId="657" priority="385"/>
    <cfRule type="duplicateValues" dxfId="656" priority="386"/>
    <cfRule type="duplicateValues" dxfId="655" priority="387"/>
    <cfRule type="duplicateValues" dxfId="654" priority="388"/>
    <cfRule type="duplicateValues" dxfId="653" priority="389"/>
    <cfRule type="duplicateValues" dxfId="652" priority="390"/>
    <cfRule type="duplicateValues" dxfId="651" priority="391"/>
    <cfRule type="duplicateValues" dxfId="650" priority="392"/>
    <cfRule type="duplicateValues" dxfId="649" priority="393"/>
    <cfRule type="duplicateValues" dxfId="648" priority="394"/>
    <cfRule type="duplicateValues" dxfId="647" priority="395"/>
    <cfRule type="duplicateValues" dxfId="646" priority="396"/>
    <cfRule type="duplicateValues" dxfId="645" priority="397"/>
    <cfRule type="duplicateValues" dxfId="644" priority="398"/>
    <cfRule type="duplicateValues" dxfId="643" priority="399"/>
    <cfRule type="duplicateValues" dxfId="642" priority="400"/>
    <cfRule type="duplicateValues" dxfId="641" priority="401"/>
    <cfRule type="duplicateValues" dxfId="640" priority="402"/>
    <cfRule type="duplicateValues" dxfId="639" priority="403"/>
    <cfRule type="duplicateValues" dxfId="638" priority="404"/>
    <cfRule type="duplicateValues" dxfId="637" priority="405"/>
    <cfRule type="duplicateValues" dxfId="636" priority="406"/>
    <cfRule type="duplicateValues" dxfId="635" priority="407"/>
    <cfRule type="duplicateValues" dxfId="634" priority="408"/>
    <cfRule type="duplicateValues" dxfId="633" priority="409"/>
    <cfRule type="duplicateValues" dxfId="632" priority="410"/>
    <cfRule type="duplicateValues" dxfId="631" priority="411"/>
    <cfRule type="duplicateValues" dxfId="630" priority="412"/>
    <cfRule type="duplicateValues" dxfId="629" priority="413"/>
    <cfRule type="duplicateValues" dxfId="628" priority="414"/>
    <cfRule type="duplicateValues" dxfId="627" priority="415"/>
    <cfRule type="duplicateValues" dxfId="626" priority="416"/>
    <cfRule type="duplicateValues" dxfId="625" priority="417"/>
    <cfRule type="duplicateValues" dxfId="624" priority="418"/>
    <cfRule type="duplicateValues" dxfId="623" priority="419"/>
    <cfRule type="duplicateValues" dxfId="622" priority="420"/>
    <cfRule type="duplicateValues" dxfId="621" priority="421"/>
    <cfRule type="duplicateValues" dxfId="620" priority="422"/>
    <cfRule type="duplicateValues" dxfId="619" priority="423"/>
    <cfRule type="duplicateValues" dxfId="618" priority="424"/>
    <cfRule type="duplicateValues" dxfId="617" priority="425"/>
    <cfRule type="duplicateValues" dxfId="616" priority="426"/>
    <cfRule type="duplicateValues" dxfId="615" priority="427"/>
    <cfRule type="duplicateValues" dxfId="614" priority="428"/>
    <cfRule type="duplicateValues" dxfId="613" priority="429"/>
    <cfRule type="duplicateValues" dxfId="612" priority="430"/>
    <cfRule type="duplicateValues" dxfId="611" priority="431"/>
    <cfRule type="duplicateValues" dxfId="610" priority="432"/>
    <cfRule type="duplicateValues" dxfId="609" priority="433"/>
    <cfRule type="duplicateValues" dxfId="608" priority="434"/>
    <cfRule type="duplicateValues" dxfId="607" priority="435"/>
    <cfRule type="duplicateValues" dxfId="606" priority="436"/>
    <cfRule type="duplicateValues" dxfId="605" priority="437"/>
    <cfRule type="duplicateValues" dxfId="604" priority="438"/>
    <cfRule type="duplicateValues" dxfId="603" priority="439"/>
    <cfRule type="duplicateValues" dxfId="602" priority="440"/>
    <cfRule type="duplicateValues" dxfId="601" priority="441"/>
    <cfRule type="duplicateValues" dxfId="600" priority="442"/>
    <cfRule type="duplicateValues" dxfId="599" priority="443"/>
    <cfRule type="duplicateValues" dxfId="598" priority="444"/>
    <cfRule type="duplicateValues" dxfId="597" priority="445"/>
    <cfRule type="duplicateValues" dxfId="596" priority="446"/>
    <cfRule type="duplicateValues" dxfId="595" priority="447"/>
    <cfRule type="duplicateValues" dxfId="594" priority="448"/>
    <cfRule type="duplicateValues" dxfId="593" priority="449"/>
    <cfRule type="duplicateValues" dxfId="592" priority="450"/>
    <cfRule type="duplicateValues" dxfId="591" priority="451"/>
    <cfRule type="duplicateValues" dxfId="590" priority="452"/>
    <cfRule type="duplicateValues" dxfId="589" priority="453"/>
    <cfRule type="duplicateValues" dxfId="588" priority="454"/>
    <cfRule type="duplicateValues" dxfId="587" priority="455"/>
    <cfRule type="duplicateValues" dxfId="586" priority="456"/>
    <cfRule type="duplicateValues" dxfId="585" priority="457"/>
    <cfRule type="duplicateValues" dxfId="584" priority="458"/>
    <cfRule type="duplicateValues" dxfId="583" priority="459"/>
    <cfRule type="duplicateValues" dxfId="582" priority="460"/>
    <cfRule type="duplicateValues" dxfId="581" priority="461"/>
    <cfRule type="duplicateValues" dxfId="580" priority="462"/>
    <cfRule type="duplicateValues" dxfId="579" priority="463"/>
    <cfRule type="duplicateValues" dxfId="578" priority="464"/>
    <cfRule type="duplicateValues" dxfId="577" priority="465"/>
    <cfRule type="duplicateValues" dxfId="576" priority="466"/>
    <cfRule type="duplicateValues" dxfId="575" priority="467"/>
    <cfRule type="duplicateValues" dxfId="574" priority="468"/>
    <cfRule type="duplicateValues" dxfId="573" priority="469"/>
    <cfRule type="duplicateValues" dxfId="572" priority="470"/>
    <cfRule type="duplicateValues" dxfId="571" priority="471"/>
    <cfRule type="duplicateValues" dxfId="570" priority="472"/>
    <cfRule type="duplicateValues" dxfId="569" priority="473"/>
    <cfRule type="duplicateValues" dxfId="568" priority="474"/>
    <cfRule type="duplicateValues" dxfId="567" priority="475"/>
    <cfRule type="duplicateValues" dxfId="566" priority="476"/>
    <cfRule type="duplicateValues" dxfId="565" priority="477"/>
    <cfRule type="duplicateValues" dxfId="564" priority="478"/>
    <cfRule type="duplicateValues" dxfId="563" priority="479"/>
    <cfRule type="duplicateValues" dxfId="562" priority="480"/>
    <cfRule type="duplicateValues" dxfId="561" priority="481"/>
    <cfRule type="duplicateValues" dxfId="560" priority="482"/>
    <cfRule type="duplicateValues" dxfId="559" priority="483"/>
    <cfRule type="duplicateValues" dxfId="558" priority="484"/>
    <cfRule type="duplicateValues" dxfId="557" priority="485"/>
    <cfRule type="duplicateValues" dxfId="556" priority="486"/>
    <cfRule type="duplicateValues" dxfId="555" priority="487"/>
    <cfRule type="duplicateValues" dxfId="554" priority="488"/>
    <cfRule type="duplicateValues" dxfId="553" priority="489"/>
    <cfRule type="duplicateValues" dxfId="552" priority="490"/>
    <cfRule type="duplicateValues" dxfId="551" priority="491"/>
    <cfRule type="duplicateValues" dxfId="550" priority="492"/>
    <cfRule type="duplicateValues" dxfId="549" priority="493"/>
    <cfRule type="duplicateValues" dxfId="548" priority="494"/>
    <cfRule type="duplicateValues" dxfId="547" priority="495"/>
    <cfRule type="duplicateValues" dxfId="546" priority="496"/>
    <cfRule type="duplicateValues" dxfId="545" priority="497"/>
    <cfRule type="duplicateValues" dxfId="544" priority="498"/>
    <cfRule type="duplicateValues" dxfId="543" priority="499"/>
    <cfRule type="duplicateValues" dxfId="542" priority="500"/>
    <cfRule type="duplicateValues" dxfId="541" priority="501"/>
    <cfRule type="duplicateValues" dxfId="540" priority="502"/>
    <cfRule type="duplicateValues" dxfId="539" priority="503"/>
    <cfRule type="duplicateValues" dxfId="538" priority="504"/>
    <cfRule type="duplicateValues" dxfId="537" priority="505"/>
    <cfRule type="duplicateValues" dxfId="536" priority="506"/>
    <cfRule type="duplicateValues" dxfId="535" priority="507"/>
    <cfRule type="duplicateValues" dxfId="534" priority="508"/>
    <cfRule type="duplicateValues" dxfId="533" priority="509"/>
    <cfRule type="duplicateValues" dxfId="532" priority="510"/>
    <cfRule type="duplicateValues" dxfId="531" priority="511"/>
    <cfRule type="duplicateValues" dxfId="530" priority="512"/>
    <cfRule type="duplicateValues" dxfId="529" priority="513"/>
    <cfRule type="duplicateValues" dxfId="528" priority="514"/>
    <cfRule type="duplicateValues" dxfId="527" priority="515"/>
    <cfRule type="duplicateValues" dxfId="526" priority="516"/>
    <cfRule type="duplicateValues" dxfId="525" priority="517"/>
    <cfRule type="duplicateValues" dxfId="524" priority="518"/>
    <cfRule type="duplicateValues" dxfId="523" priority="519"/>
    <cfRule type="duplicateValues" dxfId="522" priority="520"/>
    <cfRule type="duplicateValues" dxfId="521" priority="521"/>
    <cfRule type="duplicateValues" dxfId="520" priority="522"/>
    <cfRule type="duplicateValues" dxfId="519" priority="523"/>
    <cfRule type="duplicateValues" dxfId="518" priority="524"/>
    <cfRule type="duplicateValues" dxfId="517" priority="525"/>
    <cfRule type="duplicateValues" dxfId="516" priority="526"/>
    <cfRule type="duplicateValues" dxfId="515" priority="527"/>
    <cfRule type="duplicateValues" dxfId="514" priority="528"/>
    <cfRule type="duplicateValues" dxfId="513" priority="529"/>
    <cfRule type="duplicateValues" dxfId="512" priority="530"/>
    <cfRule type="duplicateValues" dxfId="511" priority="531"/>
    <cfRule type="duplicateValues" dxfId="510" priority="532"/>
    <cfRule type="duplicateValues" dxfId="509" priority="533"/>
    <cfRule type="duplicateValues" dxfId="508" priority="534"/>
    <cfRule type="duplicateValues" dxfId="507" priority="535"/>
    <cfRule type="duplicateValues" dxfId="506" priority="536"/>
    <cfRule type="duplicateValues" dxfId="505" priority="537"/>
    <cfRule type="duplicateValues" dxfId="504" priority="538"/>
    <cfRule type="duplicateValues" dxfId="503" priority="539"/>
    <cfRule type="duplicateValues" dxfId="502" priority="540"/>
    <cfRule type="duplicateValues" dxfId="501" priority="541"/>
    <cfRule type="duplicateValues" dxfId="500" priority="542"/>
    <cfRule type="duplicateValues" dxfId="499" priority="543"/>
    <cfRule type="duplicateValues" dxfId="498" priority="544"/>
    <cfRule type="duplicateValues" dxfId="497" priority="545"/>
    <cfRule type="duplicateValues" dxfId="496" priority="546"/>
    <cfRule type="duplicateValues" dxfId="495" priority="547"/>
    <cfRule type="duplicateValues" dxfId="494" priority="548"/>
    <cfRule type="duplicateValues" dxfId="493" priority="549"/>
    <cfRule type="duplicateValues" dxfId="492" priority="550"/>
    <cfRule type="duplicateValues" dxfId="491" priority="551"/>
    <cfRule type="duplicateValues" dxfId="490" priority="552"/>
    <cfRule type="duplicateValues" dxfId="489" priority="553"/>
    <cfRule type="duplicateValues" dxfId="488" priority="554"/>
    <cfRule type="duplicateValues" dxfId="487" priority="555"/>
    <cfRule type="duplicateValues" dxfId="486" priority="556"/>
    <cfRule type="duplicateValues" dxfId="485" priority="557"/>
    <cfRule type="duplicateValues" dxfId="484" priority="558"/>
    <cfRule type="duplicateValues" dxfId="483" priority="559"/>
    <cfRule type="duplicateValues" dxfId="482" priority="560"/>
    <cfRule type="duplicateValues" dxfId="481" priority="561"/>
    <cfRule type="duplicateValues" dxfId="480" priority="562"/>
    <cfRule type="duplicateValues" dxfId="479" priority="563"/>
    <cfRule type="duplicateValues" dxfId="478" priority="564"/>
    <cfRule type="duplicateValues" dxfId="477" priority="565"/>
    <cfRule type="duplicateValues" dxfId="476" priority="566"/>
    <cfRule type="duplicateValues" dxfId="475" priority="567"/>
    <cfRule type="duplicateValues" dxfId="474" priority="568"/>
    <cfRule type="duplicateValues" dxfId="473" priority="569"/>
    <cfRule type="duplicateValues" dxfId="472" priority="570"/>
    <cfRule type="duplicateValues" dxfId="471" priority="571"/>
    <cfRule type="duplicateValues" dxfId="470" priority="572"/>
    <cfRule type="duplicateValues" dxfId="469" priority="573"/>
    <cfRule type="duplicateValues" dxfId="468" priority="574"/>
    <cfRule type="duplicateValues" dxfId="467" priority="575"/>
    <cfRule type="duplicateValues" dxfId="466" priority="576"/>
    <cfRule type="duplicateValues" dxfId="465" priority="577"/>
    <cfRule type="duplicateValues" dxfId="464" priority="578"/>
    <cfRule type="duplicateValues" dxfId="463" priority="579"/>
    <cfRule type="duplicateValues" dxfId="462" priority="580"/>
    <cfRule type="duplicateValues" dxfId="461" priority="581"/>
    <cfRule type="duplicateValues" dxfId="460" priority="582"/>
    <cfRule type="duplicateValues" dxfId="459" priority="583"/>
    <cfRule type="duplicateValues" dxfId="458" priority="584"/>
    <cfRule type="duplicateValues" dxfId="457" priority="585"/>
    <cfRule type="duplicateValues" dxfId="456" priority="586"/>
    <cfRule type="duplicateValues" dxfId="455" priority="587"/>
    <cfRule type="duplicateValues" dxfId="454" priority="588"/>
    <cfRule type="duplicateValues" dxfId="453" priority="589"/>
    <cfRule type="duplicateValues" dxfId="452" priority="590"/>
  </conditionalFormatting>
  <conditionalFormatting sqref="B29:B30 B22:B23">
    <cfRule type="duplicateValues" dxfId="451" priority="726"/>
    <cfRule type="duplicateValues" dxfId="450" priority="727"/>
    <cfRule type="duplicateValues" dxfId="449" priority="728"/>
    <cfRule type="duplicateValues" dxfId="448" priority="729"/>
    <cfRule type="duplicateValues" dxfId="447" priority="730"/>
    <cfRule type="duplicateValues" dxfId="446" priority="731"/>
    <cfRule type="duplicateValues" dxfId="445" priority="732"/>
    <cfRule type="duplicateValues" dxfId="444" priority="733"/>
    <cfRule type="duplicateValues" dxfId="443" priority="734"/>
  </conditionalFormatting>
  <conditionalFormatting sqref="B29:B31 B2:B3 B22:B24 B5:B19">
    <cfRule type="duplicateValues" dxfId="442" priority="1070"/>
    <cfRule type="duplicateValues" dxfId="441" priority="1071"/>
  </conditionalFormatting>
  <conditionalFormatting sqref="B29:B31 B3 B22:B24 B5:B19">
    <cfRule type="duplicateValues" dxfId="440" priority="1050"/>
  </conditionalFormatting>
  <conditionalFormatting sqref="B31">
    <cfRule type="duplicateValues" dxfId="439" priority="144"/>
    <cfRule type="duplicateValues" dxfId="438" priority="145"/>
    <cfRule type="duplicateValues" dxfId="437" priority="146"/>
    <cfRule type="duplicateValues" dxfId="436" priority="147"/>
    <cfRule type="duplicateValues" dxfId="435" priority="148"/>
    <cfRule type="duplicateValues" dxfId="434" priority="149"/>
    <cfRule type="duplicateValues" dxfId="433" priority="150"/>
    <cfRule type="duplicateValues" dxfId="432" priority="151"/>
    <cfRule type="duplicateValues" dxfId="431" priority="152"/>
    <cfRule type="duplicateValues" dxfId="430" priority="153"/>
    <cfRule type="duplicateValues" dxfId="429" priority="154"/>
    <cfRule type="duplicateValues" dxfId="428" priority="155"/>
    <cfRule type="duplicateValues" dxfId="427" priority="156"/>
    <cfRule type="duplicateValues" dxfId="426" priority="157"/>
    <cfRule type="duplicateValues" dxfId="425" priority="158"/>
    <cfRule type="duplicateValues" dxfId="424" priority="159"/>
    <cfRule type="duplicateValues" dxfId="423" priority="160"/>
    <cfRule type="duplicateValues" dxfId="422" priority="161"/>
    <cfRule type="duplicateValues" dxfId="421" priority="162"/>
    <cfRule type="duplicateValues" dxfId="420" priority="163"/>
    <cfRule type="duplicateValues" dxfId="419" priority="164"/>
    <cfRule type="duplicateValues" dxfId="418" priority="165"/>
    <cfRule type="duplicateValues" dxfId="417" priority="166"/>
    <cfRule type="duplicateValues" dxfId="416" priority="167"/>
    <cfRule type="duplicateValues" dxfId="415" priority="168"/>
    <cfRule type="duplicateValues" dxfId="414" priority="169"/>
    <cfRule type="duplicateValues" dxfId="413" priority="170"/>
    <cfRule type="duplicateValues" dxfId="412" priority="171"/>
    <cfRule type="duplicateValues" dxfId="411" priority="172"/>
    <cfRule type="duplicateValues" dxfId="410" priority="173"/>
    <cfRule type="duplicateValues" dxfId="409" priority="174"/>
    <cfRule type="duplicateValues" dxfId="408" priority="175"/>
    <cfRule type="duplicateValues" dxfId="407" priority="176"/>
    <cfRule type="duplicateValues" dxfId="406" priority="177"/>
    <cfRule type="duplicateValues" dxfId="405" priority="178"/>
    <cfRule type="duplicateValues" dxfId="404" priority="179"/>
    <cfRule type="duplicateValues" dxfId="403" priority="180"/>
    <cfRule type="duplicateValues" dxfId="402" priority="181"/>
    <cfRule type="duplicateValues" dxfId="401" priority="182"/>
    <cfRule type="duplicateValues" dxfId="400" priority="183"/>
    <cfRule type="duplicateValues" dxfId="399" priority="184"/>
    <cfRule type="duplicateValues" dxfId="398" priority="185"/>
    <cfRule type="duplicateValues" dxfId="397" priority="186"/>
    <cfRule type="duplicateValues" dxfId="396" priority="187"/>
    <cfRule type="duplicateValues" dxfId="395" priority="188"/>
    <cfRule type="duplicateValues" dxfId="394" priority="189"/>
    <cfRule type="duplicateValues" dxfId="393" priority="190"/>
    <cfRule type="duplicateValues" dxfId="392" priority="191"/>
    <cfRule type="duplicateValues" dxfId="391" priority="192"/>
    <cfRule type="duplicateValues" dxfId="390" priority="193"/>
    <cfRule type="duplicateValues" dxfId="389" priority="194"/>
    <cfRule type="duplicateValues" dxfId="388" priority="195"/>
    <cfRule type="duplicateValues" dxfId="387" priority="196"/>
    <cfRule type="duplicateValues" dxfId="386" priority="197"/>
    <cfRule type="duplicateValues" dxfId="385" priority="198"/>
    <cfRule type="duplicateValues" dxfId="384" priority="199"/>
    <cfRule type="duplicateValues" dxfId="383" priority="200"/>
    <cfRule type="duplicateValues" dxfId="382" priority="201"/>
    <cfRule type="duplicateValues" dxfId="381" priority="202"/>
    <cfRule type="duplicateValues" dxfId="380" priority="203"/>
    <cfRule type="duplicateValues" dxfId="379" priority="204"/>
    <cfRule type="duplicateValues" dxfId="378" priority="205"/>
    <cfRule type="duplicateValues" dxfId="377" priority="206"/>
    <cfRule type="duplicateValues" dxfId="376" priority="207"/>
    <cfRule type="duplicateValues" dxfId="375" priority="208"/>
    <cfRule type="duplicateValues" dxfId="374" priority="209"/>
    <cfRule type="duplicateValues" dxfId="373" priority="210"/>
    <cfRule type="duplicateValues" dxfId="372" priority="211"/>
    <cfRule type="duplicateValues" dxfId="371" priority="212"/>
    <cfRule type="duplicateValues" dxfId="370" priority="213"/>
    <cfRule type="duplicateValues" dxfId="369" priority="214"/>
    <cfRule type="duplicateValues" dxfId="368" priority="215"/>
    <cfRule type="duplicateValues" dxfId="367" priority="216"/>
    <cfRule type="duplicateValues" dxfId="366" priority="217"/>
    <cfRule type="duplicateValues" dxfId="365" priority="218"/>
  </conditionalFormatting>
  <conditionalFormatting sqref="B32:B33">
    <cfRule type="duplicateValues" dxfId="364" priority="222"/>
    <cfRule type="duplicateValues" dxfId="363" priority="223"/>
    <cfRule type="duplicateValues" dxfId="362" priority="224"/>
    <cfRule type="duplicateValues" dxfId="361" priority="225"/>
    <cfRule type="duplicateValues" dxfId="360" priority="226"/>
    <cfRule type="duplicateValues" dxfId="359" priority="227"/>
    <cfRule type="duplicateValues" dxfId="358" priority="228"/>
    <cfRule type="duplicateValues" dxfId="357" priority="229"/>
    <cfRule type="duplicateValues" dxfId="356" priority="230"/>
    <cfRule type="duplicateValues" dxfId="355" priority="231"/>
    <cfRule type="duplicateValues" dxfId="354" priority="232"/>
    <cfRule type="duplicateValues" dxfId="353" priority="233"/>
    <cfRule type="duplicateValues" dxfId="352" priority="234"/>
    <cfRule type="duplicateValues" dxfId="351" priority="235"/>
    <cfRule type="duplicateValues" dxfId="350" priority="236"/>
    <cfRule type="duplicateValues" dxfId="349" priority="237"/>
    <cfRule type="duplicateValues" dxfId="348" priority="238"/>
    <cfRule type="duplicateValues" dxfId="347" priority="239"/>
    <cfRule type="duplicateValues" dxfId="346" priority="240"/>
    <cfRule type="duplicateValues" dxfId="345" priority="241"/>
    <cfRule type="duplicateValues" dxfId="344" priority="242"/>
    <cfRule type="duplicateValues" dxfId="343" priority="243"/>
    <cfRule type="duplicateValues" dxfId="342" priority="244"/>
    <cfRule type="duplicateValues" dxfId="341" priority="245"/>
    <cfRule type="duplicateValues" dxfId="340" priority="246"/>
    <cfRule type="duplicateValues" dxfId="339" priority="247"/>
    <cfRule type="duplicateValues" dxfId="338" priority="248"/>
    <cfRule type="duplicateValues" dxfId="337" priority="249"/>
    <cfRule type="duplicateValues" dxfId="336" priority="250"/>
    <cfRule type="duplicateValues" dxfId="335" priority="251"/>
    <cfRule type="duplicateValues" dxfId="334" priority="252"/>
    <cfRule type="duplicateValues" dxfId="333" priority="253"/>
    <cfRule type="duplicateValues" dxfId="332" priority="254"/>
    <cfRule type="duplicateValues" dxfId="331" priority="255"/>
    <cfRule type="duplicateValues" dxfId="330" priority="256"/>
    <cfRule type="duplicateValues" dxfId="329" priority="257"/>
    <cfRule type="duplicateValues" dxfId="328" priority="258"/>
    <cfRule type="duplicateValues" dxfId="327" priority="259"/>
    <cfRule type="duplicateValues" dxfId="326" priority="260"/>
    <cfRule type="duplicateValues" dxfId="325" priority="261"/>
    <cfRule type="duplicateValues" dxfId="324" priority="262"/>
    <cfRule type="duplicateValues" dxfId="323" priority="263"/>
    <cfRule type="duplicateValues" dxfId="322" priority="264"/>
    <cfRule type="duplicateValues" dxfId="321" priority="265"/>
    <cfRule type="duplicateValues" dxfId="320" priority="266"/>
    <cfRule type="duplicateValues" dxfId="319" priority="267"/>
    <cfRule type="duplicateValues" dxfId="318" priority="268"/>
    <cfRule type="duplicateValues" dxfId="317" priority="269"/>
    <cfRule type="duplicateValues" dxfId="316" priority="270"/>
    <cfRule type="duplicateValues" dxfId="315" priority="271"/>
    <cfRule type="duplicateValues" dxfId="314" priority="272"/>
    <cfRule type="duplicateValues" dxfId="313" priority="273"/>
    <cfRule type="duplicateValues" dxfId="312" priority="274"/>
    <cfRule type="duplicateValues" dxfId="311" priority="275"/>
    <cfRule type="duplicateValues" dxfId="310" priority="276"/>
    <cfRule type="duplicateValues" dxfId="309" priority="277"/>
    <cfRule type="duplicateValues" dxfId="308" priority="278"/>
    <cfRule type="duplicateValues" dxfId="307" priority="279"/>
    <cfRule type="duplicateValues" dxfId="306" priority="280"/>
    <cfRule type="duplicateValues" dxfId="305" priority="281"/>
    <cfRule type="duplicateValues" dxfId="304" priority="282"/>
    <cfRule type="duplicateValues" dxfId="303" priority="283"/>
    <cfRule type="duplicateValues" dxfId="302" priority="284"/>
    <cfRule type="duplicateValues" dxfId="301" priority="285"/>
    <cfRule type="duplicateValues" dxfId="300" priority="286"/>
    <cfRule type="duplicateValues" dxfId="299" priority="287"/>
    <cfRule type="duplicateValues" dxfId="298" priority="288"/>
    <cfRule type="duplicateValues" dxfId="297" priority="289"/>
    <cfRule type="duplicateValues" dxfId="296" priority="290"/>
    <cfRule type="duplicateValues" dxfId="295" priority="291"/>
    <cfRule type="duplicateValues" dxfId="294" priority="292"/>
    <cfRule type="duplicateValues" dxfId="293" priority="293"/>
    <cfRule type="duplicateValues" dxfId="292" priority="294"/>
    <cfRule type="duplicateValues" dxfId="291" priority="295"/>
    <cfRule type="duplicateValues" dxfId="290" priority="296"/>
    <cfRule type="duplicateValues" dxfId="289" priority="297"/>
    <cfRule type="duplicateValues" dxfId="288" priority="298"/>
    <cfRule type="duplicateValues" dxfId="287" priority="299"/>
    <cfRule type="duplicateValues" dxfId="286" priority="300"/>
    <cfRule type="duplicateValues" dxfId="285" priority="301"/>
    <cfRule type="duplicateValues" dxfId="284" priority="302"/>
    <cfRule type="duplicateValues" dxfId="283" priority="303"/>
    <cfRule type="duplicateValues" dxfId="282" priority="304"/>
    <cfRule type="duplicateValues" dxfId="281" priority="305"/>
    <cfRule type="duplicateValues" dxfId="280" priority="306"/>
    <cfRule type="duplicateValues" dxfId="279" priority="307"/>
    <cfRule type="duplicateValues" dxfId="278" priority="308"/>
    <cfRule type="duplicateValues" dxfId="277" priority="309"/>
    <cfRule type="duplicateValues" dxfId="276" priority="310"/>
    <cfRule type="duplicateValues" dxfId="275" priority="311"/>
    <cfRule type="duplicateValues" dxfId="274" priority="312"/>
    <cfRule type="duplicateValues" dxfId="273" priority="313"/>
    <cfRule type="duplicateValues" dxfId="272" priority="314"/>
    <cfRule type="duplicateValues" dxfId="271" priority="315"/>
    <cfRule type="duplicateValues" dxfId="270" priority="316"/>
    <cfRule type="duplicateValues" dxfId="269" priority="317"/>
    <cfRule type="duplicateValues" dxfId="268" priority="318"/>
    <cfRule type="duplicateValues" dxfId="267" priority="319"/>
    <cfRule type="duplicateValues" dxfId="266" priority="320"/>
    <cfRule type="duplicateValues" dxfId="265" priority="321"/>
    <cfRule type="duplicateValues" dxfId="264" priority="322"/>
    <cfRule type="duplicateValues" dxfId="263" priority="323"/>
    <cfRule type="duplicateValues" dxfId="262" priority="324"/>
    <cfRule type="duplicateValues" dxfId="261" priority="325"/>
    <cfRule type="duplicateValues" dxfId="260" priority="326"/>
    <cfRule type="duplicateValues" dxfId="259" priority="327"/>
    <cfRule type="duplicateValues" dxfId="258" priority="328"/>
    <cfRule type="duplicateValues" dxfId="257" priority="329"/>
    <cfRule type="duplicateValues" dxfId="256" priority="330"/>
    <cfRule type="duplicateValues" dxfId="255" priority="331"/>
    <cfRule type="duplicateValues" dxfId="254" priority="332"/>
    <cfRule type="duplicateValues" dxfId="253" priority="333"/>
    <cfRule type="duplicateValues" dxfId="252" priority="334"/>
    <cfRule type="duplicateValues" dxfId="251" priority="335"/>
    <cfRule type="duplicateValues" dxfId="250" priority="336"/>
    <cfRule type="duplicateValues" dxfId="249" priority="337"/>
    <cfRule type="duplicateValues" dxfId="248" priority="338"/>
    <cfRule type="duplicateValues" dxfId="247" priority="339"/>
    <cfRule type="duplicateValues" dxfId="246" priority="340"/>
    <cfRule type="duplicateValues" dxfId="245" priority="341"/>
    <cfRule type="duplicateValues" dxfId="244" priority="342"/>
  </conditionalFormatting>
  <conditionalFormatting sqref="B34:B35">
    <cfRule type="duplicateValues" dxfId="243" priority="5"/>
    <cfRule type="duplicateValues" dxfId="242" priority="6"/>
    <cfRule type="duplicateValues" dxfId="241" priority="7"/>
    <cfRule type="duplicateValues" dxfId="240" priority="8"/>
    <cfRule type="duplicateValues" dxfId="239" priority="9"/>
    <cfRule type="duplicateValues" dxfId="238" priority="10"/>
    <cfRule type="duplicateValues" dxfId="237" priority="11"/>
    <cfRule type="duplicateValues" dxfId="236" priority="12"/>
    <cfRule type="duplicateValues" dxfId="235" priority="13"/>
    <cfRule type="duplicateValues" dxfId="234" priority="14"/>
    <cfRule type="duplicateValues" dxfId="233" priority="15"/>
    <cfRule type="duplicateValues" dxfId="232" priority="16"/>
  </conditionalFormatting>
  <conditionalFormatting sqref="B36:B71">
    <cfRule type="duplicateValues" dxfId="231" priority="15896"/>
  </conditionalFormatting>
  <conditionalFormatting sqref="B72:B1048576">
    <cfRule type="duplicateValues" dxfId="230" priority="15895"/>
  </conditionalFormatting>
  <conditionalFormatting sqref="B36:C71">
    <cfRule type="duplicateValues" dxfId="229" priority="15897"/>
  </conditionalFormatting>
  <conditionalFormatting sqref="C1:E1 G1:K1">
    <cfRule type="duplicateValues" dxfId="228" priority="1312"/>
    <cfRule type="duplicateValues" dxfId="227" priority="1313"/>
    <cfRule type="duplicateValues" dxfId="226" priority="1314"/>
    <cfRule type="duplicateValues" dxfId="225" priority="1315"/>
    <cfRule type="duplicateValues" dxfId="224" priority="1316"/>
    <cfRule type="duplicateValues" dxfId="223" priority="1317"/>
  </conditionalFormatting>
  <conditionalFormatting sqref="L36:L1048576">
    <cfRule type="containsText" dxfId="222" priority="8577" operator="containsText" text="SIN REGISTRO">
      <formula>NOT(ISERROR(SEARCH("SIN REGISTRO",L36)))</formula>
    </cfRule>
  </conditionalFormatting>
  <conditionalFormatting sqref="N1">
    <cfRule type="duplicateValues" dxfId="221" priority="1152"/>
    <cfRule type="duplicateValues" dxfId="220" priority="1153"/>
    <cfRule type="duplicateValues" dxfId="219" priority="1154"/>
    <cfRule type="duplicateValues" dxfId="218" priority="1155"/>
    <cfRule type="duplicateValues" dxfId="217" priority="1156"/>
    <cfRule type="duplicateValues" dxfId="216" priority="1157"/>
    <cfRule type="duplicateValues" dxfId="215" priority="1158"/>
    <cfRule type="duplicateValues" dxfId="214" priority="1159"/>
    <cfRule type="duplicateValues" dxfId="213" priority="1160"/>
    <cfRule type="duplicateValues" dxfId="212" priority="1161"/>
    <cfRule type="duplicateValues" dxfId="211" priority="1162"/>
    <cfRule type="duplicateValues" dxfId="210" priority="1163"/>
    <cfRule type="duplicateValues" dxfId="209" priority="1164"/>
    <cfRule type="duplicateValues" dxfId="208" priority="1165"/>
    <cfRule type="duplicateValues" dxfId="207" priority="1166"/>
    <cfRule type="duplicateValues" dxfId="206" priority="1167"/>
    <cfRule type="duplicateValues" dxfId="205" priority="1168"/>
    <cfRule type="duplicateValues" dxfId="204" priority="1169"/>
    <cfRule type="duplicateValues" dxfId="203" priority="1170"/>
    <cfRule type="duplicateValues" dxfId="202" priority="1171"/>
    <cfRule type="duplicateValues" dxfId="201" priority="1172"/>
    <cfRule type="duplicateValues" dxfId="200" priority="1173"/>
    <cfRule type="duplicateValues" dxfId="199" priority="1174"/>
    <cfRule type="duplicateValues" dxfId="198" priority="1175"/>
    <cfRule type="duplicateValues" dxfId="197" priority="1176"/>
    <cfRule type="duplicateValues" dxfId="196" priority="1177"/>
    <cfRule type="duplicateValues" dxfId="195" priority="1178"/>
    <cfRule type="duplicateValues" dxfId="194" priority="1179"/>
    <cfRule type="duplicateValues" dxfId="193" priority="1180"/>
    <cfRule type="duplicateValues" dxfId="192" priority="1181"/>
    <cfRule type="duplicateValues" dxfId="191" priority="1182"/>
    <cfRule type="duplicateValues" dxfId="190" priority="1183"/>
    <cfRule type="duplicateValues" dxfId="189" priority="1184"/>
    <cfRule type="duplicateValues" dxfId="188" priority="1185"/>
    <cfRule type="duplicateValues" dxfId="187" priority="1186"/>
    <cfRule type="duplicateValues" dxfId="186" priority="1187"/>
    <cfRule type="duplicateValues" dxfId="185" priority="1188"/>
    <cfRule type="duplicateValues" dxfId="184" priority="1189"/>
    <cfRule type="duplicateValues" dxfId="183" priority="1190"/>
    <cfRule type="duplicateValues" dxfId="182" priority="1191"/>
    <cfRule type="duplicateValues" dxfId="181" priority="1192"/>
    <cfRule type="duplicateValues" dxfId="180" priority="1193"/>
    <cfRule type="duplicateValues" dxfId="179" priority="1194"/>
    <cfRule type="duplicateValues" dxfId="178" priority="1195"/>
    <cfRule type="duplicateValues" dxfId="177" priority="1196"/>
  </conditionalFormatting>
  <conditionalFormatting sqref="N2:N16 N20:N35">
    <cfRule type="duplicateValues" dxfId="176" priority="1277"/>
    <cfRule type="duplicateValues" dxfId="175" priority="1278"/>
    <cfRule type="duplicateValues" dxfId="174" priority="1279"/>
    <cfRule type="duplicateValues" dxfId="173" priority="1280"/>
    <cfRule type="duplicateValues" dxfId="172" priority="1281"/>
    <cfRule type="duplicateValues" dxfId="171" priority="1282"/>
    <cfRule type="duplicateValues" dxfId="170" priority="1283"/>
    <cfRule type="duplicateValues" dxfId="169" priority="1284"/>
    <cfRule type="duplicateValues" dxfId="168" priority="1285"/>
    <cfRule type="duplicateValues" dxfId="167" priority="1286"/>
    <cfRule type="duplicateValues" dxfId="166" priority="1287"/>
    <cfRule type="duplicateValues" dxfId="165" priority="1288"/>
    <cfRule type="duplicateValues" dxfId="164" priority="1289"/>
    <cfRule type="duplicateValues" dxfId="163" priority="1290"/>
    <cfRule type="duplicateValues" dxfId="162" priority="1291"/>
    <cfRule type="duplicateValues" dxfId="161" priority="1292"/>
    <cfRule type="duplicateValues" dxfId="160" priority="1293"/>
    <cfRule type="duplicateValues" dxfId="159" priority="1294"/>
    <cfRule type="duplicateValues" dxfId="158" priority="1295"/>
    <cfRule type="duplicateValues" dxfId="157" priority="1296"/>
    <cfRule type="duplicateValues" dxfId="156" priority="1297"/>
    <cfRule type="duplicateValues" dxfId="155" priority="1298"/>
    <cfRule type="duplicateValues" dxfId="154" priority="1299"/>
    <cfRule type="duplicateValues" dxfId="153" priority="1300"/>
    <cfRule type="duplicateValues" dxfId="152" priority="1301"/>
    <cfRule type="duplicateValues" dxfId="151" priority="1302"/>
    <cfRule type="duplicateValues" dxfId="150" priority="1303"/>
    <cfRule type="duplicateValues" dxfId="149" priority="1304"/>
    <cfRule type="duplicateValues" dxfId="148" priority="1305"/>
    <cfRule type="duplicateValues" dxfId="147" priority="1306"/>
    <cfRule type="duplicateValues" dxfId="146" priority="1307"/>
    <cfRule type="duplicateValues" dxfId="145" priority="1308"/>
  </conditionalFormatting>
  <conditionalFormatting sqref="N3">
    <cfRule type="duplicateValues" dxfId="144" priority="1041"/>
    <cfRule type="duplicateValues" dxfId="143" priority="1042"/>
    <cfRule type="duplicateValues" dxfId="142" priority="1043"/>
    <cfRule type="duplicateValues" dxfId="141" priority="1044"/>
    <cfRule type="duplicateValues" dxfId="140" priority="1045"/>
    <cfRule type="duplicateValues" dxfId="139" priority="1046"/>
    <cfRule type="duplicateValues" dxfId="138" priority="1047"/>
    <cfRule type="duplicateValues" dxfId="137" priority="1048"/>
    <cfRule type="duplicateValues" dxfId="136" priority="1049"/>
  </conditionalFormatting>
  <conditionalFormatting sqref="N5:N6">
    <cfRule type="duplicateValues" dxfId="135" priority="955"/>
    <cfRule type="duplicateValues" dxfId="134" priority="956"/>
    <cfRule type="duplicateValues" dxfId="133" priority="957"/>
  </conditionalFormatting>
  <conditionalFormatting sqref="N7:N16 N20">
    <cfRule type="duplicateValues" dxfId="132" priority="1309"/>
    <cfRule type="duplicateValues" dxfId="131" priority="1310"/>
    <cfRule type="duplicateValues" dxfId="130" priority="1311"/>
  </conditionalFormatting>
  <conditionalFormatting sqref="N17:N19">
    <cfRule type="duplicateValues" dxfId="129" priority="24"/>
    <cfRule type="duplicateValues" dxfId="128" priority="25"/>
    <cfRule type="duplicateValues" dxfId="127" priority="26"/>
    <cfRule type="duplicateValues" dxfId="126" priority="27"/>
    <cfRule type="duplicateValues" dxfId="125" priority="28"/>
    <cfRule type="duplicateValues" dxfId="124" priority="29"/>
    <cfRule type="duplicateValues" dxfId="123" priority="30"/>
    <cfRule type="duplicateValues" dxfId="122" priority="31"/>
    <cfRule type="duplicateValues" dxfId="121" priority="32"/>
    <cfRule type="duplicateValues" dxfId="120" priority="33"/>
    <cfRule type="duplicateValues" dxfId="119" priority="34"/>
    <cfRule type="duplicateValues" dxfId="118" priority="35"/>
    <cfRule type="duplicateValues" dxfId="117" priority="36"/>
    <cfRule type="duplicateValues" dxfId="116" priority="37"/>
    <cfRule type="duplicateValues" dxfId="115" priority="38"/>
    <cfRule type="duplicateValues" dxfId="114" priority="39"/>
    <cfRule type="duplicateValues" dxfId="113" priority="40"/>
    <cfRule type="duplicateValues" dxfId="112" priority="41"/>
    <cfRule type="duplicateValues" dxfId="111" priority="42"/>
    <cfRule type="duplicateValues" dxfId="110" priority="43"/>
    <cfRule type="duplicateValues" dxfId="109" priority="44"/>
    <cfRule type="duplicateValues" dxfId="108" priority="45"/>
    <cfRule type="duplicateValues" dxfId="107" priority="46"/>
    <cfRule type="duplicateValues" dxfId="106" priority="47"/>
    <cfRule type="duplicateValues" dxfId="105" priority="48"/>
    <cfRule type="duplicateValues" dxfId="104" priority="49"/>
    <cfRule type="duplicateValues" dxfId="103" priority="50"/>
    <cfRule type="duplicateValues" dxfId="102" priority="51"/>
    <cfRule type="duplicateValues" dxfId="101" priority="52"/>
    <cfRule type="duplicateValues" dxfId="100" priority="53"/>
    <cfRule type="duplicateValues" dxfId="99" priority="54"/>
    <cfRule type="duplicateValues" dxfId="98" priority="55"/>
    <cfRule type="duplicateValues" dxfId="97" priority="56"/>
    <cfRule type="duplicateValues" dxfId="96" priority="57"/>
    <cfRule type="duplicateValues" dxfId="95" priority="58"/>
    <cfRule type="duplicateValues" dxfId="94" priority="59"/>
    <cfRule type="duplicateValues" dxfId="93" priority="60"/>
    <cfRule type="duplicateValues" dxfId="92" priority="61"/>
    <cfRule type="duplicateValues" dxfId="91" priority="62"/>
    <cfRule type="duplicateValues" dxfId="90" priority="63"/>
    <cfRule type="duplicateValues" dxfId="89" priority="64"/>
    <cfRule type="duplicateValues" dxfId="88" priority="65"/>
    <cfRule type="duplicateValues" dxfId="87" priority="66"/>
    <cfRule type="duplicateValues" dxfId="86" priority="67"/>
    <cfRule type="duplicateValues" dxfId="85" priority="68"/>
  </conditionalFormatting>
  <conditionalFormatting sqref="N21">
    <cfRule type="duplicateValues" dxfId="84" priority="860"/>
    <cfRule type="duplicateValues" dxfId="83" priority="861"/>
    <cfRule type="duplicateValues" dxfId="82" priority="862"/>
    <cfRule type="duplicateValues" dxfId="81" priority="863"/>
    <cfRule type="duplicateValues" dxfId="80" priority="864"/>
    <cfRule type="duplicateValues" dxfId="79" priority="865"/>
    <cfRule type="duplicateValues" dxfId="78" priority="866"/>
    <cfRule type="duplicateValues" dxfId="77" priority="867"/>
    <cfRule type="duplicateValues" dxfId="76" priority="868"/>
  </conditionalFormatting>
  <conditionalFormatting sqref="N21:N23 N2:N6 N26:N27">
    <cfRule type="duplicateValues" dxfId="75" priority="1057"/>
    <cfRule type="duplicateValues" dxfId="74" priority="1058"/>
    <cfRule type="duplicateValues" dxfId="73" priority="1059"/>
    <cfRule type="duplicateValues" dxfId="72" priority="1060"/>
  </conditionalFormatting>
  <conditionalFormatting sqref="N22:N23 N4 N2 N26:N27">
    <cfRule type="duplicateValues" dxfId="71" priority="1067"/>
    <cfRule type="duplicateValues" dxfId="70" priority="1068"/>
    <cfRule type="duplicateValues" dxfId="69" priority="1069"/>
  </conditionalFormatting>
  <conditionalFormatting sqref="N22:N23 N4:N6 N2 N26:N27">
    <cfRule type="duplicateValues" dxfId="68" priority="1061"/>
    <cfRule type="duplicateValues" dxfId="67" priority="1062"/>
    <cfRule type="duplicateValues" dxfId="66" priority="1063"/>
    <cfRule type="duplicateValues" dxfId="65" priority="1064"/>
    <cfRule type="duplicateValues" dxfId="64" priority="1065"/>
    <cfRule type="duplicateValues" dxfId="63" priority="1066"/>
  </conditionalFormatting>
  <conditionalFormatting sqref="N24">
    <cfRule type="duplicateValues" dxfId="62" priority="722"/>
    <cfRule type="duplicateValues" dxfId="61" priority="723"/>
    <cfRule type="duplicateValues" dxfId="60" priority="724"/>
  </conditionalFormatting>
  <conditionalFormatting sqref="N25">
    <cfRule type="duplicateValues" dxfId="59" priority="598"/>
    <cfRule type="duplicateValues" dxfId="58" priority="599"/>
    <cfRule type="duplicateValues" dxfId="57" priority="600"/>
  </conditionalFormatting>
  <conditionalFormatting sqref="N25:N27 N29:N31">
    <cfRule type="duplicateValues" dxfId="56" priority="597"/>
  </conditionalFormatting>
  <conditionalFormatting sqref="N26 N22:N23">
    <cfRule type="duplicateValues" dxfId="55" priority="725"/>
  </conditionalFormatting>
  <conditionalFormatting sqref="N28">
    <cfRule type="duplicateValues" dxfId="54" priority="21"/>
    <cfRule type="duplicateValues" dxfId="53" priority="22"/>
    <cfRule type="duplicateValues" dxfId="52" priority="23"/>
  </conditionalFormatting>
  <conditionalFormatting sqref="N29:N31">
    <cfRule type="duplicateValues" dxfId="51" priority="343"/>
    <cfRule type="duplicateValues" dxfId="50" priority="344"/>
    <cfRule type="duplicateValues" dxfId="49" priority="345"/>
  </conditionalFormatting>
  <conditionalFormatting sqref="N32:N33">
    <cfRule type="duplicateValues" dxfId="48" priority="219"/>
    <cfRule type="duplicateValues" dxfId="47" priority="220"/>
    <cfRule type="duplicateValues" dxfId="46" priority="221"/>
  </conditionalFormatting>
  <conditionalFormatting sqref="N34:N35">
    <cfRule type="duplicateValues" dxfId="45" priority="1"/>
    <cfRule type="duplicateValues" dxfId="44" priority="2"/>
    <cfRule type="duplicateValues" dxfId="43" priority="3"/>
    <cfRule type="duplicateValues" dxfId="42" priority="4"/>
  </conditionalFormatting>
  <conditionalFormatting sqref="P4">
    <cfRule type="containsText" dxfId="41" priority="1038" operator="containsText" text="TODO OK">
      <formula>NOT(ISERROR(SEARCH("TODO OK",P4)))</formula>
    </cfRule>
    <cfRule type="containsText" dxfId="40" priority="1039" operator="containsText" text="PENDIENTES">
      <formula>NOT(ISERROR(SEARCH("PENDIENTES",P4)))</formula>
    </cfRule>
    <cfRule type="containsText" dxfId="39" priority="1040" operator="containsText" text="VERIFICADO">
      <formula>NOT(ISERROR(SEARCH("VERIFICADO",P4)))</formula>
    </cfRule>
  </conditionalFormatting>
  <conditionalFormatting sqref="P27:P28">
    <cfRule type="containsText" dxfId="38" priority="346" operator="containsText" text="TODO OK">
      <formula>NOT(ISERROR(SEARCH("TODO OK",P27)))</formula>
    </cfRule>
    <cfRule type="containsText" dxfId="37" priority="347" operator="containsText" text="PENDIENTES">
      <formula>NOT(ISERROR(SEARCH("PENDIENTES",P27)))</formula>
    </cfRule>
    <cfRule type="containsText" dxfId="36" priority="348" operator="containsText" text="VERIFICADO">
      <formula>NOT(ISERROR(SEARCH("VERIFICADO",P27)))</formula>
    </cfRule>
  </conditionalFormatting>
  <conditionalFormatting sqref="Q1">
    <cfRule type="containsText" dxfId="35" priority="1118" operator="containsText" text="POR ENVIAR">
      <formula>NOT(ISERROR(SEARCH("POR ENVIAR",Q1)))</formula>
    </cfRule>
    <cfRule type="containsText" dxfId="34" priority="1119" operator="containsText" text="EMAIL">
      <formula>NOT(ISERROR(SEARCH("EMAIL",Q1)))</formula>
    </cfRule>
    <cfRule type="containsText" dxfId="33" priority="1120" operator="containsText" text="SIN">
      <formula>NOT(ISERROR(SEARCH("SIN",Q1)))</formula>
    </cfRule>
    <cfRule type="containsText" dxfId="32" priority="1121" operator="containsText" text="ENVIADO">
      <formula>NOT(ISERROR(SEARCH("ENVIADO",Q1)))</formula>
    </cfRule>
  </conditionalFormatting>
  <conditionalFormatting sqref="Q1:Q35">
    <cfRule type="containsText" dxfId="31" priority="1051" operator="containsText" text="ENVIADO">
      <formula>NOT(ISERROR(SEARCH("ENVIADO",Q1)))</formula>
    </cfRule>
    <cfRule type="containsText" dxfId="30" priority="1052" operator="containsText" text="VERIFICADO">
      <formula>NOT(ISERROR(SEARCH("VERIFICADO",Q1)))</formula>
    </cfRule>
    <cfRule type="containsText" dxfId="29" priority="1053" operator="containsText" text="PENDIENTE">
      <formula>NOT(ISERROR(SEARCH("PENDIENTE",Q1)))</formula>
    </cfRule>
    <cfRule type="containsText" dxfId="28" priority="1054" operator="containsText" text="SEND">
      <formula>NOT(ISERROR(SEARCH("SEND",Q1)))</formula>
    </cfRule>
    <cfRule type="containsText" dxfId="27" priority="1112" operator="containsText" text="ENVIADO">
      <formula>NOT(ISERROR(SEARCH("ENVIADO",Q1)))</formula>
    </cfRule>
  </conditionalFormatting>
  <conditionalFormatting sqref="Q2:Q35">
    <cfRule type="containsText" dxfId="26" priority="856" operator="containsText" text="PENDIENTE">
      <formula>NOT(ISERROR(SEARCH("PENDIENTE",Q2)))</formula>
    </cfRule>
    <cfRule type="containsText" dxfId="25" priority="857" operator="containsText" text="SEND">
      <formula>NOT(ISERROR(SEARCH("SEND",Q2)))</formula>
    </cfRule>
    <cfRule type="containsText" dxfId="24" priority="858" operator="containsText" text="ENVIADO">
      <formula>NOT(ISERROR(SEARCH("ENVIADO",Q2)))</formula>
    </cfRule>
    <cfRule type="containsText" dxfId="23" priority="859" operator="containsText" text="POR ENVIAR">
      <formula>NOT(ISERROR(SEARCH("POR ENVIAR",Q2)))</formula>
    </cfRule>
    <cfRule type="containsText" dxfId="22" priority="1055" operator="containsText" text="ENVIADO">
      <formula>NOT(ISERROR(SEARCH("ENVIADO",Q2)))</formula>
    </cfRule>
    <cfRule type="containsText" dxfId="21" priority="1056" operator="containsText" text="POR ENVIAR">
      <formula>NOT(ISERROR(SEARCH("POR ENVIAR",Q2)))</formula>
    </cfRule>
  </conditionalFormatting>
  <conditionalFormatting sqref="Q8 Q20 Q26">
    <cfRule type="containsText" dxfId="20" priority="951" operator="containsText" text="PENDIENTE">
      <formula>NOT(ISERROR(SEARCH("PENDIENTE",Q8)))</formula>
    </cfRule>
    <cfRule type="containsText" dxfId="19" priority="952" operator="containsText" text="SEND">
      <formula>NOT(ISERROR(SEARCH("SEND",Q8)))</formula>
    </cfRule>
    <cfRule type="containsText" dxfId="18" priority="953" operator="containsText" text="ENVIADO">
      <formula>NOT(ISERROR(SEARCH("ENVIADO",Q8)))</formula>
    </cfRule>
    <cfRule type="containsText" dxfId="17" priority="954" operator="containsText" text="POR ENVIAR">
      <formula>NOT(ISERROR(SEARCH("POR ENVIAR",Q8)))</formula>
    </cfRule>
  </conditionalFormatting>
  <conditionalFormatting sqref="R1:R35">
    <cfRule type="containsText" dxfId="16" priority="1115" operator="containsText" text="N/A">
      <formula>NOT(ISERROR(SEARCH("N/A",R1)))</formula>
    </cfRule>
    <cfRule type="containsText" dxfId="15" priority="1116" operator="containsText" text="VENCIDO">
      <formula>NOT(ISERROR(SEARCH("VENCIDO",R1)))</formula>
    </cfRule>
    <cfRule type="containsText" dxfId="14" priority="1117" operator="containsText" text="VIGENTE">
      <formula>NOT(ISERROR(SEARCH("VIGENTE",R1)))</formula>
    </cfRule>
  </conditionalFormatting>
  <conditionalFormatting sqref="S1">
    <cfRule type="containsText" dxfId="13" priority="1113" operator="containsText" text="FIRMADO">
      <formula>NOT(ISERROR(SEARCH("FIRMADO",S1)))</formula>
    </cfRule>
    <cfRule type="containsText" dxfId="12" priority="1114" operator="containsText" text="PENDIENTE">
      <formula>NOT(ISERROR(SEARCH("PENDIENTE",S1)))</formula>
    </cfRule>
  </conditionalFormatting>
  <dataValidations count="1">
    <dataValidation type="list" allowBlank="1" showInputMessage="1" showErrorMessage="1" sqref="R2:R35" xr:uid="{3365A2A2-218C-4ACB-B0DF-20C0824B78AF}">
      <formula1>"N/A, VIGENTE, VENCIDO"</formula1>
    </dataValidation>
  </dataValidations>
  <hyperlinks>
    <hyperlink ref="J4" r:id="rId1" xr:uid="{D4EF66A6-62A3-4D9F-89BC-C2BF94A0A148}"/>
    <hyperlink ref="J26" r:id="rId2" xr:uid="{846E44F6-54C4-4C7E-A001-2EA474C9B515}"/>
    <hyperlink ref="J27" r:id="rId3" xr:uid="{09CCFB02-74AE-41C6-954A-7D446261F5C1}"/>
    <hyperlink ref="J35" r:id="rId4" xr:uid="{9E17FFC1-37D1-4272-9A2D-E7875087DB9A}"/>
    <hyperlink ref="J3" r:id="rId5" xr:uid="{55EE4759-E124-4D48-800C-B4089EF1217E}"/>
    <hyperlink ref="J6" r:id="rId6" xr:uid="{D92D8546-A9C5-43A3-980B-54B255CCF412}"/>
    <hyperlink ref="J7" r:id="rId7" xr:uid="{0765F355-D97F-46F0-BC05-D2085A12D783}"/>
    <hyperlink ref="J8" r:id="rId8" xr:uid="{9323800C-4165-4720-80E6-337B64E6AAB7}"/>
    <hyperlink ref="J9" r:id="rId9" xr:uid="{47CED1E4-CBAC-478C-88AE-86038D17D8E7}"/>
    <hyperlink ref="J20" r:id="rId10" xr:uid="{014659EE-75A0-4949-955A-370BF0658B9A}"/>
    <hyperlink ref="J21" r:id="rId11" xr:uid="{E99393F5-D6E4-4A48-BEA2-95CF56963B35}"/>
    <hyperlink ref="J22" r:id="rId12" xr:uid="{59C0D0AB-14D7-4825-988E-F4ECC768737F}"/>
    <hyperlink ref="J28" r:id="rId13" xr:uid="{82F7AB18-F42D-4906-92D1-159835DD95F0}"/>
    <hyperlink ref="J30" r:id="rId14" xr:uid="{5BBCFE96-B4F3-4869-A2FC-17D8445ED25D}"/>
    <hyperlink ref="J34" r:id="rId15" xr:uid="{E1F11AEF-6E85-4AD2-8F48-93A178054589}"/>
    <hyperlink ref="J29" r:id="rId16" xr:uid="{559C35BA-179F-43ED-B663-833F0035EAAD}"/>
    <hyperlink ref="J5" r:id="rId17" xr:uid="{24151309-1315-48CB-A30A-C823DE12BF6D}"/>
  </hyperlinks>
  <pageMargins left="0.7" right="0.7" top="0.75" bottom="0.75" header="0.3" footer="0.3"/>
  <pageSetup paperSize="9"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3647-C9F4-4469-97CD-ACE9A18994C8}">
  <sheetPr codeName="Hoja2">
    <tabColor rgb="FFDFDBF9"/>
  </sheetPr>
  <dimension ref="A1:DC57"/>
  <sheetViews>
    <sheetView showGridLines="0" zoomScale="40" zoomScaleNormal="40" workbookViewId="0">
      <pane ySplit="18" topLeftCell="A19" activePane="bottomLeft" state="frozen"/>
      <selection pane="bottomLeft" activeCell="H38" sqref="H38"/>
    </sheetView>
  </sheetViews>
  <sheetFormatPr baseColWidth="10" defaultRowHeight="15" x14ac:dyDescent="0.25"/>
  <cols>
    <col min="1" max="1" width="16" style="11" customWidth="1"/>
    <col min="2" max="2" width="53.42578125" style="11" customWidth="1"/>
    <col min="3" max="3" width="94.28515625" style="11" customWidth="1"/>
    <col min="4" max="4" width="23.42578125" style="11" customWidth="1"/>
    <col min="5" max="5" width="57.7109375" style="11" customWidth="1"/>
    <col min="6" max="6" width="23.42578125" style="11" customWidth="1"/>
    <col min="7" max="7" width="38.28515625" style="11" customWidth="1"/>
    <col min="8" max="8" width="23.42578125" style="11" customWidth="1"/>
    <col min="9" max="9" width="33.85546875" style="11" customWidth="1"/>
    <col min="10" max="10" width="25.7109375" style="11" customWidth="1"/>
    <col min="11" max="11" width="37.85546875" style="11" customWidth="1"/>
    <col min="12" max="12" width="25.7109375" style="11" hidden="1" customWidth="1"/>
    <col min="13" max="13" width="34.28515625" style="11" hidden="1" customWidth="1"/>
    <col min="14" max="14" width="25.7109375" style="11" customWidth="1"/>
    <col min="15" max="15" width="33.28515625" style="11" customWidth="1"/>
    <col min="16" max="16" width="25.7109375" style="11" hidden="1" customWidth="1"/>
    <col min="17" max="17" width="32.28515625" style="11" hidden="1" customWidth="1"/>
    <col min="18" max="18" width="35.42578125" style="11" customWidth="1"/>
    <col min="19" max="19" width="36" style="11" customWidth="1"/>
    <col min="20" max="21" width="41.85546875" style="11" customWidth="1"/>
    <col min="22" max="22" width="38.85546875" style="11" customWidth="1"/>
    <col min="23" max="23" width="35.7109375" style="11" customWidth="1"/>
    <col min="24" max="24" width="32.7109375" style="7" customWidth="1"/>
    <col min="25" max="25" width="19.42578125" style="7" bestFit="1" customWidth="1"/>
    <col min="26" max="26" width="30.85546875" style="7" bestFit="1" customWidth="1"/>
    <col min="27" max="27" width="15.5703125" style="7" bestFit="1" customWidth="1"/>
    <col min="28" max="28" width="24.85546875" style="7" bestFit="1" customWidth="1"/>
    <col min="29" max="107" width="11.42578125" style="7"/>
    <col min="108" max="16384" width="11.42578125" style="10"/>
  </cols>
  <sheetData>
    <row r="1" spans="1:28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40"/>
      <c r="W1" s="40"/>
    </row>
    <row r="2" spans="1:28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40"/>
      <c r="W2" s="40"/>
    </row>
    <row r="3" spans="1:2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40" t="s">
        <v>35</v>
      </c>
      <c r="W3" s="40" t="s">
        <v>37</v>
      </c>
    </row>
    <row r="4" spans="1:2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40" t="s">
        <v>36</v>
      </c>
      <c r="W4" s="40" t="s">
        <v>38</v>
      </c>
    </row>
    <row r="5" spans="1:2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40"/>
      <c r="W5" s="40"/>
    </row>
    <row r="6" spans="1:2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40"/>
      <c r="W6" s="40"/>
    </row>
    <row r="7" spans="1:2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40"/>
      <c r="W7" s="40"/>
    </row>
    <row r="8" spans="1:2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8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8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8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8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8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8" ht="16.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8" ht="57" customHeight="1" x14ac:dyDescent="0.35">
      <c r="A16" s="6"/>
      <c r="B16" s="6"/>
      <c r="C16" s="27" t="s">
        <v>16</v>
      </c>
      <c r="D16" s="147" t="s">
        <v>185</v>
      </c>
      <c r="E16" s="147"/>
      <c r="F16" s="147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9"/>
      <c r="AA16" s="6"/>
      <c r="AB16" s="70"/>
    </row>
    <row r="17" spans="1:107" ht="30" customHeight="1" thickBot="1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144" t="s">
        <v>62</v>
      </c>
      <c r="Z17" s="145"/>
      <c r="AA17" s="146"/>
      <c r="AB17" s="70"/>
    </row>
    <row r="18" spans="1:107" ht="64.5" customHeight="1" thickBot="1" x14ac:dyDescent="0.4">
      <c r="A18" s="6"/>
      <c r="B18" s="111" t="s">
        <v>31</v>
      </c>
      <c r="C18" s="112" t="s">
        <v>25</v>
      </c>
      <c r="D18" s="148" t="s">
        <v>17</v>
      </c>
      <c r="E18" s="148"/>
      <c r="F18" s="149" t="s">
        <v>18</v>
      </c>
      <c r="G18" s="149"/>
      <c r="H18" s="150" t="s">
        <v>40</v>
      </c>
      <c r="I18" s="150"/>
      <c r="J18" s="151" t="s">
        <v>41</v>
      </c>
      <c r="K18" s="151"/>
      <c r="L18" s="140" t="s">
        <v>77</v>
      </c>
      <c r="M18" s="140"/>
      <c r="N18" s="141" t="s">
        <v>78</v>
      </c>
      <c r="O18" s="141"/>
      <c r="P18" s="142" t="s">
        <v>79</v>
      </c>
      <c r="Q18" s="143"/>
      <c r="R18" s="37" t="s">
        <v>13</v>
      </c>
      <c r="S18" s="38" t="s">
        <v>19</v>
      </c>
      <c r="T18" s="39" t="s">
        <v>20</v>
      </c>
      <c r="U18" s="80" t="s">
        <v>37</v>
      </c>
      <c r="V18" s="80" t="s">
        <v>38</v>
      </c>
      <c r="W18" s="71" t="s">
        <v>5</v>
      </c>
      <c r="X18" s="79" t="s">
        <v>21</v>
      </c>
      <c r="Y18" s="75" t="s">
        <v>63</v>
      </c>
      <c r="Z18" s="75" t="s">
        <v>37</v>
      </c>
      <c r="AA18" s="75" t="s">
        <v>38</v>
      </c>
      <c r="AB18" s="72" t="s">
        <v>10</v>
      </c>
      <c r="AC18" s="70"/>
    </row>
    <row r="19" spans="1:107" s="9" customFormat="1" ht="64.5" customHeight="1" thickBot="1" x14ac:dyDescent="0.25">
      <c r="A19" s="25" t="s">
        <v>22</v>
      </c>
      <c r="B19" s="113" t="s">
        <v>31</v>
      </c>
      <c r="C19" s="114" t="s">
        <v>25</v>
      </c>
      <c r="D19" s="41" t="s">
        <v>27</v>
      </c>
      <c r="E19" s="42" t="s">
        <v>7</v>
      </c>
      <c r="F19" s="43" t="s">
        <v>32</v>
      </c>
      <c r="G19" s="44" t="s">
        <v>29</v>
      </c>
      <c r="H19" s="45" t="s">
        <v>39</v>
      </c>
      <c r="I19" s="46" t="s">
        <v>28</v>
      </c>
      <c r="J19" s="47" t="s">
        <v>33</v>
      </c>
      <c r="K19" s="48" t="s">
        <v>30</v>
      </c>
      <c r="L19" s="115" t="s">
        <v>80</v>
      </c>
      <c r="M19" s="116" t="s">
        <v>76</v>
      </c>
      <c r="N19" s="117" t="s">
        <v>81</v>
      </c>
      <c r="O19" s="118" t="s">
        <v>82</v>
      </c>
      <c r="P19" s="119" t="s">
        <v>83</v>
      </c>
      <c r="Q19" s="120" t="s">
        <v>84</v>
      </c>
      <c r="R19" s="19" t="s">
        <v>13</v>
      </c>
      <c r="S19" s="20" t="s">
        <v>19</v>
      </c>
      <c r="T19" s="21" t="s">
        <v>20</v>
      </c>
      <c r="U19" s="21" t="s">
        <v>64</v>
      </c>
      <c r="V19" s="21" t="s">
        <v>65</v>
      </c>
      <c r="W19" s="73" t="s">
        <v>5</v>
      </c>
      <c r="X19" s="74" t="s">
        <v>21</v>
      </c>
      <c r="Y19" s="75" t="s">
        <v>63</v>
      </c>
      <c r="Z19" s="75" t="s">
        <v>37</v>
      </c>
      <c r="AA19" s="75" t="s">
        <v>38</v>
      </c>
      <c r="AB19" s="76" t="s">
        <v>66</v>
      </c>
      <c r="AC19" s="7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</row>
    <row r="20" spans="1:107" ht="31.5" x14ac:dyDescent="0.5">
      <c r="A20" s="66">
        <v>1</v>
      </c>
      <c r="B20" s="106">
        <v>10308783</v>
      </c>
      <c r="C20" s="107" t="s">
        <v>94</v>
      </c>
      <c r="D20" s="108"/>
      <c r="E20" s="50"/>
      <c r="F20" s="108"/>
      <c r="G20" s="50"/>
      <c r="H20" s="108"/>
      <c r="I20" s="50"/>
      <c r="J20" s="65">
        <v>1</v>
      </c>
      <c r="K20" s="50">
        <f>(Tabla3[[#This Row],[CANT4]]*500000)</f>
        <v>500000</v>
      </c>
      <c r="L20" s="65"/>
      <c r="M20" s="50"/>
      <c r="N20" s="65"/>
      <c r="O20" s="50"/>
      <c r="P20" s="65"/>
      <c r="Q20" s="50"/>
      <c r="R20" s="51">
        <f>(Tabla3[[#This Row],[MONTO]]+Tabla3[[#This Row],[MONTO2]]+Tabla3[[#This Row],[MONTO3]]+Tabla3[[#This Row],[MONTO4]]+Tabla3[[#This Row],[MONTO5]]+Tabla3[[#This Row],[MONTO6]]+Tabla3[[#This Row],[MONTO7]])</f>
        <v>500000</v>
      </c>
      <c r="S20" s="52">
        <f t="shared" ref="S20:S32" si="0">R20-(R20*10%)</f>
        <v>450000</v>
      </c>
      <c r="T20" s="53">
        <f t="shared" ref="T20:T32" si="1">(S20*1%)</f>
        <v>4500</v>
      </c>
      <c r="U20" s="53">
        <f>(Tabla3[[#This Row],[TOTAL -10%]]*Tabla3[[#This Row],[FIDUCIA]])</f>
        <v>445500</v>
      </c>
      <c r="V20" s="53">
        <f>(Tabla3[[#This Row],[TOTAL -10%]]*Tabla3[[#This Row],[NUBE]])</f>
        <v>0</v>
      </c>
      <c r="W20" s="83" t="s">
        <v>35</v>
      </c>
      <c r="X20" s="81" t="s">
        <v>37</v>
      </c>
      <c r="Y20" s="82">
        <v>0.01</v>
      </c>
      <c r="Z20" s="82">
        <v>0.99</v>
      </c>
      <c r="AA20" s="82"/>
      <c r="AB20" s="84">
        <f>SUM(Y20:AA20)</f>
        <v>1</v>
      </c>
      <c r="AC20" s="78" t="str">
        <f>IF(AB20="","",IF(AB20=100%,"OK","ERROR"))</f>
        <v>OK</v>
      </c>
    </row>
    <row r="21" spans="1:107" ht="31.5" x14ac:dyDescent="0.5">
      <c r="A21" s="67">
        <f t="shared" ref="A21:A36" si="2">(A20+1)</f>
        <v>2</v>
      </c>
      <c r="B21" s="106">
        <v>1063818082</v>
      </c>
      <c r="C21" s="109" t="s">
        <v>102</v>
      </c>
      <c r="D21" s="108">
        <v>6</v>
      </c>
      <c r="E21" s="50">
        <f>(Tabla3[[#This Row],[CANT]]*5000000)</f>
        <v>30000000</v>
      </c>
      <c r="F21" s="108"/>
      <c r="G21" s="50"/>
      <c r="H21" s="108"/>
      <c r="I21" s="50"/>
      <c r="J21" s="65"/>
      <c r="K21" s="50"/>
      <c r="L21" s="65"/>
      <c r="M21" s="50"/>
      <c r="N21" s="65"/>
      <c r="O21" s="50"/>
      <c r="P21" s="65"/>
      <c r="Q21" s="50"/>
      <c r="R21" s="51">
        <f>(Tabla3[[#This Row],[MONTO]]+Tabla3[[#This Row],[MONTO2]]+Tabla3[[#This Row],[MONTO3]]+Tabla3[[#This Row],[MONTO4]]+Tabla3[[#This Row],[MONTO5]]+Tabla3[[#This Row],[MONTO6]]+Tabla3[[#This Row],[MONTO7]])</f>
        <v>30000000</v>
      </c>
      <c r="S21" s="52">
        <f t="shared" si="0"/>
        <v>27000000</v>
      </c>
      <c r="T21" s="54">
        <f t="shared" si="1"/>
        <v>270000</v>
      </c>
      <c r="U21" s="54">
        <f>(Tabla3[[#This Row],[TOTAL -10%]]*Tabla3[[#This Row],[FIDUCIA]])</f>
        <v>26730000</v>
      </c>
      <c r="V21" s="54">
        <f>(Tabla3[[#This Row],[TOTAL -10%]]*Tabla3[[#This Row],[NUBE]])</f>
        <v>0</v>
      </c>
      <c r="W21" s="83" t="s">
        <v>35</v>
      </c>
      <c r="X21" s="81" t="s">
        <v>37</v>
      </c>
      <c r="Y21" s="82">
        <v>0.01</v>
      </c>
      <c r="Z21" s="82">
        <v>0.99</v>
      </c>
      <c r="AA21" s="82"/>
      <c r="AB21" s="84">
        <f t="shared" ref="AB21:AB35" si="3">SUM(Y21:AA21)</f>
        <v>1</v>
      </c>
      <c r="AC21" s="78" t="str">
        <f t="shared" ref="AC21:AC36" si="4">IF(AB21="","",IF(AB21=100%,"OK","ERROR"))</f>
        <v>OK</v>
      </c>
    </row>
    <row r="22" spans="1:107" ht="31.5" x14ac:dyDescent="0.5">
      <c r="A22" s="67">
        <f t="shared" si="2"/>
        <v>3</v>
      </c>
      <c r="B22" s="106">
        <v>34658108</v>
      </c>
      <c r="C22" s="109" t="s">
        <v>108</v>
      </c>
      <c r="D22" s="108">
        <v>3</v>
      </c>
      <c r="E22" s="50">
        <f>(Tabla3[[#This Row],[CANT]]*5000000)</f>
        <v>15000000</v>
      </c>
      <c r="F22" s="108"/>
      <c r="G22" s="50"/>
      <c r="H22" s="108">
        <v>1</v>
      </c>
      <c r="I22" s="50">
        <f>(Tabla3[[#This Row],[CANT3]]*7500000)</f>
        <v>7500000</v>
      </c>
      <c r="J22" s="65"/>
      <c r="K22" s="50"/>
      <c r="L22" s="65"/>
      <c r="M22" s="50"/>
      <c r="N22" s="65"/>
      <c r="O22" s="50"/>
      <c r="P22" s="65"/>
      <c r="Q22" s="50"/>
      <c r="R22" s="51">
        <f>(Tabla3[[#This Row],[MONTO]]+Tabla3[[#This Row],[MONTO2]]+Tabla3[[#This Row],[MONTO3]]+Tabla3[[#This Row],[MONTO4]]+Tabla3[[#This Row],[MONTO5]]+Tabla3[[#This Row],[MONTO6]]+Tabla3[[#This Row],[MONTO7]])</f>
        <v>22500000</v>
      </c>
      <c r="S22" s="52">
        <f t="shared" si="0"/>
        <v>20250000</v>
      </c>
      <c r="T22" s="54">
        <f t="shared" si="1"/>
        <v>202500</v>
      </c>
      <c r="U22" s="54">
        <f>(Tabla3[[#This Row],[TOTAL -10%]]*Tabla3[[#This Row],[FIDUCIA]])</f>
        <v>20047500</v>
      </c>
      <c r="V22" s="54">
        <f>(Tabla3[[#This Row],[TOTAL -10%]]*Tabla3[[#This Row],[NUBE]])</f>
        <v>0</v>
      </c>
      <c r="W22" s="83" t="s">
        <v>35</v>
      </c>
      <c r="X22" s="81" t="s">
        <v>37</v>
      </c>
      <c r="Y22" s="82">
        <v>0.01</v>
      </c>
      <c r="Z22" s="82">
        <v>0.99</v>
      </c>
      <c r="AA22" s="82"/>
      <c r="AB22" s="84">
        <f t="shared" si="3"/>
        <v>1</v>
      </c>
      <c r="AC22" s="78" t="str">
        <f t="shared" si="4"/>
        <v>OK</v>
      </c>
    </row>
    <row r="23" spans="1:107" ht="31.5" x14ac:dyDescent="0.5">
      <c r="A23" s="67">
        <f t="shared" si="2"/>
        <v>4</v>
      </c>
      <c r="B23" s="106">
        <v>1061793801</v>
      </c>
      <c r="C23" s="109" t="s">
        <v>112</v>
      </c>
      <c r="D23" s="108">
        <v>2</v>
      </c>
      <c r="E23" s="50">
        <f>(Tabla3[[#This Row],[CANT]]*5000000)</f>
        <v>10000000</v>
      </c>
      <c r="F23" s="108">
        <v>1</v>
      </c>
      <c r="G23" s="50">
        <f>(Tabla3[[#This Row],[CANT2]]*10000000)</f>
        <v>10000000</v>
      </c>
      <c r="H23" s="108"/>
      <c r="I23" s="50"/>
      <c r="J23" s="65"/>
      <c r="K23" s="50"/>
      <c r="L23" s="65"/>
      <c r="M23" s="50"/>
      <c r="N23" s="65"/>
      <c r="O23" s="50"/>
      <c r="P23" s="65"/>
      <c r="Q23" s="50"/>
      <c r="R23" s="51">
        <f>(Tabla3[[#This Row],[MONTO]]+Tabla3[[#This Row],[MONTO2]]+Tabla3[[#This Row],[MONTO3]]+Tabla3[[#This Row],[MONTO4]]+Tabla3[[#This Row],[MONTO5]]+Tabla3[[#This Row],[MONTO6]]+Tabla3[[#This Row],[MONTO7]])</f>
        <v>20000000</v>
      </c>
      <c r="S23" s="52">
        <f t="shared" si="0"/>
        <v>18000000</v>
      </c>
      <c r="T23" s="54">
        <f t="shared" si="1"/>
        <v>180000</v>
      </c>
      <c r="U23" s="54">
        <f>(Tabla3[[#This Row],[TOTAL -10%]]*Tabla3[[#This Row],[FIDUCIA]])</f>
        <v>17820000</v>
      </c>
      <c r="V23" s="54">
        <f>(Tabla3[[#This Row],[TOTAL -10%]]*Tabla3[[#This Row],[NUBE]])</f>
        <v>0</v>
      </c>
      <c r="W23" s="83" t="s">
        <v>35</v>
      </c>
      <c r="X23" s="81" t="s">
        <v>37</v>
      </c>
      <c r="Y23" s="82">
        <v>0.01</v>
      </c>
      <c r="Z23" s="82">
        <v>0.99</v>
      </c>
      <c r="AA23" s="82"/>
      <c r="AB23" s="84">
        <f t="shared" si="3"/>
        <v>1</v>
      </c>
      <c r="AC23" s="78" t="str">
        <f t="shared" si="4"/>
        <v>OK</v>
      </c>
    </row>
    <row r="24" spans="1:107" ht="31.5" x14ac:dyDescent="0.5">
      <c r="A24" s="67">
        <f t="shared" si="2"/>
        <v>5</v>
      </c>
      <c r="B24" s="106">
        <v>1058547003</v>
      </c>
      <c r="C24" s="109" t="s">
        <v>117</v>
      </c>
      <c r="D24" s="108">
        <v>1</v>
      </c>
      <c r="E24" s="50">
        <f>(Tabla3[[#This Row],[CANT]]*5000000)</f>
        <v>5000000</v>
      </c>
      <c r="F24" s="108">
        <v>1</v>
      </c>
      <c r="G24" s="50">
        <f>(Tabla3[[#This Row],[CANT2]]*10000000)</f>
        <v>10000000</v>
      </c>
      <c r="H24" s="108"/>
      <c r="I24" s="50"/>
      <c r="J24" s="65"/>
      <c r="K24" s="50"/>
      <c r="L24" s="65"/>
      <c r="M24" s="50"/>
      <c r="N24" s="65"/>
      <c r="O24" s="50"/>
      <c r="P24" s="65"/>
      <c r="Q24" s="50"/>
      <c r="R24" s="51">
        <f>(Tabla3[[#This Row],[MONTO]]+Tabla3[[#This Row],[MONTO2]]+Tabla3[[#This Row],[MONTO3]]+Tabla3[[#This Row],[MONTO4]]+Tabla3[[#This Row],[MONTO5]]+Tabla3[[#This Row],[MONTO6]]+Tabla3[[#This Row],[MONTO7]])</f>
        <v>15000000</v>
      </c>
      <c r="S24" s="52">
        <f t="shared" si="0"/>
        <v>13500000</v>
      </c>
      <c r="T24" s="54">
        <f t="shared" si="1"/>
        <v>135000</v>
      </c>
      <c r="U24" s="54">
        <f>(Tabla3[[#This Row],[TOTAL -10%]]*Tabla3[[#This Row],[FIDUCIA]])</f>
        <v>13365000</v>
      </c>
      <c r="V24" s="54">
        <f>(Tabla3[[#This Row],[TOTAL -10%]]*Tabla3[[#This Row],[NUBE]])</f>
        <v>0</v>
      </c>
      <c r="W24" s="83" t="s">
        <v>35</v>
      </c>
      <c r="X24" s="81" t="s">
        <v>37</v>
      </c>
      <c r="Y24" s="82">
        <v>0.01</v>
      </c>
      <c r="Z24" s="82">
        <v>0.99</v>
      </c>
      <c r="AA24" s="82"/>
      <c r="AB24" s="84">
        <f t="shared" si="3"/>
        <v>1</v>
      </c>
      <c r="AC24" s="78" t="str">
        <f t="shared" si="4"/>
        <v>OK</v>
      </c>
    </row>
    <row r="25" spans="1:107" ht="31.5" x14ac:dyDescent="0.5">
      <c r="A25" s="67">
        <f t="shared" si="2"/>
        <v>6</v>
      </c>
      <c r="B25" s="125">
        <v>25712307</v>
      </c>
      <c r="C25" s="126" t="s">
        <v>122</v>
      </c>
      <c r="D25" s="108">
        <v>57</v>
      </c>
      <c r="E25" s="50">
        <f>(Tabla3[[#This Row],[CANT]]*5000000)</f>
        <v>285000000</v>
      </c>
      <c r="F25" s="108">
        <v>13</v>
      </c>
      <c r="G25" s="50">
        <f>(Tabla3[[#This Row],[CANT2]]*10000000)</f>
        <v>130000000</v>
      </c>
      <c r="H25" s="108">
        <v>4</v>
      </c>
      <c r="I25" s="50">
        <f>(Tabla3[[#This Row],[CANT3]]*7500000)</f>
        <v>30000000</v>
      </c>
      <c r="J25" s="65">
        <v>2</v>
      </c>
      <c r="K25" s="50">
        <f>(Tabla3[[#This Row],[CANT4]]*500000)</f>
        <v>1000000</v>
      </c>
      <c r="L25" s="65"/>
      <c r="M25" s="50"/>
      <c r="N25" s="65">
        <v>1</v>
      </c>
      <c r="O25" s="50">
        <f>(Tabla3[[#This Row],[CANT6]]*200000)</f>
        <v>200000</v>
      </c>
      <c r="P25" s="65"/>
      <c r="Q25" s="50"/>
      <c r="R25" s="51">
        <f>(Tabla3[[#This Row],[MONTO]]+Tabla3[[#This Row],[MONTO2]]+Tabla3[[#This Row],[MONTO3]]+Tabla3[[#This Row],[MONTO4]]+Tabla3[[#This Row],[MONTO5]]+Tabla3[[#This Row],[MONTO6]]+Tabla3[[#This Row],[MONTO7]])</f>
        <v>446200000</v>
      </c>
      <c r="S25" s="64">
        <f>R25-(R25*10%)</f>
        <v>401580000</v>
      </c>
      <c r="T25" s="54">
        <f>(S25*1%)</f>
        <v>4015800</v>
      </c>
      <c r="U25" s="54">
        <f>(Tabla3[[#This Row],[TOTAL -10%]]*Tabla3[[#This Row],[FIDUCIA]])</f>
        <v>397564200</v>
      </c>
      <c r="V25" s="54">
        <f>(Tabla3[[#This Row],[TOTAL -10%]]*Tabla3[[#This Row],[NUBE]])</f>
        <v>0</v>
      </c>
      <c r="W25" s="83" t="s">
        <v>35</v>
      </c>
      <c r="X25" s="81" t="s">
        <v>37</v>
      </c>
      <c r="Y25" s="82">
        <v>0.01</v>
      </c>
      <c r="Z25" s="82">
        <v>0.99</v>
      </c>
      <c r="AA25" s="82"/>
      <c r="AB25" s="110">
        <f>SUM(Y25:AA25)</f>
        <v>1</v>
      </c>
      <c r="AC25" s="78" t="str">
        <f t="shared" si="4"/>
        <v>OK</v>
      </c>
    </row>
    <row r="26" spans="1:107" ht="31.5" x14ac:dyDescent="0.5">
      <c r="A26" s="67">
        <f t="shared" si="2"/>
        <v>7</v>
      </c>
      <c r="B26" s="106">
        <v>76297055</v>
      </c>
      <c r="C26" s="109" t="s">
        <v>133</v>
      </c>
      <c r="D26" s="108">
        <v>2</v>
      </c>
      <c r="E26" s="50">
        <f>(Tabla3[[#This Row],[CANT]]*5000000)</f>
        <v>10000000</v>
      </c>
      <c r="F26" s="108">
        <v>2</v>
      </c>
      <c r="G26" s="50">
        <f>(Tabla3[[#This Row],[CANT2]]*10000000)</f>
        <v>20000000</v>
      </c>
      <c r="H26" s="108"/>
      <c r="I26" s="50"/>
      <c r="J26" s="65"/>
      <c r="K26" s="50"/>
      <c r="L26" s="65"/>
      <c r="M26" s="50"/>
      <c r="N26" s="65"/>
      <c r="O26" s="50"/>
      <c r="P26" s="65"/>
      <c r="Q26" s="50"/>
      <c r="R26" s="51">
        <f>(Tabla3[[#This Row],[MONTO]]+Tabla3[[#This Row],[MONTO2]]+Tabla3[[#This Row],[MONTO3]]+Tabla3[[#This Row],[MONTO4]]+Tabla3[[#This Row],[MONTO5]]+Tabla3[[#This Row],[MONTO6]]+Tabla3[[#This Row],[MONTO7]])</f>
        <v>30000000</v>
      </c>
      <c r="S26" s="52">
        <f t="shared" si="0"/>
        <v>27000000</v>
      </c>
      <c r="T26" s="54">
        <f t="shared" si="1"/>
        <v>270000</v>
      </c>
      <c r="U26" s="54">
        <f>(Tabla3[[#This Row],[TOTAL -10%]]*Tabla3[[#This Row],[FIDUCIA]])</f>
        <v>26730000</v>
      </c>
      <c r="V26" s="54">
        <f>(Tabla3[[#This Row],[TOTAL -10%]]*Tabla3[[#This Row],[NUBE]])</f>
        <v>0</v>
      </c>
      <c r="W26" s="83" t="s">
        <v>35</v>
      </c>
      <c r="X26" s="81" t="s">
        <v>37</v>
      </c>
      <c r="Y26" s="82">
        <v>0.01</v>
      </c>
      <c r="Z26" s="82">
        <v>0.99</v>
      </c>
      <c r="AA26" s="82"/>
      <c r="AB26" s="84">
        <f t="shared" si="3"/>
        <v>1</v>
      </c>
      <c r="AC26" s="78" t="str">
        <f t="shared" si="4"/>
        <v>OK</v>
      </c>
    </row>
    <row r="27" spans="1:107" ht="31.5" x14ac:dyDescent="0.5">
      <c r="A27" s="67">
        <f t="shared" si="2"/>
        <v>8</v>
      </c>
      <c r="B27" s="106">
        <v>76160109</v>
      </c>
      <c r="C27" s="109" t="s">
        <v>137</v>
      </c>
      <c r="D27" s="108">
        <v>2</v>
      </c>
      <c r="E27" s="50">
        <f>(Tabla3[[#This Row],[CANT]]*5000000)</f>
        <v>10000000</v>
      </c>
      <c r="F27" s="108"/>
      <c r="G27" s="50"/>
      <c r="H27" s="108">
        <v>1</v>
      </c>
      <c r="I27" s="50">
        <f>(Tabla3[[#This Row],[CANT3]]*7500000)</f>
        <v>7500000</v>
      </c>
      <c r="J27" s="65"/>
      <c r="K27" s="50"/>
      <c r="L27" s="65"/>
      <c r="M27" s="50"/>
      <c r="N27" s="65"/>
      <c r="O27" s="50"/>
      <c r="P27" s="65"/>
      <c r="Q27" s="50"/>
      <c r="R27" s="51">
        <f>(Tabla3[[#This Row],[MONTO]]+Tabla3[[#This Row],[MONTO2]]+Tabla3[[#This Row],[MONTO3]]+Tabla3[[#This Row],[MONTO4]]+Tabla3[[#This Row],[MONTO5]]+Tabla3[[#This Row],[MONTO6]]+Tabla3[[#This Row],[MONTO7]])</f>
        <v>17500000</v>
      </c>
      <c r="S27" s="52">
        <f t="shared" si="0"/>
        <v>15750000</v>
      </c>
      <c r="T27" s="54">
        <f t="shared" si="1"/>
        <v>157500</v>
      </c>
      <c r="U27" s="54">
        <f>(Tabla3[[#This Row],[TOTAL -10%]]*Tabla3[[#This Row],[FIDUCIA]])</f>
        <v>15592500</v>
      </c>
      <c r="V27" s="54">
        <f>(Tabla3[[#This Row],[TOTAL -10%]]*Tabla3[[#This Row],[NUBE]])</f>
        <v>0</v>
      </c>
      <c r="W27" s="83" t="s">
        <v>35</v>
      </c>
      <c r="X27" s="81" t="s">
        <v>37</v>
      </c>
      <c r="Y27" s="82">
        <v>0.01</v>
      </c>
      <c r="Z27" s="82">
        <v>0.99</v>
      </c>
      <c r="AA27" s="82"/>
      <c r="AB27" s="84">
        <f t="shared" si="3"/>
        <v>1</v>
      </c>
      <c r="AC27" s="78" t="str">
        <f t="shared" si="4"/>
        <v>OK</v>
      </c>
    </row>
    <row r="28" spans="1:107" ht="31.5" x14ac:dyDescent="0.5">
      <c r="A28" s="67">
        <f t="shared" si="2"/>
        <v>9</v>
      </c>
      <c r="B28" s="106">
        <v>34571699</v>
      </c>
      <c r="C28" s="109" t="s">
        <v>141</v>
      </c>
      <c r="D28" s="108">
        <v>6</v>
      </c>
      <c r="E28" s="50">
        <f>(Tabla3[[#This Row],[CANT]]*5000000)</f>
        <v>30000000</v>
      </c>
      <c r="F28" s="108"/>
      <c r="G28" s="50"/>
      <c r="H28" s="108"/>
      <c r="I28" s="50"/>
      <c r="J28" s="139"/>
      <c r="K28" s="50"/>
      <c r="L28" s="65"/>
      <c r="M28" s="50"/>
      <c r="N28" s="65"/>
      <c r="O28" s="50"/>
      <c r="P28" s="65"/>
      <c r="Q28" s="50"/>
      <c r="R28" s="51">
        <f>(Tabla3[[#This Row],[MONTO]]+Tabla3[[#This Row],[MONTO2]]+Tabla3[[#This Row],[MONTO3]]+Tabla3[[#This Row],[MONTO4]]+Tabla3[[#This Row],[MONTO5]]+Tabla3[[#This Row],[MONTO6]]+Tabla3[[#This Row],[MONTO7]])</f>
        <v>30000000</v>
      </c>
      <c r="S28" s="52">
        <f t="shared" si="0"/>
        <v>27000000</v>
      </c>
      <c r="T28" s="54">
        <f t="shared" si="1"/>
        <v>270000</v>
      </c>
      <c r="U28" s="54">
        <f>(Tabla3[[#This Row],[TOTAL -10%]]*Tabla3[[#This Row],[FIDUCIA]])</f>
        <v>26730000</v>
      </c>
      <c r="V28" s="54">
        <f>(Tabla3[[#This Row],[TOTAL -10%]]*Tabla3[[#This Row],[NUBE]])</f>
        <v>0</v>
      </c>
      <c r="W28" s="83" t="s">
        <v>35</v>
      </c>
      <c r="X28" s="81" t="s">
        <v>37</v>
      </c>
      <c r="Y28" s="82">
        <v>0.01</v>
      </c>
      <c r="Z28" s="82">
        <v>0.99</v>
      </c>
      <c r="AA28" s="82"/>
      <c r="AB28" s="84">
        <f t="shared" si="3"/>
        <v>1</v>
      </c>
      <c r="AC28" s="78" t="str">
        <f t="shared" si="4"/>
        <v>OK</v>
      </c>
    </row>
    <row r="29" spans="1:107" ht="31.5" x14ac:dyDescent="0.5">
      <c r="A29" s="67">
        <f t="shared" si="2"/>
        <v>10</v>
      </c>
      <c r="B29" s="106">
        <v>1011096675</v>
      </c>
      <c r="C29" s="109" t="s">
        <v>146</v>
      </c>
      <c r="D29" s="108">
        <v>2</v>
      </c>
      <c r="E29" s="50">
        <f>(Tabla3[[#This Row],[CANT]]*5000000)</f>
        <v>10000000</v>
      </c>
      <c r="F29" s="108"/>
      <c r="G29" s="50"/>
      <c r="H29" s="108"/>
      <c r="I29" s="50"/>
      <c r="J29" s="65"/>
      <c r="K29" s="50"/>
      <c r="L29" s="65"/>
      <c r="M29" s="50"/>
      <c r="N29" s="65"/>
      <c r="O29" s="50"/>
      <c r="P29" s="65"/>
      <c r="Q29" s="50"/>
      <c r="R29" s="51">
        <f>(Tabla3[[#This Row],[MONTO]]+Tabla3[[#This Row],[MONTO2]]+Tabla3[[#This Row],[MONTO3]]+Tabla3[[#This Row],[MONTO4]]+Tabla3[[#This Row],[MONTO5]]+Tabla3[[#This Row],[MONTO6]]+Tabla3[[#This Row],[MONTO7]])</f>
        <v>10000000</v>
      </c>
      <c r="S29" s="52">
        <f t="shared" si="0"/>
        <v>9000000</v>
      </c>
      <c r="T29" s="54">
        <f t="shared" si="1"/>
        <v>90000</v>
      </c>
      <c r="U29" s="54">
        <f>(Tabla3[[#This Row],[TOTAL -10%]]*Tabla3[[#This Row],[FIDUCIA]])</f>
        <v>8910000</v>
      </c>
      <c r="V29" s="54">
        <f>(Tabla3[[#This Row],[TOTAL -10%]]*Tabla3[[#This Row],[NUBE]])</f>
        <v>0</v>
      </c>
      <c r="W29" s="83" t="s">
        <v>35</v>
      </c>
      <c r="X29" s="81" t="s">
        <v>37</v>
      </c>
      <c r="Y29" s="82">
        <v>0.01</v>
      </c>
      <c r="Z29" s="82">
        <v>0.99</v>
      </c>
      <c r="AA29" s="82"/>
      <c r="AB29" s="84">
        <f t="shared" si="3"/>
        <v>1</v>
      </c>
      <c r="AC29" s="78" t="str">
        <f t="shared" si="4"/>
        <v>OK</v>
      </c>
    </row>
    <row r="30" spans="1:107" ht="31.5" x14ac:dyDescent="0.5">
      <c r="A30" s="67">
        <f t="shared" si="2"/>
        <v>11</v>
      </c>
      <c r="B30" s="106">
        <v>1003102894</v>
      </c>
      <c r="C30" s="109" t="s">
        <v>151</v>
      </c>
      <c r="D30" s="108">
        <v>5</v>
      </c>
      <c r="E30" s="50">
        <f>(Tabla3[[#This Row],[CANT]]*5000000)</f>
        <v>25000000</v>
      </c>
      <c r="F30" s="108">
        <v>3</v>
      </c>
      <c r="G30" s="50">
        <f>(Tabla3[[#This Row],[CANT2]]*10000000)</f>
        <v>30000000</v>
      </c>
      <c r="H30" s="108"/>
      <c r="I30" s="50"/>
      <c r="J30" s="65"/>
      <c r="K30" s="50"/>
      <c r="L30" s="65"/>
      <c r="M30" s="50"/>
      <c r="N30" s="65"/>
      <c r="O30" s="50"/>
      <c r="P30" s="65"/>
      <c r="Q30" s="50"/>
      <c r="R30" s="51">
        <f>(Tabla3[[#This Row],[MONTO]]+Tabla3[[#This Row],[MONTO2]]+Tabla3[[#This Row],[MONTO3]]+Tabla3[[#This Row],[MONTO4]]+Tabla3[[#This Row],[MONTO5]]+Tabla3[[#This Row],[MONTO6]]+Tabla3[[#This Row],[MONTO7]])</f>
        <v>55000000</v>
      </c>
      <c r="S30" s="52">
        <f t="shared" si="0"/>
        <v>49500000</v>
      </c>
      <c r="T30" s="54">
        <f t="shared" si="1"/>
        <v>495000</v>
      </c>
      <c r="U30" s="54">
        <f>(Tabla3[[#This Row],[TOTAL -10%]]*Tabla3[[#This Row],[FIDUCIA]])</f>
        <v>49005000</v>
      </c>
      <c r="V30" s="54">
        <f>(Tabla3[[#This Row],[TOTAL -10%]]*Tabla3[[#This Row],[NUBE]])</f>
        <v>0</v>
      </c>
      <c r="W30" s="83" t="s">
        <v>35</v>
      </c>
      <c r="X30" s="81" t="s">
        <v>37</v>
      </c>
      <c r="Y30" s="82">
        <v>0.01</v>
      </c>
      <c r="Z30" s="82">
        <v>0.99</v>
      </c>
      <c r="AA30" s="82"/>
      <c r="AB30" s="84">
        <f t="shared" si="3"/>
        <v>1</v>
      </c>
      <c r="AC30" s="78" t="str">
        <f t="shared" si="4"/>
        <v>OK</v>
      </c>
    </row>
    <row r="31" spans="1:107" ht="31.5" x14ac:dyDescent="0.5">
      <c r="A31" s="67">
        <f t="shared" si="2"/>
        <v>12</v>
      </c>
      <c r="B31" s="106">
        <v>25285110</v>
      </c>
      <c r="C31" s="109" t="s">
        <v>155</v>
      </c>
      <c r="D31" s="108">
        <v>2</v>
      </c>
      <c r="E31" s="50">
        <f>(Tabla3[[#This Row],[CANT]]*5000000)</f>
        <v>10000000</v>
      </c>
      <c r="F31" s="108"/>
      <c r="G31" s="50"/>
      <c r="H31" s="108">
        <v>1</v>
      </c>
      <c r="I31" s="50">
        <f>(Tabla3[[#This Row],[CANT3]]*7500000)</f>
        <v>7500000</v>
      </c>
      <c r="J31" s="65"/>
      <c r="K31" s="50"/>
      <c r="L31" s="65"/>
      <c r="M31" s="50"/>
      <c r="N31" s="65"/>
      <c r="O31" s="50"/>
      <c r="P31" s="65"/>
      <c r="Q31" s="50"/>
      <c r="R31" s="51">
        <f>(Tabla3[[#This Row],[MONTO]]+Tabla3[[#This Row],[MONTO2]]+Tabla3[[#This Row],[MONTO3]]+Tabla3[[#This Row],[MONTO4]]+Tabla3[[#This Row],[MONTO5]]+Tabla3[[#This Row],[MONTO6]]+Tabla3[[#This Row],[MONTO7]])</f>
        <v>17500000</v>
      </c>
      <c r="S31" s="52">
        <f t="shared" si="0"/>
        <v>15750000</v>
      </c>
      <c r="T31" s="54">
        <f t="shared" si="1"/>
        <v>157500</v>
      </c>
      <c r="U31" s="54">
        <f>(Tabla3[[#This Row],[TOTAL -10%]]*Tabla3[[#This Row],[FIDUCIA]])</f>
        <v>15592500</v>
      </c>
      <c r="V31" s="54">
        <f>(Tabla3[[#This Row],[TOTAL -10%]]*Tabla3[[#This Row],[NUBE]])</f>
        <v>0</v>
      </c>
      <c r="W31" s="83" t="s">
        <v>35</v>
      </c>
      <c r="X31" s="81" t="s">
        <v>37</v>
      </c>
      <c r="Y31" s="82">
        <v>0.01</v>
      </c>
      <c r="Z31" s="82">
        <v>0.99</v>
      </c>
      <c r="AA31" s="82"/>
      <c r="AB31" s="84">
        <f t="shared" si="3"/>
        <v>1</v>
      </c>
      <c r="AC31" s="78" t="str">
        <f t="shared" si="4"/>
        <v>OK</v>
      </c>
    </row>
    <row r="32" spans="1:107" ht="31.5" x14ac:dyDescent="0.5">
      <c r="A32" s="67">
        <f t="shared" si="2"/>
        <v>13</v>
      </c>
      <c r="B32" s="106">
        <v>14879972</v>
      </c>
      <c r="C32" s="109" t="s">
        <v>162</v>
      </c>
      <c r="D32" s="108">
        <v>1</v>
      </c>
      <c r="E32" s="50">
        <f>(Tabla3[[#This Row],[CANT]]*5000000)</f>
        <v>5000000</v>
      </c>
      <c r="F32" s="108"/>
      <c r="G32" s="50"/>
      <c r="H32" s="108"/>
      <c r="I32" s="50"/>
      <c r="J32" s="65"/>
      <c r="K32" s="50"/>
      <c r="L32" s="65"/>
      <c r="M32" s="50"/>
      <c r="N32" s="65"/>
      <c r="O32" s="50"/>
      <c r="P32" s="65"/>
      <c r="Q32" s="50"/>
      <c r="R32" s="51">
        <f>(Tabla3[[#This Row],[MONTO]]+Tabla3[[#This Row],[MONTO2]]+Tabla3[[#This Row],[MONTO3]]+Tabla3[[#This Row],[MONTO4]]+Tabla3[[#This Row],[MONTO5]]+Tabla3[[#This Row],[MONTO6]]+Tabla3[[#This Row],[MONTO7]])</f>
        <v>5000000</v>
      </c>
      <c r="S32" s="52">
        <f t="shared" si="0"/>
        <v>4500000</v>
      </c>
      <c r="T32" s="54">
        <f t="shared" si="1"/>
        <v>45000</v>
      </c>
      <c r="U32" s="54">
        <f>(Tabla3[[#This Row],[TOTAL -10%]]*Tabla3[[#This Row],[FIDUCIA]])</f>
        <v>4455000</v>
      </c>
      <c r="V32" s="54">
        <f>(Tabla3[[#This Row],[TOTAL -10%]]*Tabla3[[#This Row],[NUBE]])</f>
        <v>0</v>
      </c>
      <c r="W32" s="83" t="s">
        <v>35</v>
      </c>
      <c r="X32" s="81" t="s">
        <v>37</v>
      </c>
      <c r="Y32" s="82">
        <v>0.01</v>
      </c>
      <c r="Z32" s="82">
        <v>0.99</v>
      </c>
      <c r="AA32" s="82"/>
      <c r="AB32" s="84">
        <f t="shared" si="3"/>
        <v>1</v>
      </c>
      <c r="AC32" s="78" t="str">
        <f t="shared" si="4"/>
        <v>OK</v>
      </c>
    </row>
    <row r="33" spans="1:29" ht="31.5" x14ac:dyDescent="0.5">
      <c r="A33" s="67">
        <f t="shared" si="2"/>
        <v>14</v>
      </c>
      <c r="B33" s="106">
        <v>76344521</v>
      </c>
      <c r="C33" s="109" t="s">
        <v>166</v>
      </c>
      <c r="D33" s="108"/>
      <c r="E33" s="50"/>
      <c r="F33" s="108"/>
      <c r="G33" s="50"/>
      <c r="H33" s="108"/>
      <c r="I33" s="50"/>
      <c r="J33" s="65">
        <v>1</v>
      </c>
      <c r="K33" s="50">
        <f>(Tabla3[[#This Row],[CANT4]]*500000)</f>
        <v>500000</v>
      </c>
      <c r="L33" s="65"/>
      <c r="M33" s="50"/>
      <c r="N33" s="65"/>
      <c r="O33" s="50"/>
      <c r="P33" s="65"/>
      <c r="Q33" s="50"/>
      <c r="R33" s="51">
        <f>(Tabla3[[#This Row],[MONTO]]+Tabla3[[#This Row],[MONTO2]]+Tabla3[[#This Row],[MONTO3]]+Tabla3[[#This Row],[MONTO4]]+Tabla3[[#This Row],[MONTO5]]+Tabla3[[#This Row],[MONTO6]]+Tabla3[[#This Row],[MONTO7]])</f>
        <v>500000</v>
      </c>
      <c r="S33" s="64">
        <f t="shared" ref="S33:S35" si="5">R33-(R33*10%)</f>
        <v>450000</v>
      </c>
      <c r="T33" s="54">
        <f t="shared" ref="T33:T35" si="6">(S33*1%)</f>
        <v>4500</v>
      </c>
      <c r="U33" s="54">
        <f>(Tabla3[[#This Row],[TOTAL -10%]]*Tabla3[[#This Row],[FIDUCIA]])</f>
        <v>445500</v>
      </c>
      <c r="V33" s="54">
        <f>(Tabla3[[#This Row],[TOTAL -10%]]*Tabla3[[#This Row],[NUBE]])</f>
        <v>0</v>
      </c>
      <c r="W33" s="83" t="s">
        <v>35</v>
      </c>
      <c r="X33" s="81" t="s">
        <v>37</v>
      </c>
      <c r="Y33" s="82">
        <v>0.01</v>
      </c>
      <c r="Z33" s="82">
        <v>0.99</v>
      </c>
      <c r="AA33" s="82"/>
      <c r="AB33" s="84">
        <f t="shared" si="3"/>
        <v>1</v>
      </c>
      <c r="AC33" s="78" t="str">
        <f t="shared" si="4"/>
        <v>OK</v>
      </c>
    </row>
    <row r="34" spans="1:29" ht="31.5" x14ac:dyDescent="0.5">
      <c r="A34" s="67">
        <f t="shared" si="2"/>
        <v>15</v>
      </c>
      <c r="B34" s="106">
        <v>12169578</v>
      </c>
      <c r="C34" s="109" t="s">
        <v>170</v>
      </c>
      <c r="D34" s="108">
        <v>4</v>
      </c>
      <c r="E34" s="50">
        <f>(Tabla3[[#This Row],[CANT]]*5000000)</f>
        <v>20000000</v>
      </c>
      <c r="F34" s="108"/>
      <c r="G34" s="50"/>
      <c r="H34" s="108"/>
      <c r="I34" s="50"/>
      <c r="J34" s="65"/>
      <c r="K34" s="50"/>
      <c r="L34" s="65"/>
      <c r="M34" s="50"/>
      <c r="N34" s="65"/>
      <c r="O34" s="50"/>
      <c r="P34" s="65"/>
      <c r="Q34" s="50"/>
      <c r="R34" s="51">
        <f>(Tabla3[[#This Row],[MONTO]]+Tabla3[[#This Row],[MONTO2]]+Tabla3[[#This Row],[MONTO3]]+Tabla3[[#This Row],[MONTO4]]+Tabla3[[#This Row],[MONTO5]]+Tabla3[[#This Row],[MONTO6]]+Tabla3[[#This Row],[MONTO7]])</f>
        <v>20000000</v>
      </c>
      <c r="S34" s="64">
        <f t="shared" si="5"/>
        <v>18000000</v>
      </c>
      <c r="T34" s="54">
        <f t="shared" si="6"/>
        <v>180000</v>
      </c>
      <c r="U34" s="54">
        <f>(Tabla3[[#This Row],[TOTAL -10%]]*Tabla3[[#This Row],[FIDUCIA]])</f>
        <v>17820000</v>
      </c>
      <c r="V34" s="54">
        <f>(Tabla3[[#This Row],[TOTAL -10%]]*Tabla3[[#This Row],[NUBE]])</f>
        <v>0</v>
      </c>
      <c r="W34" s="83" t="s">
        <v>35</v>
      </c>
      <c r="X34" s="81" t="s">
        <v>37</v>
      </c>
      <c r="Y34" s="82">
        <v>0.01</v>
      </c>
      <c r="Z34" s="82">
        <v>0.99</v>
      </c>
      <c r="AA34" s="82"/>
      <c r="AB34" s="84">
        <f t="shared" si="3"/>
        <v>1</v>
      </c>
      <c r="AC34" s="78" t="str">
        <f t="shared" si="4"/>
        <v>OK</v>
      </c>
    </row>
    <row r="35" spans="1:29" ht="31.5" x14ac:dyDescent="0.5">
      <c r="A35" s="67">
        <f t="shared" si="2"/>
        <v>16</v>
      </c>
      <c r="B35" s="106">
        <v>1061755202</v>
      </c>
      <c r="C35" s="109" t="s">
        <v>175</v>
      </c>
      <c r="D35" s="108">
        <v>2</v>
      </c>
      <c r="E35" s="50">
        <f>(Tabla3[[#This Row],[CANT]]*5000000)</f>
        <v>10000000</v>
      </c>
      <c r="F35" s="108"/>
      <c r="G35" s="50"/>
      <c r="H35" s="108">
        <v>1</v>
      </c>
      <c r="I35" s="50">
        <f>(Tabla3[[#This Row],[CANT3]]*7500000)</f>
        <v>7500000</v>
      </c>
      <c r="J35" s="65"/>
      <c r="K35" s="50"/>
      <c r="L35" s="65"/>
      <c r="M35" s="50"/>
      <c r="N35" s="65"/>
      <c r="O35" s="50"/>
      <c r="P35" s="65"/>
      <c r="Q35" s="50"/>
      <c r="R35" s="51">
        <f>(Tabla3[[#This Row],[MONTO]]+Tabla3[[#This Row],[MONTO2]]+Tabla3[[#This Row],[MONTO3]]+Tabla3[[#This Row],[MONTO4]]+Tabla3[[#This Row],[MONTO5]]+Tabla3[[#This Row],[MONTO6]]+Tabla3[[#This Row],[MONTO7]])</f>
        <v>17500000</v>
      </c>
      <c r="S35" s="64">
        <f t="shared" si="5"/>
        <v>15750000</v>
      </c>
      <c r="T35" s="54">
        <f t="shared" si="6"/>
        <v>157500</v>
      </c>
      <c r="U35" s="54">
        <f>(Tabla3[[#This Row],[TOTAL -10%]]*Tabla3[[#This Row],[FIDUCIA]])</f>
        <v>15592500</v>
      </c>
      <c r="V35" s="54">
        <f>(Tabla3[[#This Row],[TOTAL -10%]]*Tabla3[[#This Row],[NUBE]])</f>
        <v>0</v>
      </c>
      <c r="W35" s="83" t="s">
        <v>35</v>
      </c>
      <c r="X35" s="81" t="s">
        <v>37</v>
      </c>
      <c r="Y35" s="82">
        <v>0.01</v>
      </c>
      <c r="Z35" s="82">
        <v>0.99</v>
      </c>
      <c r="AA35" s="82"/>
      <c r="AB35" s="84">
        <f t="shared" si="3"/>
        <v>1</v>
      </c>
      <c r="AC35" s="78" t="str">
        <f t="shared" si="4"/>
        <v>OK</v>
      </c>
    </row>
    <row r="36" spans="1:29" ht="31.5" x14ac:dyDescent="0.5">
      <c r="A36" s="67">
        <f t="shared" si="2"/>
        <v>17</v>
      </c>
      <c r="B36" s="106">
        <v>25707939</v>
      </c>
      <c r="C36" s="109" t="s">
        <v>180</v>
      </c>
      <c r="D36" s="108">
        <v>2</v>
      </c>
      <c r="E36" s="50">
        <f>(Tabla3[[#This Row],[CANT]]*5000000)</f>
        <v>10000000</v>
      </c>
      <c r="F36" s="108"/>
      <c r="G36" s="50"/>
      <c r="H36" s="108"/>
      <c r="I36" s="50"/>
      <c r="J36" s="65"/>
      <c r="K36" s="50"/>
      <c r="L36" s="65"/>
      <c r="M36" s="50"/>
      <c r="N36" s="65"/>
      <c r="O36" s="50"/>
      <c r="P36" s="65"/>
      <c r="Q36" s="50"/>
      <c r="R36" s="51">
        <f>(Tabla3[[#This Row],[MONTO]]+Tabla3[[#This Row],[MONTO2]]+Tabla3[[#This Row],[MONTO3]]+Tabla3[[#This Row],[MONTO4]]+Tabla3[[#This Row],[MONTO5]]+Tabla3[[#This Row],[MONTO6]]+Tabla3[[#This Row],[MONTO7]])</f>
        <v>10000000</v>
      </c>
      <c r="S36" s="64">
        <f t="shared" ref="S36" si="7">R36-(R36*10%)</f>
        <v>9000000</v>
      </c>
      <c r="T36" s="54">
        <f t="shared" ref="T36" si="8">(S36*1%)</f>
        <v>90000</v>
      </c>
      <c r="U36" s="54">
        <f>(Tabla3[[#This Row],[TOTAL -10%]]*Tabla3[[#This Row],[FIDUCIA]])</f>
        <v>8910000</v>
      </c>
      <c r="V36" s="54">
        <f>(Tabla3[[#This Row],[TOTAL -10%]]*Tabla3[[#This Row],[NUBE]])</f>
        <v>0</v>
      </c>
      <c r="W36" s="83" t="s">
        <v>35</v>
      </c>
      <c r="X36" s="81" t="s">
        <v>37</v>
      </c>
      <c r="Y36" s="82">
        <v>0.01</v>
      </c>
      <c r="Z36" s="82">
        <v>0.99</v>
      </c>
      <c r="AA36" s="82"/>
      <c r="AB36" s="110">
        <f t="shared" ref="AB36" si="9">SUM(Y36:AA36)</f>
        <v>1</v>
      </c>
      <c r="AC36" s="78" t="str">
        <f t="shared" si="4"/>
        <v>OK</v>
      </c>
    </row>
    <row r="37" spans="1:29" x14ac:dyDescent="0.25">
      <c r="X37" s="18"/>
      <c r="Y37" s="18"/>
      <c r="Z37" s="18"/>
      <c r="AA37" s="18"/>
      <c r="AB37" s="18"/>
    </row>
    <row r="38" spans="1:29" x14ac:dyDescent="0.25">
      <c r="X38" s="11"/>
    </row>
    <row r="39" spans="1:29" x14ac:dyDescent="0.25">
      <c r="X39" s="11"/>
    </row>
    <row r="40" spans="1:29" x14ac:dyDescent="0.25">
      <c r="X40" s="11"/>
    </row>
    <row r="41" spans="1:29" x14ac:dyDescent="0.25">
      <c r="X41" s="11"/>
    </row>
    <row r="42" spans="1:29" x14ac:dyDescent="0.25">
      <c r="X42" s="11"/>
    </row>
    <row r="43" spans="1:29" x14ac:dyDescent="0.25">
      <c r="X43" s="11"/>
    </row>
    <row r="44" spans="1:29" x14ac:dyDescent="0.25">
      <c r="X44" s="11"/>
    </row>
    <row r="45" spans="1:29" x14ac:dyDescent="0.25">
      <c r="X45" s="11"/>
    </row>
    <row r="46" spans="1:29" x14ac:dyDescent="0.25">
      <c r="X46" s="11"/>
    </row>
    <row r="47" spans="1:29" x14ac:dyDescent="0.25">
      <c r="X47" s="11"/>
    </row>
    <row r="48" spans="1:29" x14ac:dyDescent="0.25">
      <c r="X48" s="11"/>
    </row>
    <row r="49" spans="24:24" x14ac:dyDescent="0.25">
      <c r="X49" s="11"/>
    </row>
    <row r="50" spans="24:24" x14ac:dyDescent="0.25">
      <c r="X50" s="11"/>
    </row>
    <row r="51" spans="24:24" x14ac:dyDescent="0.25">
      <c r="X51" s="11"/>
    </row>
    <row r="52" spans="24:24" x14ac:dyDescent="0.25">
      <c r="X52" s="11"/>
    </row>
    <row r="53" spans="24:24" x14ac:dyDescent="0.25">
      <c r="X53" s="11"/>
    </row>
    <row r="54" spans="24:24" x14ac:dyDescent="0.25">
      <c r="X54" s="11"/>
    </row>
    <row r="55" spans="24:24" x14ac:dyDescent="0.25">
      <c r="X55" s="11"/>
    </row>
    <row r="56" spans="24:24" x14ac:dyDescent="0.25">
      <c r="X56" s="11"/>
    </row>
    <row r="57" spans="24:24" x14ac:dyDescent="0.25">
      <c r="X57" s="11"/>
    </row>
  </sheetData>
  <mergeCells count="9">
    <mergeCell ref="L18:M18"/>
    <mergeCell ref="N18:O18"/>
    <mergeCell ref="P18:Q18"/>
    <mergeCell ref="Y17:AA17"/>
    <mergeCell ref="D16:F16"/>
    <mergeCell ref="D18:E18"/>
    <mergeCell ref="F18:G18"/>
    <mergeCell ref="H18:I18"/>
    <mergeCell ref="J18:K18"/>
  </mergeCells>
  <phoneticPr fontId="55" type="noConversion"/>
  <conditionalFormatting sqref="B18:B19 B37:B187">
    <cfRule type="containsText" dxfId="11" priority="612" operator="containsText" text="PENDIENTE">
      <formula>NOT(ISERROR(SEARCH("PENDIENTE",B18)))</formula>
    </cfRule>
  </conditionalFormatting>
  <conditionalFormatting sqref="B18:B187">
    <cfRule type="containsText" dxfId="10" priority="609" operator="containsText" text="PENDIENTE">
      <formula>NOT(ISERROR(SEARCH("PENDIENTE",B18)))</formula>
    </cfRule>
  </conditionalFormatting>
  <conditionalFormatting sqref="X16:X17 AB36">
    <cfRule type="containsText" dxfId="9" priority="851" operator="containsText" text="NO APLICA">
      <formula>NOT(ISERROR(SEARCH("NO APLICA",X16)))</formula>
    </cfRule>
    <cfRule type="containsText" dxfId="8" priority="852" operator="containsText" text="SI APLICA">
      <formula>NOT(ISERROR(SEARCH("SI APLICA",X16)))</formula>
    </cfRule>
  </conditionalFormatting>
  <conditionalFormatting sqref="Y20:AA36">
    <cfRule type="containsText" dxfId="7" priority="829" operator="containsText" text="NO APLICA">
      <formula>NOT(ISERROR(SEARCH("NO APLICA",Y20)))</formula>
    </cfRule>
    <cfRule type="containsText" dxfId="6" priority="830" operator="containsText" text="SI APLICA">
      <formula>NOT(ISERROR(SEARCH("SI APLICA",Y20)))</formula>
    </cfRule>
  </conditionalFormatting>
  <conditionalFormatting sqref="AA16">
    <cfRule type="containsText" dxfId="5" priority="849" operator="containsText" text="NO APLICA">
      <formula>NOT(ISERROR(SEARCH("NO APLICA",AA16)))</formula>
    </cfRule>
    <cfRule type="containsText" dxfId="4" priority="850" operator="containsText" text="SI APLICA">
      <formula>NOT(ISERROR(SEARCH("SI APLICA",AA16)))</formula>
    </cfRule>
  </conditionalFormatting>
  <conditionalFormatting sqref="AB16:AB17 AC18:AC36">
    <cfRule type="containsText" dxfId="3" priority="845" operator="containsText" text="ERROR">
      <formula>NOT(ISERROR(SEARCH("ERROR",AB16)))</formula>
    </cfRule>
    <cfRule type="containsText" dxfId="2" priority="846" operator="containsText" text="ERROR">
      <formula>NOT(ISERROR(SEARCH("ERROR",AB16)))</formula>
    </cfRule>
  </conditionalFormatting>
  <conditionalFormatting sqref="AB18:AB35">
    <cfRule type="containsText" dxfId="1" priority="835" operator="containsText" text="NO APLICA">
      <formula>NOT(ISERROR(SEARCH("NO APLICA",AB18)))</formula>
    </cfRule>
    <cfRule type="containsText" dxfId="0" priority="836" operator="containsText" text="SI APLICA">
      <formula>NOT(ISERROR(SEARCH("SI APLICA",AB18)))</formula>
    </cfRule>
  </conditionalFormatting>
  <dataValidations count="1">
    <dataValidation type="list" allowBlank="1" showInputMessage="1" showErrorMessage="1" sqref="X20:X36" xr:uid="{7F6ADCEB-924F-41E6-A19F-40129A6BAA3D}">
      <formula1>"FIDUCIA/NUBE, FIDUCIA, NUBE"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5ACE-3E5A-4449-8957-9EE3A4E170B6}">
  <sheetPr codeName="Hoja3">
    <tabColor rgb="FFDFDBF9"/>
  </sheetPr>
  <dimension ref="A1:R29"/>
  <sheetViews>
    <sheetView showGridLines="0" tabSelected="1" zoomScale="70" zoomScaleNormal="70" workbookViewId="0">
      <selection activeCell="R13" sqref="R13"/>
    </sheetView>
  </sheetViews>
  <sheetFormatPr baseColWidth="10" defaultRowHeight="12.75" x14ac:dyDescent="0.2"/>
  <cols>
    <col min="4" max="4" width="3.5703125" customWidth="1"/>
    <col min="5" max="5" width="35.7109375" bestFit="1" customWidth="1"/>
    <col min="6" max="6" width="17" customWidth="1"/>
    <col min="7" max="7" width="64.85546875" customWidth="1"/>
    <col min="8" max="8" width="2.42578125" customWidth="1"/>
    <col min="9" max="9" width="36.5703125" customWidth="1"/>
    <col min="10" max="10" width="3" customWidth="1"/>
    <col min="12" max="12" width="14" bestFit="1" customWidth="1"/>
    <col min="13" max="14" width="14" customWidth="1"/>
    <col min="15" max="15" width="22.7109375" customWidth="1"/>
    <col min="16" max="16" width="29" customWidth="1"/>
    <col min="17" max="17" width="19.5703125" customWidth="1"/>
    <col min="18" max="18" width="12.140625" customWidth="1"/>
    <col min="19" max="19" width="11.28515625" customWidth="1"/>
  </cols>
  <sheetData>
    <row r="1" spans="1:18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8" x14ac:dyDescent="0.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8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164" t="s">
        <v>9</v>
      </c>
      <c r="P3" s="164"/>
    </row>
    <row r="4" spans="1:18" ht="18.75" x14ac:dyDescent="0.3">
      <c r="A4" s="26"/>
      <c r="B4" s="26"/>
      <c r="C4" s="26"/>
      <c r="D4" s="6"/>
      <c r="E4" s="6"/>
      <c r="F4" s="6"/>
      <c r="G4" s="6"/>
      <c r="H4" s="6"/>
      <c r="I4" s="6"/>
      <c r="J4" s="6"/>
      <c r="K4" s="6"/>
      <c r="L4" s="26"/>
      <c r="M4" s="26"/>
      <c r="N4" s="26"/>
      <c r="O4" s="163">
        <f ca="1">TODAY()</f>
        <v>46287</v>
      </c>
      <c r="P4" s="163"/>
    </row>
    <row r="5" spans="1:18" ht="34.5" customHeight="1" thickBot="1" x14ac:dyDescent="0.3">
      <c r="A5" s="26"/>
      <c r="B5" s="26"/>
      <c r="C5" s="26"/>
      <c r="D5" s="6"/>
      <c r="E5" s="27" t="s">
        <v>16</v>
      </c>
      <c r="F5" s="165" t="str">
        <f>('MATRIZ LISTADO'!D16)</f>
        <v xml:space="preserve">DIONISE LOPEZ </v>
      </c>
      <c r="G5" s="165"/>
      <c r="H5" s="165"/>
      <c r="I5" s="6"/>
      <c r="J5" s="6"/>
      <c r="K5" s="6"/>
      <c r="L5" s="3"/>
      <c r="M5" s="3"/>
      <c r="N5" s="3"/>
      <c r="O5" s="169" t="s">
        <v>69</v>
      </c>
      <c r="P5" s="169"/>
      <c r="Q5" s="100" t="s">
        <v>68</v>
      </c>
      <c r="R5" s="3"/>
    </row>
    <row r="6" spans="1:18" ht="27" thickBot="1" x14ac:dyDescent="0.35">
      <c r="A6" s="26"/>
      <c r="B6" s="26"/>
      <c r="C6" s="26"/>
      <c r="D6" s="6"/>
      <c r="E6" s="6"/>
      <c r="F6" s="6"/>
      <c r="G6" s="6"/>
      <c r="H6" s="6"/>
      <c r="I6" s="6"/>
      <c r="J6" s="6"/>
      <c r="K6" s="6"/>
      <c r="L6" s="4"/>
      <c r="M6" s="4"/>
      <c r="N6" s="4"/>
      <c r="O6" s="104">
        <v>3192.53</v>
      </c>
      <c r="P6" s="5"/>
      <c r="Q6" s="3"/>
      <c r="R6" s="3"/>
    </row>
    <row r="7" spans="1:18" ht="36" x14ac:dyDescent="0.55000000000000004">
      <c r="A7" s="26"/>
      <c r="B7" s="26"/>
      <c r="C7" s="26"/>
      <c r="D7" s="6"/>
      <c r="E7" s="23" t="s">
        <v>25</v>
      </c>
      <c r="F7" s="166" t="str">
        <f>IFERROR(VLOOKUP(F8,'MATRIZ LISTADO'!B19:C36,2,0),"")</f>
        <v>DIONISE LOPEZ ASTAIZA</v>
      </c>
      <c r="G7" s="167"/>
      <c r="H7" s="167"/>
      <c r="I7" s="57"/>
      <c r="J7" s="57"/>
      <c r="K7" s="6"/>
      <c r="L7" s="170" t="str">
        <f>('RESUMEN INDIVIDUAL'!F7)</f>
        <v>DIONISE LOPEZ ASTAIZA</v>
      </c>
      <c r="M7" s="170"/>
      <c r="N7" s="170"/>
      <c r="O7" s="170"/>
      <c r="P7" s="170"/>
      <c r="Q7" s="170"/>
      <c r="R7" s="3"/>
    </row>
    <row r="8" spans="1:18" ht="34.5" thickBot="1" x14ac:dyDescent="0.55000000000000004">
      <c r="A8" s="26"/>
      <c r="B8" s="26"/>
      <c r="C8" s="26"/>
      <c r="D8" s="6"/>
      <c r="E8" s="24" t="s">
        <v>26</v>
      </c>
      <c r="F8" s="168">
        <v>25712307</v>
      </c>
      <c r="G8" s="168"/>
      <c r="H8" s="168"/>
      <c r="I8" s="18"/>
      <c r="J8" s="18"/>
      <c r="K8" s="6"/>
      <c r="L8" s="172" t="s">
        <v>71</v>
      </c>
      <c r="M8" s="172"/>
      <c r="N8" s="172"/>
      <c r="O8" s="172"/>
      <c r="P8" s="171" t="s">
        <v>14</v>
      </c>
      <c r="Q8" s="171"/>
      <c r="R8" s="171"/>
    </row>
    <row r="9" spans="1:18" ht="28.5" customHeight="1" x14ac:dyDescent="0.55000000000000004">
      <c r="A9" s="26"/>
      <c r="B9" s="26"/>
      <c r="C9" s="26"/>
      <c r="D9" s="6"/>
      <c r="E9" s="24"/>
      <c r="F9" s="36"/>
      <c r="G9" s="36"/>
      <c r="H9" s="18"/>
      <c r="I9" s="18"/>
      <c r="J9" s="18"/>
      <c r="K9" s="6"/>
      <c r="L9" s="153" t="s">
        <v>15</v>
      </c>
      <c r="M9" s="153"/>
      <c r="N9" s="153"/>
      <c r="O9" s="101">
        <v>-0.1</v>
      </c>
      <c r="P9" s="160">
        <f>(G26*O6)</f>
        <v>1282056197400</v>
      </c>
      <c r="Q9" s="161"/>
      <c r="R9" s="162"/>
    </row>
    <row r="10" spans="1:18" ht="30" customHeight="1" x14ac:dyDescent="0.5">
      <c r="A10" s="26"/>
      <c r="B10" s="26"/>
      <c r="C10" s="26"/>
      <c r="D10" s="28"/>
      <c r="E10" s="16"/>
      <c r="F10" s="17"/>
      <c r="G10" s="17"/>
      <c r="H10" s="17"/>
      <c r="I10" s="17"/>
      <c r="J10" s="22"/>
      <c r="K10" s="6"/>
      <c r="L10" s="152">
        <v>0.01</v>
      </c>
      <c r="M10" s="152"/>
      <c r="N10" s="152"/>
      <c r="O10" s="102" t="s">
        <v>63</v>
      </c>
      <c r="P10" s="157">
        <f>(I14*O6)</f>
        <v>12820561974</v>
      </c>
      <c r="Q10" s="158"/>
      <c r="R10" s="159"/>
    </row>
    <row r="11" spans="1:18" ht="33.75" x14ac:dyDescent="0.5">
      <c r="A11" s="26"/>
      <c r="B11" s="26"/>
      <c r="C11" s="26"/>
      <c r="D11" s="28"/>
      <c r="E11" s="16"/>
      <c r="F11" s="97" t="s">
        <v>27</v>
      </c>
      <c r="G11" s="97" t="s">
        <v>34</v>
      </c>
      <c r="H11" s="22"/>
      <c r="I11" s="91" t="s">
        <v>67</v>
      </c>
      <c r="J11" s="22"/>
      <c r="K11" s="6"/>
      <c r="L11" s="152">
        <f>IFERROR(VLOOKUP(F8,'MATRIZ LISTADO'!B19:AB36,25,0),"")</f>
        <v>0.99</v>
      </c>
      <c r="M11" s="152"/>
      <c r="N11" s="152"/>
      <c r="O11" s="102" t="s">
        <v>37</v>
      </c>
      <c r="P11" s="157">
        <f>(I18*O6)</f>
        <v>1269235635426</v>
      </c>
      <c r="Q11" s="158"/>
      <c r="R11" s="159"/>
    </row>
    <row r="12" spans="1:18" ht="34.5" thickBot="1" x14ac:dyDescent="0.55000000000000004">
      <c r="A12" s="26"/>
      <c r="B12" s="26"/>
      <c r="C12" s="26"/>
      <c r="D12" s="28"/>
      <c r="E12" s="34" t="s">
        <v>11</v>
      </c>
      <c r="F12" s="30">
        <f>IFERROR(VLOOKUP($F$8,Tabla3[[#All],[CC-ID-DNI]:[CANT]],3,0),"")</f>
        <v>57</v>
      </c>
      <c r="G12" s="31">
        <f>(F12*5000000)</f>
        <v>285000000</v>
      </c>
      <c r="H12" s="22"/>
      <c r="I12" s="98" t="s">
        <v>70</v>
      </c>
      <c r="J12" s="22"/>
      <c r="K12" s="6"/>
      <c r="L12" s="152">
        <f>IFERROR(VLOOKUP(F8,'MATRIZ LISTADO'!B19:AB36,26,0),"")</f>
        <v>0</v>
      </c>
      <c r="M12" s="152"/>
      <c r="N12" s="152"/>
      <c r="O12" s="103" t="s">
        <v>38</v>
      </c>
      <c r="P12" s="154">
        <f>(I22*O6)</f>
        <v>0</v>
      </c>
      <c r="Q12" s="155"/>
      <c r="R12" s="156"/>
    </row>
    <row r="13" spans="1:18" ht="9.75" customHeight="1" thickBot="1" x14ac:dyDescent="0.3">
      <c r="A13" s="26"/>
      <c r="B13" s="26"/>
      <c r="C13" s="26"/>
      <c r="D13" s="28"/>
      <c r="E13" s="35"/>
      <c r="F13" s="29"/>
      <c r="G13" s="17"/>
      <c r="H13" s="22"/>
      <c r="I13" s="22"/>
      <c r="J13" s="22"/>
      <c r="K13" s="6"/>
      <c r="L13" s="26"/>
      <c r="M13" s="26"/>
      <c r="N13" s="26"/>
      <c r="O13" s="26"/>
    </row>
    <row r="14" spans="1:18" ht="34.5" thickBot="1" x14ac:dyDescent="0.55000000000000004">
      <c r="A14" s="26"/>
      <c r="B14" s="26"/>
      <c r="C14" s="26"/>
      <c r="D14" s="28"/>
      <c r="E14" s="34" t="s">
        <v>23</v>
      </c>
      <c r="F14" s="30">
        <f>IFERROR(VLOOKUP($F$8,Tabla3[[CC-ID-DNI]:[1% PAGO INICIAL]],5,0),"")</f>
        <v>13</v>
      </c>
      <c r="G14" s="31">
        <f>(F14*10000000)</f>
        <v>130000000</v>
      </c>
      <c r="H14" s="22"/>
      <c r="I14" s="85">
        <f>(G26*1%)</f>
        <v>4015800</v>
      </c>
      <c r="J14" s="22"/>
      <c r="K14" s="6"/>
      <c r="L14" s="26"/>
      <c r="M14" s="26"/>
      <c r="N14" s="26"/>
      <c r="O14" s="26"/>
    </row>
    <row r="15" spans="1:18" ht="9.75" customHeight="1" x14ac:dyDescent="0.25">
      <c r="A15" s="26"/>
      <c r="B15" s="26"/>
      <c r="C15" s="26"/>
      <c r="D15" s="28"/>
      <c r="E15" s="35"/>
      <c r="F15" s="29"/>
      <c r="G15" s="17"/>
      <c r="H15" s="22"/>
      <c r="I15" s="17"/>
      <c r="J15" s="22"/>
      <c r="K15" s="6"/>
      <c r="L15" s="26"/>
      <c r="M15" s="26"/>
      <c r="N15" s="26"/>
      <c r="O15" s="26"/>
    </row>
    <row r="16" spans="1:18" ht="31.5" x14ac:dyDescent="0.5">
      <c r="A16" s="26"/>
      <c r="B16" s="26"/>
      <c r="C16" s="26"/>
      <c r="D16" s="28"/>
      <c r="E16" s="34" t="s">
        <v>12</v>
      </c>
      <c r="F16" s="30">
        <f>IFERROR(VLOOKUP($F$8,Tabla3[[CC-ID-DNI]:[1% PAGO INICIAL]],7,0),"")</f>
        <v>4</v>
      </c>
      <c r="G16" s="31">
        <f>(F16*7500000)</f>
        <v>30000000</v>
      </c>
      <c r="H16" s="22"/>
      <c r="I16" s="99" t="s">
        <v>37</v>
      </c>
      <c r="J16" s="22"/>
      <c r="K16" s="6"/>
      <c r="L16" s="26"/>
      <c r="M16" s="26"/>
      <c r="N16" s="26"/>
      <c r="O16" s="26"/>
    </row>
    <row r="17" spans="1:15" ht="9.75" customHeight="1" thickBot="1" x14ac:dyDescent="0.4">
      <c r="A17" s="26"/>
      <c r="B17" s="26"/>
      <c r="C17" s="26"/>
      <c r="D17" s="28"/>
      <c r="E17" s="35"/>
      <c r="F17" s="29"/>
      <c r="G17" s="17"/>
      <c r="H17" s="22"/>
      <c r="I17" s="32"/>
      <c r="J17" s="22"/>
      <c r="K17" s="6"/>
      <c r="L17" s="26"/>
      <c r="M17" s="26"/>
      <c r="N17" s="26"/>
      <c r="O17" s="26"/>
    </row>
    <row r="18" spans="1:15" ht="32.25" thickBot="1" x14ac:dyDescent="0.55000000000000004">
      <c r="A18" s="26"/>
      <c r="B18" s="26"/>
      <c r="C18" s="26"/>
      <c r="D18" s="28"/>
      <c r="E18" s="34" t="s">
        <v>24</v>
      </c>
      <c r="F18" s="30">
        <f>IFERROR(VLOOKUP($F$8,Tabla3[[CC-ID-DNI]:[1% PAGO INICIAL]],9,0),"")</f>
        <v>2</v>
      </c>
      <c r="G18" s="31">
        <f>(F18*500000)</f>
        <v>1000000</v>
      </c>
      <c r="H18" s="22"/>
      <c r="I18" s="86">
        <f>IFERROR(VLOOKUP(F8,Tabla3[[#All],[CC-ID-DNI]:[% NUBE]],20,0),"")</f>
        <v>397564200</v>
      </c>
      <c r="J18" s="22"/>
      <c r="K18" s="6"/>
      <c r="L18" s="26"/>
      <c r="M18" s="26"/>
      <c r="N18" s="26"/>
      <c r="O18" s="26"/>
    </row>
    <row r="19" spans="1:15" ht="9.75" customHeight="1" x14ac:dyDescent="0.45">
      <c r="A19" s="26"/>
      <c r="B19" s="26"/>
      <c r="C19" s="26"/>
      <c r="D19" s="28"/>
      <c r="E19" s="35"/>
      <c r="F19" s="29"/>
      <c r="G19" s="17"/>
      <c r="H19" s="33"/>
      <c r="I19" s="28"/>
      <c r="J19" s="22"/>
      <c r="K19" s="6"/>
      <c r="L19" s="26"/>
      <c r="M19" s="26"/>
      <c r="N19" s="26"/>
      <c r="O19" s="26"/>
    </row>
    <row r="20" spans="1:15" ht="31.5" x14ac:dyDescent="0.5">
      <c r="A20" s="26"/>
      <c r="B20" s="26"/>
      <c r="C20" s="26"/>
      <c r="D20" s="28"/>
      <c r="E20" s="34" t="s">
        <v>85</v>
      </c>
      <c r="F20" s="30">
        <f>IFERROR(VLOOKUP($F$8,Tabla3[[CC-ID-DNI]:[1% PAGO INICIAL]],13,0),"")</f>
        <v>1</v>
      </c>
      <c r="G20" s="31">
        <f>(F20*200000)</f>
        <v>200000</v>
      </c>
      <c r="H20" s="17"/>
      <c r="I20" s="99" t="s">
        <v>38</v>
      </c>
      <c r="J20" s="22"/>
      <c r="K20" s="6"/>
      <c r="L20" s="26"/>
      <c r="M20" s="26"/>
      <c r="N20" s="26"/>
      <c r="O20" s="26"/>
    </row>
    <row r="21" spans="1:15" ht="9.75" customHeight="1" thickBot="1" x14ac:dyDescent="0.5">
      <c r="A21" s="26"/>
      <c r="B21" s="26"/>
      <c r="C21" s="26"/>
      <c r="D21" s="28"/>
      <c r="E21" s="35"/>
      <c r="F21" s="29"/>
      <c r="G21" s="17"/>
      <c r="H21" s="33"/>
      <c r="I21" s="32"/>
      <c r="J21" s="22"/>
      <c r="K21" s="6"/>
      <c r="L21" s="26"/>
      <c r="M21" s="26"/>
      <c r="N21" s="26"/>
      <c r="O21" s="26"/>
    </row>
    <row r="22" spans="1:15" ht="32.25" thickBot="1" x14ac:dyDescent="0.55000000000000004">
      <c r="A22" s="26"/>
      <c r="B22" s="26"/>
      <c r="C22" s="26"/>
      <c r="D22" s="28"/>
      <c r="E22" s="123"/>
      <c r="F22" s="68"/>
      <c r="G22" s="124"/>
      <c r="H22" s="17"/>
      <c r="I22" s="86">
        <f>IFERROR(VLOOKUP(F8,Tabla3[[#All],[CC-ID-DNI]:[% NUBE]],21,0),"")</f>
        <v>0</v>
      </c>
      <c r="J22" s="22"/>
      <c r="K22" s="6"/>
      <c r="L22" s="26"/>
      <c r="M22" s="26"/>
      <c r="N22" s="26"/>
      <c r="O22" s="26"/>
    </row>
    <row r="23" spans="1:15" ht="9.75" customHeight="1" thickBot="1" x14ac:dyDescent="0.3">
      <c r="A23" s="26"/>
      <c r="B23" s="26"/>
      <c r="C23" s="26"/>
      <c r="D23" s="28"/>
      <c r="E23" s="121"/>
      <c r="F23" s="121"/>
      <c r="G23" s="121"/>
      <c r="H23" s="28"/>
      <c r="I23" s="121"/>
      <c r="J23" s="22"/>
      <c r="K23" s="6"/>
      <c r="L23" s="26"/>
      <c r="M23" s="26"/>
      <c r="N23" s="26"/>
      <c r="O23" s="26"/>
    </row>
    <row r="24" spans="1:15" ht="35.25" customHeight="1" x14ac:dyDescent="0.5">
      <c r="A24" s="26"/>
      <c r="B24" s="26"/>
      <c r="C24" s="26"/>
      <c r="D24" s="28"/>
      <c r="E24" s="92" t="s">
        <v>10</v>
      </c>
      <c r="F24" s="68"/>
      <c r="G24" s="95" t="s">
        <v>19</v>
      </c>
      <c r="H24" s="122"/>
      <c r="I24" s="121"/>
      <c r="J24" s="122"/>
      <c r="K24" s="6"/>
      <c r="L24" s="26"/>
      <c r="M24" s="26"/>
      <c r="N24" s="26"/>
      <c r="O24" s="26"/>
    </row>
    <row r="25" spans="1:15" ht="12.75" customHeight="1" x14ac:dyDescent="0.25">
      <c r="A25" s="26"/>
      <c r="B25" s="26"/>
      <c r="C25" s="26"/>
      <c r="D25" s="121"/>
      <c r="E25" s="22"/>
      <c r="F25" s="87"/>
      <c r="G25" s="93"/>
      <c r="H25" s="122"/>
      <c r="I25" s="122"/>
      <c r="J25" s="122"/>
      <c r="K25" s="26"/>
      <c r="L25" s="26"/>
      <c r="M25" s="26"/>
      <c r="N25" s="26"/>
      <c r="O25" s="26"/>
    </row>
    <row r="26" spans="1:15" ht="36" customHeight="1" thickBot="1" x14ac:dyDescent="0.55000000000000004">
      <c r="A26" s="26"/>
      <c r="B26" s="26"/>
      <c r="C26" s="26"/>
      <c r="D26" s="121"/>
      <c r="E26" s="94">
        <f>SUM(G12:G22)</f>
        <v>446200000</v>
      </c>
      <c r="F26" s="68"/>
      <c r="G26" s="96">
        <f>E26-(E26*10%)</f>
        <v>401580000</v>
      </c>
      <c r="H26" s="122"/>
      <c r="I26" s="121"/>
      <c r="J26" s="122"/>
      <c r="K26" s="26"/>
      <c r="L26" s="26"/>
      <c r="M26" s="26"/>
      <c r="N26" s="26"/>
      <c r="O26" s="26"/>
    </row>
    <row r="27" spans="1:15" ht="12.75" customHeight="1" x14ac:dyDescent="0.25">
      <c r="D27" s="121"/>
      <c r="E27" s="121"/>
      <c r="F27" s="121"/>
      <c r="G27" s="121"/>
      <c r="H27" s="122"/>
      <c r="I27" s="121"/>
      <c r="J27" s="122"/>
      <c r="K27" s="26"/>
      <c r="L27" s="26"/>
      <c r="M27" s="26"/>
      <c r="N27" s="26"/>
      <c r="O27" s="26"/>
    </row>
    <row r="28" spans="1:15" ht="30.75" customHeight="1" x14ac:dyDescent="0.25">
      <c r="E28" s="90"/>
      <c r="F28" s="90"/>
      <c r="G28" s="90"/>
      <c r="H28" s="90"/>
      <c r="I28" s="89"/>
      <c r="J28" s="90"/>
    </row>
    <row r="29" spans="1:15" ht="26.25" customHeight="1" x14ac:dyDescent="0.5">
      <c r="E29" s="90"/>
      <c r="F29" s="90"/>
      <c r="G29" s="90"/>
      <c r="H29" s="90"/>
      <c r="I29" s="88"/>
      <c r="J29" s="90"/>
    </row>
  </sheetData>
  <mergeCells count="17">
    <mergeCell ref="O4:P4"/>
    <mergeCell ref="O3:P3"/>
    <mergeCell ref="F5:H5"/>
    <mergeCell ref="F7:H7"/>
    <mergeCell ref="F8:H8"/>
    <mergeCell ref="O5:P5"/>
    <mergeCell ref="L7:Q7"/>
    <mergeCell ref="P8:R8"/>
    <mergeCell ref="L8:O8"/>
    <mergeCell ref="L11:N11"/>
    <mergeCell ref="L9:N9"/>
    <mergeCell ref="L12:N12"/>
    <mergeCell ref="L10:N10"/>
    <mergeCell ref="P12:R12"/>
    <mergeCell ref="P11:R11"/>
    <mergeCell ref="P10:R10"/>
    <mergeCell ref="P9:R9"/>
  </mergeCells>
  <hyperlinks>
    <hyperlink ref="Q5" r:id="rId1" xr:uid="{A581DF91-83CF-4D86-861B-B025E71568D8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1CEC89-E83F-4A8F-99C8-96C19943B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GENERALES</vt:lpstr>
      <vt:lpstr>MATRIZ LISTADO</vt:lpstr>
      <vt:lpstr>RESUMEN 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Carolina Diaz Suarez</cp:lastModifiedBy>
  <dcterms:created xsi:type="dcterms:W3CDTF">2026-02-10T00:01:49Z</dcterms:created>
  <dcterms:modified xsi:type="dcterms:W3CDTF">2026-09-22T19:21:13Z</dcterms:modified>
</cp:coreProperties>
</file>