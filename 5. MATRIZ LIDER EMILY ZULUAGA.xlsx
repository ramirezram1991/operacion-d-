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. NEGOCIOS\2. OPERACION DRAGON\2. GESTIÓN DOCUMENTAL\1. GRUPO 1\MATRICES\"/>
    </mc:Choice>
  </mc:AlternateContent>
  <xr:revisionPtr revIDLastSave="0" documentId="13_ncr:1_{B1D8F531-E86E-4FA4-9F85-55BEF94C24CE}" xr6:coauthVersionLast="47" xr6:coauthVersionMax="47" xr10:uidLastSave="{00000000-0000-0000-0000-000000000000}"/>
  <bookViews>
    <workbookView xWindow="-120" yWindow="-120" windowWidth="29040" windowHeight="15720" xr2:uid="{48824FEC-42D6-4632-9118-8ADC756F6732}"/>
  </bookViews>
  <sheets>
    <sheet name="DATOS GENERALES" sheetId="1" r:id="rId1"/>
    <sheet name="MATRIZ LISTADO" sheetId="3" r:id="rId2"/>
    <sheet name="RESUMEN INDIVIDUAL" sheetId="4" r:id="rId3"/>
  </sheets>
  <definedNames>
    <definedName name="_xlnm._FilterDatabase" localSheetId="0" hidden="1">'DATOS GENERALES'!$A$1:$S$106</definedName>
    <definedName name="_xlnm._FilterDatabase" localSheetId="1" hidden="1">'MATRIZ LISTADO'!$A$19:$DC$19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4" l="1"/>
  <c r="G20" i="4"/>
  <c r="F22" i="4"/>
  <c r="G22" i="4"/>
  <c r="A38" i="3" l="1"/>
  <c r="A39" i="3"/>
  <c r="A40" i="3"/>
  <c r="A41" i="3"/>
  <c r="A42" i="3"/>
  <c r="A43" i="3"/>
  <c r="I41" i="3"/>
  <c r="G41" i="3"/>
  <c r="I33" i="3"/>
  <c r="G33" i="3"/>
  <c r="I32" i="3"/>
  <c r="G32" i="3"/>
  <c r="K31" i="3"/>
  <c r="I26" i="3"/>
  <c r="I24" i="3"/>
  <c r="E22" i="3"/>
  <c r="O4" i="4"/>
  <c r="I43" i="3"/>
  <c r="I38" i="3"/>
  <c r="I31" i="3"/>
  <c r="I27" i="3"/>
  <c r="I25" i="3"/>
  <c r="I21" i="3"/>
  <c r="I20" i="3"/>
  <c r="G43" i="3"/>
  <c r="G40" i="3"/>
  <c r="G38" i="3"/>
  <c r="G31" i="3"/>
  <c r="G27" i="3"/>
  <c r="G26" i="3"/>
  <c r="G25" i="3"/>
  <c r="G21" i="3"/>
  <c r="G22" i="3"/>
  <c r="E20" i="3"/>
  <c r="E21" i="3"/>
  <c r="E23" i="3"/>
  <c r="R23" i="3" s="1"/>
  <c r="E24" i="3"/>
  <c r="E25" i="3"/>
  <c r="E26" i="3"/>
  <c r="E27" i="3"/>
  <c r="E28" i="3"/>
  <c r="E29" i="3"/>
  <c r="E30" i="3"/>
  <c r="R30" i="3" s="1"/>
  <c r="S30" i="3" s="1"/>
  <c r="E31" i="3"/>
  <c r="E32" i="3"/>
  <c r="E33" i="3"/>
  <c r="E34" i="3"/>
  <c r="E35" i="3"/>
  <c r="R35" i="3" s="1"/>
  <c r="S35" i="3" s="1"/>
  <c r="E36" i="3"/>
  <c r="E37" i="3"/>
  <c r="R37" i="3" s="1"/>
  <c r="S37" i="3" s="1"/>
  <c r="E38" i="3"/>
  <c r="E39" i="3"/>
  <c r="E40" i="3"/>
  <c r="E41" i="3"/>
  <c r="E42" i="3"/>
  <c r="R42" i="3" s="1"/>
  <c r="S42" i="3" s="1"/>
  <c r="U42" i="3" s="1"/>
  <c r="E43" i="3"/>
  <c r="L12" i="4"/>
  <c r="L11" i="4"/>
  <c r="F24" i="4"/>
  <c r="G24" i="4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F7" i="4"/>
  <c r="AB30" i="3"/>
  <c r="AC30" i="3" s="1"/>
  <c r="AB31" i="3"/>
  <c r="AC31" i="3" s="1"/>
  <c r="AB32" i="3"/>
  <c r="AC32" i="3" s="1"/>
  <c r="AB33" i="3"/>
  <c r="AC33" i="3" s="1"/>
  <c r="AB34" i="3"/>
  <c r="AC34" i="3" s="1"/>
  <c r="AB35" i="3"/>
  <c r="AC35" i="3" s="1"/>
  <c r="AB36" i="3"/>
  <c r="AC36" i="3" s="1"/>
  <c r="AB37" i="3"/>
  <c r="AC37" i="3" s="1"/>
  <c r="AB38" i="3"/>
  <c r="AC38" i="3" s="1"/>
  <c r="AB39" i="3"/>
  <c r="AC39" i="3" s="1"/>
  <c r="AB40" i="3"/>
  <c r="AC40" i="3" s="1"/>
  <c r="AB41" i="3"/>
  <c r="AC41" i="3" s="1"/>
  <c r="AB42" i="3"/>
  <c r="AC42" i="3" s="1"/>
  <c r="AB43" i="3"/>
  <c r="AC43" i="3" s="1"/>
  <c r="R24" i="3" l="1"/>
  <c r="R32" i="3"/>
  <c r="S32" i="3" s="1"/>
  <c r="U32" i="3" s="1"/>
  <c r="R41" i="3"/>
  <c r="S41" i="3" s="1"/>
  <c r="V41" i="3" s="1"/>
  <c r="R33" i="3"/>
  <c r="S33" i="3" s="1"/>
  <c r="V33" i="3" s="1"/>
  <c r="R29" i="3"/>
  <c r="S29" i="3" s="1"/>
  <c r="T29" i="3" s="1"/>
  <c r="R21" i="3"/>
  <c r="S21" i="3" s="1"/>
  <c r="U21" i="3" s="1"/>
  <c r="R26" i="3"/>
  <c r="S26" i="3" s="1"/>
  <c r="U26" i="3" s="1"/>
  <c r="R22" i="3"/>
  <c r="S22" i="3" s="1"/>
  <c r="T22" i="3" s="1"/>
  <c r="R39" i="3"/>
  <c r="S39" i="3" s="1"/>
  <c r="U39" i="3" s="1"/>
  <c r="R31" i="3"/>
  <c r="S31" i="3" s="1"/>
  <c r="V31" i="3" s="1"/>
  <c r="R34" i="3"/>
  <c r="S34" i="3" s="1"/>
  <c r="T34" i="3" s="1"/>
  <c r="R43" i="3"/>
  <c r="S43" i="3" s="1"/>
  <c r="U43" i="3" s="1"/>
  <c r="R40" i="3"/>
  <c r="S40" i="3" s="1"/>
  <c r="U40" i="3" s="1"/>
  <c r="R36" i="3"/>
  <c r="S36" i="3" s="1"/>
  <c r="U36" i="3" s="1"/>
  <c r="R38" i="3"/>
  <c r="S38" i="3" s="1"/>
  <c r="T38" i="3" s="1"/>
  <c r="R27" i="3"/>
  <c r="S27" i="3" s="1"/>
  <c r="T27" i="3" s="1"/>
  <c r="U37" i="3"/>
  <c r="V37" i="3"/>
  <c r="T37" i="3"/>
  <c r="R28" i="3"/>
  <c r="S28" i="3" s="1"/>
  <c r="U28" i="3" s="1"/>
  <c r="R25" i="3"/>
  <c r="S25" i="3" s="1"/>
  <c r="T25" i="3" s="1"/>
  <c r="R20" i="3"/>
  <c r="S20" i="3" s="1"/>
  <c r="V20" i="3" s="1"/>
  <c r="V30" i="3"/>
  <c r="T30" i="3"/>
  <c r="U30" i="3"/>
  <c r="V35" i="3"/>
  <c r="U35" i="3"/>
  <c r="V32" i="3"/>
  <c r="T42" i="3"/>
  <c r="V42" i="3"/>
  <c r="T35" i="3"/>
  <c r="S23" i="3"/>
  <c r="T23" i="3" s="1"/>
  <c r="S24" i="3"/>
  <c r="U24" i="3" s="1"/>
  <c r="U41" i="3" l="1"/>
  <c r="T41" i="3"/>
  <c r="T32" i="3"/>
  <c r="U33" i="3"/>
  <c r="T33" i="3"/>
  <c r="V39" i="3"/>
  <c r="U34" i="3"/>
  <c r="T39" i="3"/>
  <c r="U31" i="3"/>
  <c r="T31" i="3"/>
  <c r="T36" i="3"/>
  <c r="V34" i="3"/>
  <c r="T40" i="3"/>
  <c r="V40" i="3"/>
  <c r="V23" i="3"/>
  <c r="V38" i="3"/>
  <c r="U38" i="3"/>
  <c r="T43" i="3"/>
  <c r="V36" i="3"/>
  <c r="V43" i="3"/>
  <c r="I22" i="4"/>
  <c r="U23" i="3"/>
  <c r="U22" i="3"/>
  <c r="V22" i="3"/>
  <c r="T24" i="3"/>
  <c r="T20" i="3"/>
  <c r="V24" i="3"/>
  <c r="U29" i="3"/>
  <c r="V28" i="3"/>
  <c r="T28" i="3"/>
  <c r="V27" i="3"/>
  <c r="U27" i="3"/>
  <c r="I18" i="4" s="1"/>
  <c r="V29" i="3"/>
  <c r="U20" i="3"/>
  <c r="V25" i="3"/>
  <c r="V21" i="3"/>
  <c r="T21" i="3"/>
  <c r="T26" i="3"/>
  <c r="V26" i="3"/>
  <c r="U25" i="3"/>
  <c r="P12" i="4" l="1"/>
  <c r="P11" i="4"/>
  <c r="L7" i="4"/>
  <c r="AB29" i="3"/>
  <c r="AC29" i="3" s="1"/>
  <c r="AB28" i="3"/>
  <c r="AC28" i="3" s="1"/>
  <c r="AB27" i="3"/>
  <c r="AC27" i="3" s="1"/>
  <c r="AB26" i="3"/>
  <c r="AC26" i="3" s="1"/>
  <c r="AB25" i="3"/>
  <c r="AC25" i="3" s="1"/>
  <c r="AB24" i="3"/>
  <c r="AC24" i="3" s="1"/>
  <c r="AB23" i="3"/>
  <c r="AC23" i="3" s="1"/>
  <c r="AB22" i="3"/>
  <c r="AC22" i="3" s="1"/>
  <c r="AB21" i="3"/>
  <c r="AC21" i="3" s="1"/>
  <c r="AB20" i="3"/>
  <c r="AC20" i="3" s="1"/>
  <c r="G18" i="4" l="1"/>
  <c r="F5" i="4"/>
  <c r="F18" i="4"/>
  <c r="G16" i="4"/>
  <c r="G14" i="4"/>
  <c r="G12" i="4"/>
  <c r="F16" i="4"/>
  <c r="F14" i="4"/>
  <c r="F12" i="4"/>
  <c r="E28" i="4" l="1"/>
  <c r="G28" i="4" s="1"/>
  <c r="I14" i="4" s="1"/>
  <c r="P10" i="4" s="1"/>
  <c r="P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26A43-A817-49FD-8E53-B3A636B494F2}" keepAlive="1" name="Consulta - Tabla 1" description="Conexión a la consulta 'Tabla 1' en el libro." type="5" refreshedVersion="0" background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<sst xmlns="http://schemas.openxmlformats.org/spreadsheetml/2006/main" count="1125" uniqueCount="312">
  <si>
    <t>ENVIADO</t>
  </si>
  <si>
    <t>BANCOLOMBIA</t>
  </si>
  <si>
    <t>2Q</t>
  </si>
  <si>
    <t>NEQUI</t>
  </si>
  <si>
    <t>10Q</t>
  </si>
  <si>
    <t>6Q</t>
  </si>
  <si>
    <t>1Q</t>
  </si>
  <si>
    <t>SKR SI/NO</t>
  </si>
  <si>
    <t>LIDER</t>
  </si>
  <si>
    <t>MONTO</t>
  </si>
  <si>
    <t>NOMBRE COMPLETO</t>
  </si>
  <si>
    <t>FECHA</t>
  </si>
  <si>
    <t>TOTAL</t>
  </si>
  <si>
    <t>QUINTILLION</t>
  </si>
  <si>
    <t>VIGINTILLION</t>
  </si>
  <si>
    <t>USD</t>
  </si>
  <si>
    <t>PESOS COLOMBIANOS</t>
  </si>
  <si>
    <t>PAGO TOTAL</t>
  </si>
  <si>
    <t xml:space="preserve">LIDER: </t>
  </si>
  <si>
    <t>QUINTILLION 5M</t>
  </si>
  <si>
    <t>NONGENTILLION 10M</t>
  </si>
  <si>
    <t>TOTAL -10%</t>
  </si>
  <si>
    <t>1% PAGO INICIAL</t>
  </si>
  <si>
    <t>FIDUCIA/NUBE</t>
  </si>
  <si>
    <t>LISTA</t>
  </si>
  <si>
    <t>NONGENTILLION</t>
  </si>
  <si>
    <t>MONEDA DE ZIM</t>
  </si>
  <si>
    <t>NOMBRE</t>
  </si>
  <si>
    <t>CC/ID/DNI</t>
  </si>
  <si>
    <t>CANT</t>
  </si>
  <si>
    <t>MONTO3</t>
  </si>
  <si>
    <t>MONTO2</t>
  </si>
  <si>
    <t>MONTO4</t>
  </si>
  <si>
    <t>CC-ID-DNI</t>
  </si>
  <si>
    <t>CANT2</t>
  </si>
  <si>
    <t>CANT4</t>
  </si>
  <si>
    <t>PAGO</t>
  </si>
  <si>
    <t>SI</t>
  </si>
  <si>
    <t>NO</t>
  </si>
  <si>
    <t>FIDUCIA</t>
  </si>
  <si>
    <t>NUBE</t>
  </si>
  <si>
    <t>CANT3</t>
  </si>
  <si>
    <t>VIGINTILLION 7,5M</t>
  </si>
  <si>
    <t>MONEDA ZIMBABWE 500k</t>
  </si>
  <si>
    <t>5Q+2N</t>
  </si>
  <si>
    <t>2Q+3N+5V</t>
  </si>
  <si>
    <t>USDT</t>
  </si>
  <si>
    <t>2V</t>
  </si>
  <si>
    <t>WOMPI</t>
  </si>
  <si>
    <t>ID/CC/DNI</t>
  </si>
  <si>
    <t>PASAPORTE</t>
  </si>
  <si>
    <t>PAIS</t>
  </si>
  <si>
    <t>ESTADO</t>
  </si>
  <si>
    <t>CIUDAD</t>
  </si>
  <si>
    <t>DIRECCION</t>
  </si>
  <si>
    <t>COD POSTAL</t>
  </si>
  <si>
    <t>CORREO</t>
  </si>
  <si>
    <t xml:space="preserve">TELEFONO </t>
  </si>
  <si>
    <t>REF</t>
  </si>
  <si>
    <t>COLOMBIA</t>
  </si>
  <si>
    <t>VALLE DEL CAUCA</t>
  </si>
  <si>
    <t>N/A</t>
  </si>
  <si>
    <t>CALI</t>
  </si>
  <si>
    <t>CUNDINAMARCA</t>
  </si>
  <si>
    <t>BOGOTA D.C</t>
  </si>
  <si>
    <t>SANTANDER</t>
  </si>
  <si>
    <t>BUCARAMANGA</t>
  </si>
  <si>
    <t>BANK</t>
  </si>
  <si>
    <t>VIGENTE</t>
  </si>
  <si>
    <t>GIRO RULETA</t>
  </si>
  <si>
    <t>3N+3V</t>
  </si>
  <si>
    <t>1V</t>
  </si>
  <si>
    <t>1ZIMCOIN</t>
  </si>
  <si>
    <t xml:space="preserve">PORCENTAJES </t>
  </si>
  <si>
    <t>BANCO</t>
  </si>
  <si>
    <t>% FIDUCIA</t>
  </si>
  <si>
    <t>% NUBE</t>
  </si>
  <si>
    <t>100%</t>
  </si>
  <si>
    <t>ORDEN DE PAGOS</t>
  </si>
  <si>
    <t>https://www.dolar-colombia.com/</t>
  </si>
  <si>
    <t>Consulta  con el valor del dólar (TRM) Aquí</t>
  </si>
  <si>
    <t>1% PAGO BANCO</t>
  </si>
  <si>
    <t>PAGO CON DESCUENTOS</t>
  </si>
  <si>
    <t>PEREIRA</t>
  </si>
  <si>
    <t>RISARALDA</t>
  </si>
  <si>
    <t>2Q+3N+2V</t>
  </si>
  <si>
    <t>DOSQUEBRADAS</t>
  </si>
  <si>
    <t>5Q</t>
  </si>
  <si>
    <t>3Q+1V</t>
  </si>
  <si>
    <t>REDEBAN</t>
  </si>
  <si>
    <t>ANTIOQUIA</t>
  </si>
  <si>
    <t>MEDELLIN</t>
  </si>
  <si>
    <t>COMODIN</t>
  </si>
  <si>
    <t>2Q+5N+2V</t>
  </si>
  <si>
    <t>2Q+3N</t>
  </si>
  <si>
    <t>1Q+1N+1V</t>
  </si>
  <si>
    <t>4Q+3N</t>
  </si>
  <si>
    <t xml:space="preserve">RISARALDA </t>
  </si>
  <si>
    <t>VALLE DE TENZA</t>
  </si>
  <si>
    <t>MONTO5</t>
  </si>
  <si>
    <t>BILLETE DE ZIMBABWE 12,5M</t>
  </si>
  <si>
    <t>AGROCHEQUE50M</t>
  </si>
  <si>
    <t xml:space="preserve">OTROS 
</t>
  </si>
  <si>
    <t>CANT5</t>
  </si>
  <si>
    <t>CANT6</t>
  </si>
  <si>
    <t>MONTO6</t>
  </si>
  <si>
    <t>CANT7</t>
  </si>
  <si>
    <t>MONTO7</t>
  </si>
  <si>
    <t>BILLETE DE ZIMBABWE</t>
  </si>
  <si>
    <t>AGROCHEQUE ZIM</t>
  </si>
  <si>
    <t>OTROS</t>
  </si>
  <si>
    <t>PASAPORTES QUE VENCEN EN 2026</t>
  </si>
  <si>
    <t>PRODUCTO / MATERIAL</t>
  </si>
  <si>
    <t xml:space="preserve">PASAPORTE + 3 MESES </t>
  </si>
  <si>
    <t>EMILY ZULUAGA</t>
  </si>
  <si>
    <t>VENCIDO</t>
  </si>
  <si>
    <t>ALEJANDRA LIBREROS LONDOÑO</t>
  </si>
  <si>
    <t>BG111985</t>
  </si>
  <si>
    <t>ZARZAL</t>
  </si>
  <si>
    <t>Calle 15 bis No 7-34 C</t>
  </si>
  <si>
    <t>alibreros.04@gmail.com</t>
  </si>
  <si>
    <t>(+57) 3184370863</t>
  </si>
  <si>
    <t>M0496517</t>
  </si>
  <si>
    <t>ANDREA LIBREROS LONDOÑO</t>
  </si>
  <si>
    <t xml:space="preserve">VALLE DEL CAUCA </t>
  </si>
  <si>
    <t>VEREDA LAS LAJAS</t>
  </si>
  <si>
    <t>andreacatalina131@hotmail.com</t>
  </si>
  <si>
    <t>(+57) 3209745469</t>
  </si>
  <si>
    <t>M1476585</t>
  </si>
  <si>
    <t>4Q</t>
  </si>
  <si>
    <t>M27028064</t>
  </si>
  <si>
    <t>M19354315</t>
  </si>
  <si>
    <t>M03702012</t>
  </si>
  <si>
    <t>M01502694</t>
  </si>
  <si>
    <t>BEATRIZ ELENA AGUDELO ARANGO</t>
  </si>
  <si>
    <t>AV136138</t>
  </si>
  <si>
    <t>VEGACHÍ</t>
  </si>
  <si>
    <t>CRA 49 # 50-02</t>
  </si>
  <si>
    <t>052830</t>
  </si>
  <si>
    <t>catrizapijamas@gmail.com</t>
  </si>
  <si>
    <t>(+57) 3137464798</t>
  </si>
  <si>
    <t>0000097627</t>
  </si>
  <si>
    <t>CARLOS ALBERTO RIOS ECHEVERRY</t>
  </si>
  <si>
    <t>AV825605</t>
  </si>
  <si>
    <t>Dg 49 le 6 M2 casa 1</t>
  </si>
  <si>
    <t>medellinpereira64@gmail.com</t>
  </si>
  <si>
    <t>(+57) 3135084310</t>
  </si>
  <si>
    <t>175158</t>
  </si>
  <si>
    <t>EMILCE  ZULUAGA ARBOLEDA</t>
  </si>
  <si>
    <t>AT000154</t>
  </si>
  <si>
    <t>CALLE 21BIS # 15B15 BAJOS CENTENARIO</t>
  </si>
  <si>
    <t>strong21zuluaga@gmail.com</t>
  </si>
  <si>
    <t>(+57) 3146307332</t>
  </si>
  <si>
    <t>M9283512</t>
  </si>
  <si>
    <t>1M</t>
  </si>
  <si>
    <t>1 MYRILLION</t>
  </si>
  <si>
    <t>12V</t>
  </si>
  <si>
    <t>X VENTAS HASTA 4 NOV</t>
  </si>
  <si>
    <t>7Q</t>
  </si>
  <si>
    <t>X VENTAS HASTA 8 DE MAYO</t>
  </si>
  <si>
    <t>GONZALO  ALONSO  MORA LOAIZA</t>
  </si>
  <si>
    <t>BD731471</t>
  </si>
  <si>
    <t>CARRERA 28 # 92-10 CORALINA MANZANA 18 CASA 1</t>
  </si>
  <si>
    <t>chalomarket@gmail.com</t>
  </si>
  <si>
    <t>(+57) 3225325736</t>
  </si>
  <si>
    <t>M25225817</t>
  </si>
  <si>
    <t>M51819142</t>
  </si>
  <si>
    <t>JOHN JAIRO CARVAJAL VALENCIA</t>
  </si>
  <si>
    <t>VEGACHI</t>
  </si>
  <si>
    <t>CRA 50 CL 49-51</t>
  </si>
  <si>
    <t>carvajalvalenciajohnjairo@gmail.com</t>
  </si>
  <si>
    <t>(+57) 3218674665</t>
  </si>
  <si>
    <t>056604</t>
  </si>
  <si>
    <t>JULIANA GALVEZ ZAPATA</t>
  </si>
  <si>
    <t>AU903239</t>
  </si>
  <si>
    <t>CARRERA 20 # 3A-51 TORRE 3 APTO 3014 PINARES CAMPESTRE</t>
  </si>
  <si>
    <t>julygalvez35@gmail.com</t>
  </si>
  <si>
    <t>(+57) 3016560836</t>
  </si>
  <si>
    <t>M25479078</t>
  </si>
  <si>
    <t>M51791592</t>
  </si>
  <si>
    <t>LAURA SOCORRO RIVEROS DE CASTELLANOS</t>
  </si>
  <si>
    <t>AX564913</t>
  </si>
  <si>
    <t>CARRERA 22 # 115-45 PROVENZA</t>
  </si>
  <si>
    <t>19lulita46@gmail.com</t>
  </si>
  <si>
    <t>(+57) 3103272881</t>
  </si>
  <si>
    <t>435773</t>
  </si>
  <si>
    <t>263375</t>
  </si>
  <si>
    <t>LUZ ADRIANA  LEYES SANCHEZ</t>
  </si>
  <si>
    <t>AX2975550</t>
  </si>
  <si>
    <t>TULUA</t>
  </si>
  <si>
    <t>CRA 35  24 36 APTO 201 EDIFICIO LA TORRE TULUA VALLE DEL CAUCA</t>
  </si>
  <si>
    <t>luzaleyess@yahoo.es</t>
  </si>
  <si>
    <t>(+57) 3104915901</t>
  </si>
  <si>
    <t>M14807404</t>
  </si>
  <si>
    <t>LUZ ANGELICA ROLON CEBALLOS</t>
  </si>
  <si>
    <t>CALLE 21 #15-71</t>
  </si>
  <si>
    <t>werawoman@gmail.com</t>
  </si>
  <si>
    <t>(+57) 3117452218</t>
  </si>
  <si>
    <t>0000094035</t>
  </si>
  <si>
    <t>LUZ ELENA PERDOMO DELGADO</t>
  </si>
  <si>
    <t>AT878308</t>
  </si>
  <si>
    <t>KRA 78 NO. 6 SUR 61 BLOQUE 55 INTERIOR 14 APTO 302 TECHO 8</t>
  </si>
  <si>
    <t>Luzperd2905@gmail.com</t>
  </si>
  <si>
    <t>(+57) 3232388415</t>
  </si>
  <si>
    <t>004169</t>
  </si>
  <si>
    <t>LUZ STELA MONTOYA VILLA</t>
  </si>
  <si>
    <t>CALLE 106C # 70-47, BARRIO TEJELO</t>
  </si>
  <si>
    <t>luzstelamontoyavilla54@gmail.com</t>
  </si>
  <si>
    <t>(+57) 3053463738</t>
  </si>
  <si>
    <t>M16377601</t>
  </si>
  <si>
    <t>M04725317</t>
  </si>
  <si>
    <t>M04064250</t>
  </si>
  <si>
    <t>MAGALI CANO GARCIA</t>
  </si>
  <si>
    <t>AT748006</t>
  </si>
  <si>
    <t>magalycano69@gmail.com</t>
  </si>
  <si>
    <t>EUO9ANK64Y</t>
  </si>
  <si>
    <t>K8Y2APILOA</t>
  </si>
  <si>
    <t xml:space="preserve">MAGALI CANO GARCIA </t>
  </si>
  <si>
    <t>0000098531</t>
  </si>
  <si>
    <t>0000093928</t>
  </si>
  <si>
    <t>0000098832</t>
  </si>
  <si>
    <t>MARGARITA AMPARO SIERRA GOMEZ</t>
  </si>
  <si>
    <t>AS568774</t>
  </si>
  <si>
    <t xml:space="preserve">KRA  81 CL 13 A-125  / CASA 16 / UNIDAD RESIDENCIAL CIUDADELA PASOANCHO / SECTOR 2  </t>
  </si>
  <si>
    <t>magerobin8@gmail.com</t>
  </si>
  <si>
    <t>(+57) 3176572592</t>
  </si>
  <si>
    <t>205828</t>
  </si>
  <si>
    <t>REDEBAN/COMPARTIDO</t>
  </si>
  <si>
    <t>MARIA ASCENSION GOMEZ AGUILAR</t>
  </si>
  <si>
    <t>BF557049</t>
  </si>
  <si>
    <t>AV 6B NORTE CL 41NORTE-29 APTO 202 BARRIO LA CAMPIÑA</t>
  </si>
  <si>
    <t>maasgo82.dima@gmail</t>
  </si>
  <si>
    <t>(+57) 3183706429</t>
  </si>
  <si>
    <t>MARIA ELENA LEYES SANCHEZ</t>
  </si>
  <si>
    <t>AV760886</t>
  </si>
  <si>
    <t>CARRERA 27#16-39 APTO 401</t>
  </si>
  <si>
    <t>talleristautp3@gmail.com</t>
  </si>
  <si>
    <t>(+57) 3107109092</t>
  </si>
  <si>
    <t>M14891881</t>
  </si>
  <si>
    <t>MARITZA ESCOBAR CUELLAR</t>
  </si>
  <si>
    <t>AX013333</t>
  </si>
  <si>
    <t>CARRERA 1 A #56-94, CONJUNTO Q, TORRE 3, APARTAMENTO 402, BARRIO TORRES DE COMFANDI</t>
  </si>
  <si>
    <t>mec16joe@gmail.com</t>
  </si>
  <si>
    <t>(+57) 3028338534</t>
  </si>
  <si>
    <t>M8464477</t>
  </si>
  <si>
    <t>RAUL ESCOBAR GRISALES</t>
  </si>
  <si>
    <t>AX428687</t>
  </si>
  <si>
    <t>JAMUNDI</t>
  </si>
  <si>
    <t>PARCELACION COLINAS DE MIRAVALLE CASA 16E</t>
  </si>
  <si>
    <t>raesgri@gmail.com</t>
  </si>
  <si>
    <t>(+57) 3173006657</t>
  </si>
  <si>
    <t>360548</t>
  </si>
  <si>
    <t>FARMATODO</t>
  </si>
  <si>
    <t>103069</t>
  </si>
  <si>
    <t>8Q+11N+7V</t>
  </si>
  <si>
    <t>238493</t>
  </si>
  <si>
    <t>8Q+12N+17V</t>
  </si>
  <si>
    <t>044368</t>
  </si>
  <si>
    <t>M11675211</t>
  </si>
  <si>
    <t>255991</t>
  </si>
  <si>
    <t>225992</t>
  </si>
  <si>
    <t>M7061813</t>
  </si>
  <si>
    <t>8Q+8N+8V</t>
  </si>
  <si>
    <t>OBSEQUIO</t>
  </si>
  <si>
    <t>M11236088</t>
  </si>
  <si>
    <t>SANDRA MILENA NIETO OSORIO</t>
  </si>
  <si>
    <t>BG281318</t>
  </si>
  <si>
    <t>CALLE 15 #16-108 CONJUNTO PORTAL DEL PARQUE - APTO 103 - TORRE 2 - BARRIO VALHER</t>
  </si>
  <si>
    <t>sandranieto.ozara@gmail.com</t>
  </si>
  <si>
    <t>(+57) 3506827752</t>
  </si>
  <si>
    <t>M6084240</t>
  </si>
  <si>
    <t>SARA MARIA ARANGO AGUDELO</t>
  </si>
  <si>
    <t>CL 51 CR 48-12 (IN 101)</t>
  </si>
  <si>
    <t>Saluremu4@gmail.com</t>
  </si>
  <si>
    <t>(+57) 3015992326</t>
  </si>
  <si>
    <t>M17415299</t>
  </si>
  <si>
    <t>SEK  PALTA LAME</t>
  </si>
  <si>
    <t>CARRERA 4#16-78 EDIFICIO TORRE 21 APT 504</t>
  </si>
  <si>
    <t>Sekpalta71@mail.com</t>
  </si>
  <si>
    <t>(+57) 3169251001</t>
  </si>
  <si>
    <t>M23820</t>
  </si>
  <si>
    <t>M11097881</t>
  </si>
  <si>
    <t>M11318615</t>
  </si>
  <si>
    <t>SEK PALTA LAME</t>
  </si>
  <si>
    <t>M10844745</t>
  </si>
  <si>
    <t>M15657820</t>
  </si>
  <si>
    <t>M15468246</t>
  </si>
  <si>
    <t>M1688990</t>
  </si>
  <si>
    <t>170017</t>
  </si>
  <si>
    <t xml:space="preserve">TIAMERFRED  GALEANO BERMUDEZ </t>
  </si>
  <si>
    <t xml:space="preserve">AX424465 </t>
  </si>
  <si>
    <t>CARRERA 11 # 36-56</t>
  </si>
  <si>
    <t xml:space="preserve">Cryptotiamer@gmail.com </t>
  </si>
  <si>
    <t>(+57) 3041216183</t>
  </si>
  <si>
    <t>7da5dc809960a0e2bf362d515 4daa4550b0d19454288efcb31f 5148b1b2b110b</t>
  </si>
  <si>
    <t>WHITTER AMALIA BALVIN TABARES</t>
  </si>
  <si>
    <t>BG017715</t>
  </si>
  <si>
    <t>CRA 50 #49-06</t>
  </si>
  <si>
    <t>mercamosvegachi@gmail.com</t>
  </si>
  <si>
    <t>(+57) 3138199932</t>
  </si>
  <si>
    <t>0000095926</t>
  </si>
  <si>
    <t>0000091190</t>
  </si>
  <si>
    <t>0000091880</t>
  </si>
  <si>
    <t>M03997019</t>
  </si>
  <si>
    <t>B38ZCJWCFW</t>
  </si>
  <si>
    <t>PALMIRA</t>
  </si>
  <si>
    <t>CL 31 40 98 CASA 1</t>
  </si>
  <si>
    <t>(+57) 3113433344</t>
  </si>
  <si>
    <t>DA351813</t>
  </si>
  <si>
    <t>BG814327</t>
  </si>
  <si>
    <t>CIS EN PDF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</si>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</sst>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\ #,##0"/>
    <numFmt numFmtId="165" formatCode="d/mm/yyyy;@"/>
    <numFmt numFmtId="166" formatCode="dd/mm/yyyy;@"/>
    <numFmt numFmtId="167" formatCode="&quot;$&quot;\ #,##0.00"/>
    <numFmt numFmtId="168" formatCode="[$-F800]dddd\,\ mmmm\ dd\,\ yyyy"/>
  </numFmts>
  <fonts count="63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4" tint="0.79998168889431442"/>
      <name val="Calibri"/>
      <family val="2"/>
      <scheme val="minor"/>
    </font>
    <font>
      <b/>
      <sz val="26"/>
      <color theme="4" tint="0.79998168889431442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rgb="FF000000"/>
      <name val="Arial"/>
      <family val="2"/>
    </font>
    <font>
      <b/>
      <sz val="18"/>
      <name val="Calibri"/>
      <family val="2"/>
      <scheme val="minor"/>
    </font>
    <font>
      <b/>
      <sz val="16"/>
      <color theme="1"/>
      <name val="Arial Blac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8"/>
      <color theme="6" tint="-0.249977111117893"/>
      <name val="Britannic Bold"/>
      <family val="2"/>
    </font>
    <font>
      <sz val="11"/>
      <name val="Calibri"/>
      <family val="2"/>
      <scheme val="minor"/>
    </font>
    <font>
      <sz val="20"/>
      <color theme="1"/>
      <name val="Bahnschrift SemiBold SemiConden"/>
      <family val="2"/>
    </font>
    <font>
      <b/>
      <sz val="26"/>
      <color theme="5" tint="0.79998168889431442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32"/>
      <color theme="6" tint="-0.249977111117893"/>
      <name val="Britannic Bold"/>
      <family val="2"/>
    </font>
    <font>
      <u/>
      <sz val="10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8"/>
      <color theme="0" tint="-4.9989318521683403E-2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scadia Code Light"/>
      <family val="3"/>
    </font>
    <font>
      <sz val="8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0"/>
      <color rgb="FF000000"/>
      <name val="Algerian"/>
      <family val="5"/>
    </font>
    <font>
      <b/>
      <sz val="12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FDBF9"/>
        <bgColor indexed="64"/>
      </patternFill>
    </fill>
    <fill>
      <patternFill patternType="solid">
        <fgColor rgb="FF72FA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6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6" fillId="2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5" fillId="0" borderId="0"/>
    <xf numFmtId="0" fontId="3" fillId="0" borderId="0"/>
    <xf numFmtId="0" fontId="2" fillId="21" borderId="0" applyNumberFormat="0" applyBorder="0" applyAlignment="0" applyProtection="0"/>
    <xf numFmtId="0" fontId="50" fillId="0" borderId="0" applyNumberFormat="0" applyFill="0" applyBorder="0" applyAlignment="0" applyProtection="0"/>
    <xf numFmtId="0" fontId="1" fillId="0" borderId="0"/>
  </cellStyleXfs>
  <cellXfs count="175">
    <xf numFmtId="0" fontId="0" fillId="0" borderId="0" xfId="0"/>
    <xf numFmtId="0" fontId="9" fillId="4" borderId="0" xfId="1" applyFont="1" applyFill="1" applyBorder="1"/>
    <xf numFmtId="0" fontId="10" fillId="0" borderId="0" xfId="0" applyFont="1" applyAlignment="1">
      <alignment vertical="center"/>
    </xf>
    <xf numFmtId="0" fontId="8" fillId="4" borderId="0" xfId="3" applyFill="1"/>
    <xf numFmtId="0" fontId="12" fillId="4" borderId="0" xfId="3" applyFont="1" applyFill="1" applyAlignment="1">
      <alignment horizontal="right"/>
    </xf>
    <xf numFmtId="167" fontId="12" fillId="4" borderId="0" xfId="3" applyNumberFormat="1" applyFont="1" applyFill="1" applyAlignment="1">
      <alignment vertical="center"/>
    </xf>
    <xf numFmtId="0" fontId="5" fillId="4" borderId="0" xfId="4" applyFill="1" applyAlignment="1">
      <alignment horizontal="center"/>
    </xf>
    <xf numFmtId="0" fontId="5" fillId="4" borderId="0" xfId="4" applyFill="1"/>
    <xf numFmtId="0" fontId="5" fillId="4" borderId="0" xfId="4" applyFill="1" applyAlignment="1">
      <alignment horizontal="center" vertical="center"/>
    </xf>
    <xf numFmtId="0" fontId="5" fillId="10" borderId="0" xfId="4" applyFill="1" applyAlignment="1">
      <alignment horizontal="center" vertical="center"/>
    </xf>
    <xf numFmtId="0" fontId="5" fillId="0" borderId="0" xfId="4"/>
    <xf numFmtId="0" fontId="5" fillId="0" borderId="0" xfId="4" applyAlignment="1">
      <alignment horizontal="center"/>
    </xf>
    <xf numFmtId="0" fontId="25" fillId="2" borderId="0" xfId="1" applyFont="1" applyBorder="1" applyAlignment="1">
      <alignment horizontal="center" vertical="center" wrapText="1"/>
    </xf>
    <xf numFmtId="1" fontId="8" fillId="4" borderId="0" xfId="3" applyNumberFormat="1" applyFill="1" applyAlignment="1">
      <alignment horizontal="left"/>
    </xf>
    <xf numFmtId="164" fontId="8" fillId="4" borderId="0" xfId="3" applyNumberFormat="1" applyFill="1" applyAlignment="1">
      <alignment horizontal="center"/>
    </xf>
    <xf numFmtId="49" fontId="8" fillId="4" borderId="0" xfId="3" applyNumberFormat="1" applyFill="1"/>
    <xf numFmtId="0" fontId="8" fillId="4" borderId="0" xfId="3" applyFill="1" applyAlignment="1">
      <alignment horizontal="left"/>
    </xf>
    <xf numFmtId="0" fontId="4" fillId="14" borderId="0" xfId="4" applyFont="1" applyFill="1" applyAlignment="1">
      <alignment horizontal="center"/>
    </xf>
    <xf numFmtId="0" fontId="5" fillId="14" borderId="0" xfId="4" applyFill="1" applyAlignment="1">
      <alignment horizontal="center"/>
    </xf>
    <xf numFmtId="0" fontId="5" fillId="4" borderId="0" xfId="4" applyFill="1" applyBorder="1" applyAlignment="1">
      <alignment horizontal="center"/>
    </xf>
    <xf numFmtId="0" fontId="19" fillId="12" borderId="7" xfId="4" applyNumberFormat="1" applyFont="1" applyFill="1" applyBorder="1" applyAlignment="1">
      <alignment horizontal="center" vertical="center" wrapText="1"/>
    </xf>
    <xf numFmtId="0" fontId="20" fillId="12" borderId="7" xfId="4" applyNumberFormat="1" applyFont="1" applyFill="1" applyBorder="1" applyAlignment="1">
      <alignment horizontal="center" vertical="center" wrapText="1"/>
    </xf>
    <xf numFmtId="0" fontId="21" fillId="12" borderId="7" xfId="4" applyNumberFormat="1" applyFont="1" applyFill="1" applyBorder="1" applyAlignment="1">
      <alignment horizontal="center" vertical="center" wrapText="1"/>
    </xf>
    <xf numFmtId="0" fontId="5" fillId="17" borderId="0" xfId="4" applyFill="1" applyBorder="1" applyAlignment="1">
      <alignment horizontal="center"/>
    </xf>
    <xf numFmtId="0" fontId="27" fillId="13" borderId="0" xfId="4" applyFont="1" applyFill="1" applyAlignment="1">
      <alignment horizontal="center"/>
    </xf>
    <xf numFmtId="0" fontId="23" fillId="4" borderId="0" xfId="4" applyFont="1" applyFill="1" applyAlignment="1">
      <alignment horizontal="center"/>
    </xf>
    <xf numFmtId="0" fontId="36" fillId="12" borderId="5" xfId="4" applyNumberFormat="1" applyFont="1" applyFill="1" applyBorder="1" applyAlignment="1">
      <alignment horizontal="center" vertical="center"/>
    </xf>
    <xf numFmtId="0" fontId="0" fillId="4" borderId="0" xfId="0" applyFill="1"/>
    <xf numFmtId="0" fontId="16" fillId="4" borderId="0" xfId="4" applyFont="1" applyFill="1" applyAlignment="1">
      <alignment horizontal="right" vertical="center"/>
    </xf>
    <xf numFmtId="0" fontId="5" fillId="17" borderId="0" xfId="4" applyFill="1" applyAlignment="1">
      <alignment horizontal="center"/>
    </xf>
    <xf numFmtId="0" fontId="39" fillId="14" borderId="0" xfId="4" applyFont="1" applyFill="1" applyAlignment="1">
      <alignment horizontal="center"/>
    </xf>
    <xf numFmtId="0" fontId="23" fillId="7" borderId="0" xfId="4" applyFont="1" applyFill="1" applyAlignment="1">
      <alignment horizontal="center"/>
    </xf>
    <xf numFmtId="164" fontId="32" fillId="4" borderId="0" xfId="4" applyNumberFormat="1" applyFont="1" applyFill="1" applyAlignment="1">
      <alignment horizontal="center"/>
    </xf>
    <xf numFmtId="0" fontId="17" fillId="17" borderId="0" xfId="4" applyFont="1" applyFill="1" applyAlignment="1">
      <alignment horizontal="center"/>
    </xf>
    <xf numFmtId="0" fontId="31" fillId="17" borderId="0" xfId="4" applyFont="1" applyFill="1" applyAlignment="1">
      <alignment horizontal="center"/>
    </xf>
    <xf numFmtId="0" fontId="40" fillId="14" borderId="0" xfId="4" applyFont="1" applyFill="1" applyAlignment="1">
      <alignment horizontal="right" vertical="center"/>
    </xf>
    <xf numFmtId="0" fontId="40" fillId="14" borderId="0" xfId="4" applyFont="1" applyFill="1" applyAlignment="1">
      <alignment horizontal="center" vertical="center"/>
    </xf>
    <xf numFmtId="0" fontId="31" fillId="17" borderId="0" xfId="4" applyFont="1" applyFill="1" applyBorder="1" applyAlignment="1">
      <alignment horizontal="center"/>
    </xf>
    <xf numFmtId="0" fontId="33" fillId="4" borderId="0" xfId="4" applyFont="1" applyFill="1" applyBorder="1" applyAlignment="1">
      <alignment horizontal="center"/>
    </xf>
    <xf numFmtId="0" fontId="19" fillId="19" borderId="7" xfId="4" applyNumberFormat="1" applyFont="1" applyFill="1" applyBorder="1" applyAlignment="1">
      <alignment horizontal="center" vertical="center" wrapText="1"/>
    </xf>
    <xf numFmtId="0" fontId="20" fillId="19" borderId="7" xfId="4" applyNumberFormat="1" applyFont="1" applyFill="1" applyBorder="1" applyAlignment="1">
      <alignment horizontal="center" vertical="center" wrapText="1"/>
    </xf>
    <xf numFmtId="0" fontId="21" fillId="19" borderId="7" xfId="4" applyNumberFormat="1" applyFont="1" applyFill="1" applyBorder="1" applyAlignment="1">
      <alignment horizontal="center" vertical="center" wrapText="1"/>
    </xf>
    <xf numFmtId="0" fontId="26" fillId="4" borderId="0" xfId="4" applyFont="1" applyFill="1" applyAlignment="1">
      <alignment horizontal="center"/>
    </xf>
    <xf numFmtId="0" fontId="29" fillId="5" borderId="5" xfId="4" applyFont="1" applyFill="1" applyBorder="1" applyAlignment="1">
      <alignment horizontal="center" vertical="center" wrapText="1"/>
    </xf>
    <xf numFmtId="0" fontId="29" fillId="5" borderId="6" xfId="4" applyFont="1" applyFill="1" applyBorder="1" applyAlignment="1">
      <alignment horizontal="center" vertical="center" wrapText="1"/>
    </xf>
    <xf numFmtId="0" fontId="29" fillId="15" borderId="5" xfId="4" applyFont="1" applyFill="1" applyBorder="1" applyAlignment="1">
      <alignment horizontal="center" vertical="center" wrapText="1"/>
    </xf>
    <xf numFmtId="0" fontId="29" fillId="15" borderId="6" xfId="4" applyFont="1" applyFill="1" applyBorder="1" applyAlignment="1">
      <alignment horizontal="center" vertical="center" wrapText="1"/>
    </xf>
    <xf numFmtId="0" fontId="29" fillId="9" borderId="5" xfId="4" applyFont="1" applyFill="1" applyBorder="1" applyAlignment="1">
      <alignment horizontal="center" vertical="center" wrapText="1"/>
    </xf>
    <xf numFmtId="0" fontId="29" fillId="9" borderId="6" xfId="4" applyFont="1" applyFill="1" applyBorder="1" applyAlignment="1">
      <alignment horizontal="center" vertical="center" wrapText="1"/>
    </xf>
    <xf numFmtId="0" fontId="29" fillId="17" borderId="5" xfId="4" applyFont="1" applyFill="1" applyBorder="1" applyAlignment="1">
      <alignment horizontal="center" vertical="center" wrapText="1"/>
    </xf>
    <xf numFmtId="0" fontId="29" fillId="17" borderId="6" xfId="4" applyFont="1" applyFill="1" applyBorder="1" applyAlignment="1">
      <alignment horizontal="center" vertical="center" wrapText="1"/>
    </xf>
    <xf numFmtId="165" fontId="8" fillId="4" borderId="0" xfId="3" applyNumberFormat="1" applyFill="1"/>
    <xf numFmtId="164" fontId="18" fillId="4" borderId="14" xfId="4" applyNumberFormat="1" applyFont="1" applyFill="1" applyBorder="1" applyAlignment="1">
      <alignment horizontal="center"/>
    </xf>
    <xf numFmtId="164" fontId="22" fillId="0" borderId="14" xfId="4" applyNumberFormat="1" applyFont="1" applyFill="1" applyBorder="1" applyAlignment="1">
      <alignment horizontal="right"/>
    </xf>
    <xf numFmtId="164" fontId="22" fillId="0" borderId="9" xfId="4" applyNumberFormat="1" applyFont="1" applyFill="1" applyBorder="1" applyAlignment="1">
      <alignment horizontal="right"/>
    </xf>
    <xf numFmtId="164" fontId="23" fillId="0" borderId="10" xfId="4" applyNumberFormat="1" applyFont="1" applyFill="1" applyBorder="1" applyAlignment="1">
      <alignment horizontal="right"/>
    </xf>
    <xf numFmtId="0" fontId="8" fillId="4" borderId="0" xfId="3" applyFill="1" applyAlignment="1">
      <alignment horizontal="center"/>
    </xf>
    <xf numFmtId="0" fontId="13" fillId="8" borderId="0" xfId="3" applyFont="1" applyFill="1" applyAlignment="1">
      <alignment horizontal="left" vertical="center"/>
    </xf>
    <xf numFmtId="0" fontId="11" fillId="8" borderId="0" xfId="3" applyFont="1" applyFill="1" applyAlignment="1">
      <alignment horizontal="left" vertical="center"/>
    </xf>
    <xf numFmtId="0" fontId="11" fillId="8" borderId="0" xfId="3" applyFont="1" applyFill="1" applyAlignment="1">
      <alignment vertical="center"/>
    </xf>
    <xf numFmtId="166" fontId="8" fillId="4" borderId="0" xfId="3" applyNumberFormat="1" applyFill="1"/>
    <xf numFmtId="0" fontId="42" fillId="4" borderId="0" xfId="4" applyFont="1" applyFill="1" applyBorder="1" applyAlignment="1"/>
    <xf numFmtId="0" fontId="8" fillId="6" borderId="0" xfId="3" applyFill="1"/>
    <xf numFmtId="1" fontId="8" fillId="4" borderId="0" xfId="3" applyNumberFormat="1" applyFill="1" applyAlignment="1">
      <alignment horizontal="right"/>
    </xf>
    <xf numFmtId="165" fontId="8" fillId="4" borderId="0" xfId="3" applyNumberFormat="1" applyFill="1" applyAlignment="1">
      <alignment horizontal="right"/>
    </xf>
    <xf numFmtId="49" fontId="8" fillId="4" borderId="0" xfId="3" applyNumberFormat="1" applyFill="1" applyAlignment="1">
      <alignment horizontal="left"/>
    </xf>
    <xf numFmtId="164" fontId="8" fillId="4" borderId="0" xfId="3" applyNumberFormat="1" applyFill="1"/>
    <xf numFmtId="164" fontId="22" fillId="0" borderId="3" xfId="4" applyNumberFormat="1" applyFont="1" applyFill="1" applyBorder="1" applyAlignment="1">
      <alignment horizontal="right"/>
    </xf>
    <xf numFmtId="3" fontId="18" fillId="4" borderId="14" xfId="4" applyNumberFormat="1" applyFont="1" applyFill="1" applyBorder="1" applyAlignment="1">
      <alignment horizontal="center"/>
    </xf>
    <xf numFmtId="0" fontId="18" fillId="0" borderId="9" xfId="4" applyNumberFormat="1" applyFont="1" applyFill="1" applyBorder="1" applyAlignment="1">
      <alignment horizontal="center"/>
    </xf>
    <xf numFmtId="0" fontId="23" fillId="17" borderId="0" xfId="4" applyFont="1" applyFill="1" applyAlignment="1">
      <alignment horizontal="center"/>
    </xf>
    <xf numFmtId="0" fontId="45" fillId="4" borderId="0" xfId="4" applyFont="1" applyFill="1" applyAlignment="1">
      <alignment horizontal="center" wrapText="1"/>
    </xf>
    <xf numFmtId="0" fontId="46" fillId="4" borderId="0" xfId="4" applyFont="1" applyFill="1"/>
    <xf numFmtId="0" fontId="41" fillId="20" borderId="7" xfId="4" applyFont="1" applyFill="1" applyBorder="1" applyAlignment="1">
      <alignment horizontal="center" vertical="center" wrapText="1"/>
    </xf>
    <xf numFmtId="0" fontId="41" fillId="23" borderId="8" xfId="4" applyFont="1" applyFill="1" applyBorder="1" applyAlignment="1">
      <alignment horizontal="center" vertical="center" wrapText="1"/>
    </xf>
    <xf numFmtId="0" fontId="24" fillId="11" borderId="7" xfId="4" applyFont="1" applyFill="1" applyBorder="1" applyAlignment="1">
      <alignment horizontal="center" vertical="center" wrapText="1"/>
    </xf>
    <xf numFmtId="0" fontId="24" fillId="11" borderId="8" xfId="4" applyFont="1" applyFill="1" applyBorder="1" applyAlignment="1">
      <alignment horizontal="center" vertical="center" wrapText="1"/>
    </xf>
    <xf numFmtId="0" fontId="24" fillId="9" borderId="7" xfId="4" applyFont="1" applyFill="1" applyBorder="1" applyAlignment="1">
      <alignment horizontal="center" vertical="center" wrapText="1"/>
    </xf>
    <xf numFmtId="9" fontId="24" fillId="17" borderId="8" xfId="4" applyNumberFormat="1" applyFont="1" applyFill="1" applyBorder="1" applyAlignment="1">
      <alignment horizontal="center" vertical="center" wrapText="1"/>
    </xf>
    <xf numFmtId="0" fontId="46" fillId="4" borderId="0" xfId="4" applyFont="1" applyFill="1" applyAlignment="1">
      <alignment horizontal="center" vertical="center"/>
    </xf>
    <xf numFmtId="0" fontId="14" fillId="0" borderId="0" xfId="0" applyFont="1"/>
    <xf numFmtId="0" fontId="41" fillId="20" borderId="15" xfId="4" applyFont="1" applyFill="1" applyBorder="1" applyAlignment="1">
      <alignment horizontal="center" vertical="center" wrapText="1"/>
    </xf>
    <xf numFmtId="0" fontId="21" fillId="19" borderId="7" xfId="4" applyFont="1" applyFill="1" applyBorder="1" applyAlignment="1">
      <alignment horizontal="center" vertical="center" wrapText="1"/>
    </xf>
    <xf numFmtId="164" fontId="22" fillId="4" borderId="0" xfId="4" applyNumberFormat="1" applyFont="1" applyFill="1" applyBorder="1" applyAlignment="1">
      <alignment horizontal="center"/>
    </xf>
    <xf numFmtId="9" fontId="22" fillId="4" borderId="0" xfId="4" applyNumberFormat="1" applyFont="1" applyFill="1" applyBorder="1" applyAlignment="1">
      <alignment horizontal="center"/>
    </xf>
    <xf numFmtId="164" fontId="22" fillId="24" borderId="0" xfId="4" applyNumberFormat="1" applyFont="1" applyFill="1" applyBorder="1" applyAlignment="1">
      <alignment horizontal="center"/>
    </xf>
    <xf numFmtId="9" fontId="44" fillId="24" borderId="0" xfId="4" applyNumberFormat="1" applyFont="1" applyFill="1" applyBorder="1" applyAlignment="1">
      <alignment horizontal="center"/>
    </xf>
    <xf numFmtId="164" fontId="33" fillId="25" borderId="2" xfId="4" applyNumberFormat="1" applyFont="1" applyFill="1" applyBorder="1" applyAlignment="1">
      <alignment horizontal="center"/>
    </xf>
    <xf numFmtId="164" fontId="32" fillId="25" borderId="2" xfId="4" applyNumberFormat="1" applyFont="1" applyFill="1" applyBorder="1" applyAlignment="1">
      <alignment horizontal="center"/>
    </xf>
    <xf numFmtId="0" fontId="39" fillId="17" borderId="0" xfId="4" applyFont="1" applyFill="1" applyAlignment="1">
      <alignment horizontal="center"/>
    </xf>
    <xf numFmtId="164" fontId="32" fillId="0" borderId="0" xfId="4" applyNumberFormat="1" applyFont="1" applyFill="1" applyAlignment="1">
      <alignment horizontal="center"/>
    </xf>
    <xf numFmtId="0" fontId="0" fillId="0" borderId="0" xfId="0" applyFill="1"/>
    <xf numFmtId="0" fontId="5" fillId="0" borderId="0" xfId="4" applyFill="1" applyAlignment="1"/>
    <xf numFmtId="0" fontId="43" fillId="17" borderId="0" xfId="4" applyFont="1" applyFill="1" applyAlignment="1">
      <alignment horizontal="center"/>
    </xf>
    <xf numFmtId="0" fontId="48" fillId="18" borderId="0" xfId="4" applyFont="1" applyFill="1" applyBorder="1" applyAlignment="1">
      <alignment horizontal="center"/>
    </xf>
    <xf numFmtId="0" fontId="5" fillId="17" borderId="19" xfId="4" applyFill="1" applyBorder="1" applyAlignment="1">
      <alignment horizontal="center"/>
    </xf>
    <xf numFmtId="164" fontId="33" fillId="4" borderId="0" xfId="4" applyNumberFormat="1" applyFont="1" applyFill="1" applyBorder="1" applyAlignment="1">
      <alignment horizontal="center"/>
    </xf>
    <xf numFmtId="0" fontId="34" fillId="18" borderId="18" xfId="4" applyFont="1" applyFill="1" applyBorder="1" applyAlignment="1">
      <alignment horizontal="center"/>
    </xf>
    <xf numFmtId="164" fontId="33" fillId="4" borderId="20" xfId="4" applyNumberFormat="1" applyFont="1" applyFill="1" applyBorder="1" applyAlignment="1">
      <alignment horizontal="center"/>
    </xf>
    <xf numFmtId="0" fontId="18" fillId="7" borderId="12" xfId="4" applyFont="1" applyFill="1" applyBorder="1" applyAlignment="1">
      <alignment horizontal="center" vertical="center"/>
    </xf>
    <xf numFmtId="0" fontId="34" fillId="18" borderId="0" xfId="4" applyFont="1" applyFill="1" applyBorder="1" applyAlignment="1">
      <alignment horizontal="center" vertical="center"/>
    </xf>
    <xf numFmtId="0" fontId="35" fillId="18" borderId="0" xfId="4" applyFont="1" applyFill="1" applyAlignment="1">
      <alignment horizontal="center" vertical="center"/>
    </xf>
    <xf numFmtId="0" fontId="50" fillId="4" borderId="0" xfId="7" applyFill="1" applyAlignment="1">
      <alignment vertical="center"/>
    </xf>
    <xf numFmtId="9" fontId="52" fillId="23" borderId="0" xfId="3" applyNumberFormat="1" applyFont="1" applyFill="1" applyAlignment="1">
      <alignment horizontal="right"/>
    </xf>
    <xf numFmtId="0" fontId="55" fillId="23" borderId="0" xfId="3" applyFont="1" applyFill="1" applyAlignment="1">
      <alignment horizontal="right"/>
    </xf>
    <xf numFmtId="9" fontId="55" fillId="23" borderId="0" xfId="3" applyNumberFormat="1" applyFont="1" applyFill="1" applyAlignment="1">
      <alignment horizontal="right"/>
    </xf>
    <xf numFmtId="167" fontId="15" fillId="5" borderId="2" xfId="3" applyNumberFormat="1" applyFont="1" applyFill="1" applyBorder="1" applyAlignment="1">
      <alignment vertical="center"/>
    </xf>
    <xf numFmtId="0" fontId="56" fillId="2" borderId="0" xfId="1" applyFont="1" applyBorder="1" applyAlignment="1">
      <alignment horizontal="center" vertical="center" wrapText="1"/>
    </xf>
    <xf numFmtId="0" fontId="57" fillId="3" borderId="0" xfId="2" applyFont="1" applyBorder="1" applyAlignment="1">
      <alignment horizontal="center" vertical="center" wrapText="1"/>
    </xf>
    <xf numFmtId="0" fontId="58" fillId="21" borderId="0" xfId="6" applyFont="1" applyBorder="1" applyAlignment="1">
      <alignment horizontal="center" vertical="center" wrapText="1"/>
    </xf>
    <xf numFmtId="164" fontId="8" fillId="6" borderId="0" xfId="3" applyNumberFormat="1" applyFill="1" applyAlignment="1">
      <alignment horizontal="center"/>
    </xf>
    <xf numFmtId="49" fontId="8" fillId="6" borderId="0" xfId="3" applyNumberFormat="1" applyFill="1"/>
    <xf numFmtId="164" fontId="8" fillId="26" borderId="0" xfId="3" applyNumberFormat="1" applyFill="1" applyAlignment="1">
      <alignment horizontal="center"/>
    </xf>
    <xf numFmtId="49" fontId="8" fillId="26" borderId="0" xfId="3" applyNumberFormat="1" applyFill="1"/>
    <xf numFmtId="49" fontId="8" fillId="24" borderId="0" xfId="3" applyNumberFormat="1" applyFill="1"/>
    <xf numFmtId="0" fontId="8" fillId="27" borderId="0" xfId="3" applyFill="1" applyAlignment="1">
      <alignment horizontal="left"/>
    </xf>
    <xf numFmtId="0" fontId="32" fillId="16" borderId="0" xfId="4" applyFont="1" applyFill="1" applyAlignment="1">
      <alignment horizontal="center"/>
    </xf>
    <xf numFmtId="0" fontId="18" fillId="4" borderId="14" xfId="4" applyFont="1" applyFill="1" applyBorder="1" applyAlignment="1">
      <alignment horizontal="center"/>
    </xf>
    <xf numFmtId="0" fontId="28" fillId="0" borderId="10" xfId="4" applyFont="1" applyBorder="1" applyAlignment="1">
      <alignment horizontal="left"/>
    </xf>
    <xf numFmtId="164" fontId="22" fillId="4" borderId="0" xfId="4" applyNumberFormat="1" applyFont="1" applyFill="1" applyAlignment="1">
      <alignment horizontal="center"/>
    </xf>
    <xf numFmtId="9" fontId="22" fillId="4" borderId="0" xfId="4" applyNumberFormat="1" applyFont="1" applyFill="1" applyAlignment="1">
      <alignment horizontal="center"/>
    </xf>
    <xf numFmtId="9" fontId="44" fillId="24" borderId="0" xfId="4" applyNumberFormat="1" applyFont="1" applyFill="1" applyAlignment="1">
      <alignment horizontal="center"/>
    </xf>
    <xf numFmtId="0" fontId="37" fillId="12" borderId="11" xfId="4" applyFont="1" applyFill="1" applyBorder="1" applyAlignment="1">
      <alignment horizontal="center" vertical="center" wrapText="1"/>
    </xf>
    <xf numFmtId="0" fontId="27" fillId="12" borderId="11" xfId="4" applyFont="1" applyFill="1" applyBorder="1" applyAlignment="1">
      <alignment horizontal="center" vertical="center"/>
    </xf>
    <xf numFmtId="0" fontId="37" fillId="12" borderId="5" xfId="4" applyFont="1" applyFill="1" applyBorder="1" applyAlignment="1">
      <alignment horizontal="center" vertical="center" wrapText="1"/>
    </xf>
    <xf numFmtId="0" fontId="27" fillId="12" borderId="5" xfId="4" applyFont="1" applyFill="1" applyBorder="1" applyAlignment="1">
      <alignment horizontal="center" vertical="center"/>
    </xf>
    <xf numFmtId="0" fontId="29" fillId="6" borderId="5" xfId="4" applyFont="1" applyFill="1" applyBorder="1" applyAlignment="1">
      <alignment horizontal="center" vertical="center" wrapText="1"/>
    </xf>
    <xf numFmtId="0" fontId="29" fillId="6" borderId="6" xfId="4" applyFont="1" applyFill="1" applyBorder="1" applyAlignment="1">
      <alignment horizontal="center" vertical="center" wrapText="1"/>
    </xf>
    <xf numFmtId="0" fontId="29" fillId="10" borderId="5" xfId="4" applyFont="1" applyFill="1" applyBorder="1" applyAlignment="1">
      <alignment horizontal="center" vertical="center" wrapText="1"/>
    </xf>
    <xf numFmtId="0" fontId="29" fillId="10" borderId="6" xfId="4" applyFont="1" applyFill="1" applyBorder="1" applyAlignment="1">
      <alignment horizontal="center" vertical="center" wrapText="1"/>
    </xf>
    <xf numFmtId="0" fontId="29" fillId="28" borderId="5" xfId="4" applyFont="1" applyFill="1" applyBorder="1" applyAlignment="1">
      <alignment horizontal="center" vertical="center" wrapText="1"/>
    </xf>
    <xf numFmtId="0" fontId="29" fillId="28" borderId="6" xfId="4" applyFont="1" applyFill="1" applyBorder="1" applyAlignment="1">
      <alignment horizontal="center" vertical="center" wrapText="1"/>
    </xf>
    <xf numFmtId="164" fontId="23" fillId="0" borderId="26" xfId="4" applyNumberFormat="1" applyFont="1" applyFill="1" applyBorder="1" applyAlignment="1">
      <alignment horizontal="right"/>
    </xf>
    <xf numFmtId="0" fontId="0" fillId="17" borderId="0" xfId="0" applyFill="1"/>
    <xf numFmtId="0" fontId="5" fillId="17" borderId="0" xfId="4" applyFill="1" applyAlignment="1"/>
    <xf numFmtId="166" fontId="8" fillId="27" borderId="0" xfId="3" applyNumberFormat="1" applyFill="1"/>
    <xf numFmtId="1" fontId="8" fillId="6" borderId="0" xfId="3" applyNumberFormat="1" applyFill="1" applyAlignment="1">
      <alignment horizontal="right"/>
    </xf>
    <xf numFmtId="1" fontId="8" fillId="26" borderId="0" xfId="3" applyNumberFormat="1" applyFill="1" applyAlignment="1">
      <alignment horizontal="right"/>
    </xf>
    <xf numFmtId="0" fontId="57" fillId="29" borderId="7" xfId="8" applyFont="1" applyFill="1" applyBorder="1" applyAlignment="1">
      <alignment horizontal="left" vertical="center" wrapText="1"/>
    </xf>
    <xf numFmtId="0" fontId="8" fillId="0" borderId="0" xfId="3" applyAlignment="1">
      <alignment horizontal="left"/>
    </xf>
    <xf numFmtId="15" fontId="8" fillId="0" borderId="0" xfId="3" applyNumberFormat="1" applyAlignment="1">
      <alignment horizontal="left"/>
    </xf>
    <xf numFmtId="0" fontId="0" fillId="0" borderId="0" xfId="0" applyAlignment="1">
      <alignment horizontal="left"/>
    </xf>
    <xf numFmtId="0" fontId="41" fillId="22" borderId="15" xfId="4" applyFont="1" applyFill="1" applyBorder="1" applyAlignment="1">
      <alignment horizontal="center" vertical="center" wrapText="1"/>
    </xf>
    <xf numFmtId="0" fontId="41" fillId="22" borderId="17" xfId="4" applyFont="1" applyFill="1" applyBorder="1" applyAlignment="1">
      <alignment horizontal="center" vertical="center" wrapText="1"/>
    </xf>
    <xf numFmtId="0" fontId="41" fillId="22" borderId="16" xfId="4" applyFont="1" applyFill="1" applyBorder="1" applyAlignment="1">
      <alignment horizontal="center" vertical="center" wrapText="1"/>
    </xf>
    <xf numFmtId="0" fontId="38" fillId="4" borderId="0" xfId="4" applyFont="1" applyFill="1" applyBorder="1" applyAlignment="1">
      <alignment horizontal="left" vertical="center"/>
    </xf>
    <xf numFmtId="0" fontId="30" fillId="5" borderId="4" xfId="4" applyFont="1" applyFill="1" applyBorder="1" applyAlignment="1">
      <alignment horizontal="center" vertical="center"/>
    </xf>
    <xf numFmtId="0" fontId="30" fillId="15" borderId="4" xfId="4" applyFont="1" applyFill="1" applyBorder="1" applyAlignment="1">
      <alignment horizontal="center" vertical="center"/>
    </xf>
    <xf numFmtId="0" fontId="30" fillId="9" borderId="4" xfId="4" applyFont="1" applyFill="1" applyBorder="1" applyAlignment="1">
      <alignment horizontal="center" vertical="center" wrapText="1"/>
    </xf>
    <xf numFmtId="0" fontId="30" fillId="17" borderId="4" xfId="4" applyFont="1" applyFill="1" applyBorder="1" applyAlignment="1">
      <alignment horizontal="center" vertical="center" wrapText="1"/>
    </xf>
    <xf numFmtId="0" fontId="30" fillId="6" borderId="4" xfId="4" applyFont="1" applyFill="1" applyBorder="1" applyAlignment="1">
      <alignment horizontal="center" vertical="center" wrapText="1"/>
    </xf>
    <xf numFmtId="0" fontId="30" fillId="10" borderId="4" xfId="4" applyFont="1" applyFill="1" applyBorder="1" applyAlignment="1">
      <alignment horizontal="center" vertical="center"/>
    </xf>
    <xf numFmtId="0" fontId="30" fillId="28" borderId="4" xfId="4" applyFont="1" applyFill="1" applyBorder="1" applyAlignment="1">
      <alignment horizontal="center" vertical="center" wrapText="1"/>
    </xf>
    <xf numFmtId="0" fontId="30" fillId="28" borderId="25" xfId="4" applyFont="1" applyFill="1" applyBorder="1" applyAlignment="1">
      <alignment horizontal="center" vertical="center" wrapText="1"/>
    </xf>
    <xf numFmtId="9" fontId="53" fillId="26" borderId="0" xfId="3" applyNumberFormat="1" applyFont="1" applyFill="1" applyAlignment="1">
      <alignment horizontal="right"/>
    </xf>
    <xf numFmtId="0" fontId="53" fillId="26" borderId="0" xfId="3" applyFont="1" applyFill="1" applyAlignment="1">
      <alignment horizontal="right"/>
    </xf>
    <xf numFmtId="164" fontId="47" fillId="7" borderId="24" xfId="3" applyNumberFormat="1" applyFont="1" applyFill="1" applyBorder="1" applyAlignment="1">
      <alignment horizontal="left" vertical="center"/>
    </xf>
    <xf numFmtId="164" fontId="47" fillId="7" borderId="4" xfId="3" applyNumberFormat="1" applyFont="1" applyFill="1" applyBorder="1" applyAlignment="1">
      <alignment horizontal="left" vertical="center"/>
    </xf>
    <xf numFmtId="164" fontId="47" fillId="7" borderId="25" xfId="3" applyNumberFormat="1" applyFont="1" applyFill="1" applyBorder="1" applyAlignment="1">
      <alignment horizontal="left" vertical="center"/>
    </xf>
    <xf numFmtId="164" fontId="47" fillId="7" borderId="13" xfId="3" applyNumberFormat="1" applyFont="1" applyFill="1" applyBorder="1" applyAlignment="1">
      <alignment horizontal="left" vertical="center"/>
    </xf>
    <xf numFmtId="164" fontId="47" fillId="7" borderId="0" xfId="3" applyNumberFormat="1" applyFont="1" applyFill="1" applyBorder="1" applyAlignment="1">
      <alignment horizontal="left" vertical="center"/>
    </xf>
    <xf numFmtId="164" fontId="47" fillId="7" borderId="21" xfId="3" applyNumberFormat="1" applyFont="1" applyFill="1" applyBorder="1" applyAlignment="1">
      <alignment horizontal="left" vertical="center"/>
    </xf>
    <xf numFmtId="164" fontId="47" fillId="4" borderId="5" xfId="3" applyNumberFormat="1" applyFont="1" applyFill="1" applyBorder="1" applyAlignment="1">
      <alignment horizontal="left" vertical="center"/>
    </xf>
    <xf numFmtId="164" fontId="47" fillId="4" borderId="22" xfId="3" applyNumberFormat="1" applyFont="1" applyFill="1" applyBorder="1" applyAlignment="1">
      <alignment horizontal="left" vertical="center"/>
    </xf>
    <xf numFmtId="164" fontId="47" fillId="4" borderId="23" xfId="3" applyNumberFormat="1" applyFont="1" applyFill="1" applyBorder="1" applyAlignment="1">
      <alignment horizontal="left" vertical="center"/>
    </xf>
    <xf numFmtId="168" fontId="62" fillId="5" borderId="0" xfId="0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49" fillId="4" borderId="0" xfId="4" applyFont="1" applyFill="1" applyBorder="1" applyAlignment="1">
      <alignment horizontal="center" vertical="center"/>
    </xf>
    <xf numFmtId="0" fontId="60" fillId="5" borderId="13" xfId="4" applyFont="1" applyFill="1" applyBorder="1" applyAlignment="1">
      <alignment horizontal="left"/>
    </xf>
    <xf numFmtId="0" fontId="60" fillId="5" borderId="0" xfId="4" applyFont="1" applyFill="1" applyBorder="1" applyAlignment="1">
      <alignment horizontal="left"/>
    </xf>
    <xf numFmtId="0" fontId="33" fillId="16" borderId="0" xfId="4" applyFont="1" applyFill="1" applyBorder="1" applyAlignment="1">
      <alignment horizontal="center"/>
    </xf>
    <xf numFmtId="0" fontId="51" fillId="7" borderId="0" xfId="3" applyFont="1" applyFill="1" applyAlignment="1">
      <alignment horizontal="center" vertical="top" wrapText="1"/>
    </xf>
    <xf numFmtId="0" fontId="15" fillId="7" borderId="0" xfId="3" applyFont="1" applyFill="1" applyAlignment="1">
      <alignment horizontal="center"/>
    </xf>
    <xf numFmtId="0" fontId="54" fillId="12" borderId="4" xfId="3" applyFont="1" applyFill="1" applyBorder="1" applyAlignment="1">
      <alignment horizontal="center"/>
    </xf>
    <xf numFmtId="0" fontId="54" fillId="12" borderId="0" xfId="3" applyFont="1" applyFill="1" applyAlignment="1">
      <alignment horizontal="right"/>
    </xf>
  </cellXfs>
  <cellStyles count="9">
    <cellStyle name="20% - Énfasis6 2" xfId="6" xr:uid="{C90DDD92-CE69-47E0-806F-7531B85B232B}"/>
    <cellStyle name="Celda de comprobación" xfId="2" builtinId="23"/>
    <cellStyle name="Hipervínculo" xfId="7" builtinId="8"/>
    <cellStyle name="Neutral" xfId="1" builtinId="28"/>
    <cellStyle name="Normal" xfId="0" builtinId="0"/>
    <cellStyle name="Normal 2" xfId="3" xr:uid="{A58FF782-1C81-47A9-938A-AF560EEE3662}"/>
    <cellStyle name="Normal 3" xfId="4" xr:uid="{3267825F-23EB-4266-9502-D21803C62868}"/>
    <cellStyle name="Normal 3 2" xfId="5" xr:uid="{5B457A1D-C3DE-4484-8FDA-CE414A4DCC1D}"/>
    <cellStyle name="Normal 3 3" xfId="8" xr:uid="{FD43C4BA-EE9A-4E8F-9DE9-54DC57A30FC5}"/>
  </cellStyles>
  <dxfs count="16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FF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72FAF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</dxfs>
  <tableStyles count="1" defaultTableStyle="TableStyleMedium2" defaultPivotStyle="PivotStyleLight16">
    <tableStyle name="Estilo de tabla 1" pivot="0" count="0" xr9:uid="{BC7E869B-C3ED-4D3A-9D58-BA0817A44A7E}"/>
  </tableStyles>
  <colors>
    <mruColors>
      <color rgb="FFFFF7E1"/>
      <color rgb="FFDFDBF9"/>
      <color rgb="FF72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1</xdr:rowOff>
    </xdr:from>
    <xdr:to>
      <xdr:col>2</xdr:col>
      <xdr:colOff>568327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CAB5F-7BF1-45AD-B571-8FB631C4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71626" y="1"/>
          <a:ext cx="3640139" cy="364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607252</xdr:colOff>
      <xdr:row>1</xdr:row>
      <xdr:rowOff>98961</xdr:rowOff>
    </xdr:from>
    <xdr:to>
      <xdr:col>10</xdr:col>
      <xdr:colOff>204107</xdr:colOff>
      <xdr:row>29</xdr:row>
      <xdr:rowOff>163286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BF3EB24-38B4-44C3-AC4E-71E901D9C748}"/>
            </a:ext>
          </a:extLst>
        </xdr:cNvPr>
        <xdr:cNvSpPr/>
      </xdr:nvSpPr>
      <xdr:spPr>
        <a:xfrm>
          <a:off x="2131252" y="262247"/>
          <a:ext cx="11135712" cy="8555182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345127</xdr:colOff>
      <xdr:row>4</xdr:row>
      <xdr:rowOff>74098</xdr:rowOff>
    </xdr:from>
    <xdr:to>
      <xdr:col>8</xdr:col>
      <xdr:colOff>2217964</xdr:colOff>
      <xdr:row>8</xdr:row>
      <xdr:rowOff>288593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695A1F7-6B28-4A8A-A5E4-A6DF1AE8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965377" y="754455"/>
          <a:ext cx="1872837" cy="1888174"/>
        </a:xfrm>
        <a:prstGeom prst="rect">
          <a:avLst/>
        </a:prstGeom>
      </xdr:spPr>
    </xdr:pic>
    <xdr:clientData/>
  </xdr:twoCellAnchor>
  <xdr:twoCellAnchor>
    <xdr:from>
      <xdr:col>11</xdr:col>
      <xdr:colOff>693965</xdr:colOff>
      <xdr:row>4</xdr:row>
      <xdr:rowOff>421823</xdr:rowOff>
    </xdr:from>
    <xdr:to>
      <xdr:col>13</xdr:col>
      <xdr:colOff>566013</xdr:colOff>
      <xdr:row>6</xdr:row>
      <xdr:rowOff>122466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2634F6B-044A-48DB-B98A-4074D056E9C4}"/>
            </a:ext>
          </a:extLst>
        </xdr:cNvPr>
        <xdr:cNvSpPr/>
      </xdr:nvSpPr>
      <xdr:spPr>
        <a:xfrm>
          <a:off x="14518822" y="1115787"/>
          <a:ext cx="1586548" cy="476250"/>
        </a:xfrm>
        <a:prstGeom prst="rightArrow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TRM</a:t>
          </a:r>
          <a:r>
            <a:rPr lang="es-CO" sz="1600" baseline="0"/>
            <a:t> </a:t>
          </a:r>
          <a:r>
            <a:rPr lang="es-CO" sz="1600" b="1" baseline="0"/>
            <a:t>AQUÍ</a:t>
          </a:r>
          <a:endParaRPr lang="es-CO" sz="16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B5F03-0682-406B-8ADF-38315312E67D}" name="Tabla3" displayName="Tabla3" ref="A19:AB43" totalsRowShown="0">
  <autoFilter ref="A19:AB43" xr:uid="{189B5F03-0682-406B-8ADF-38315312E67D}"/>
  <sortState xmlns:xlrd2="http://schemas.microsoft.com/office/spreadsheetml/2017/richdata2" ref="A20:T28">
    <sortCondition ref="C20:C28"/>
  </sortState>
  <tableColumns count="28">
    <tableColumn id="1" xr3:uid="{24928231-2D11-450F-A164-9DCC0B4F2FA4}" name="LISTA" dataDxfId="1612" dataCellStyle="Normal 3">
      <calculatedColumnFormula>(A19+1)</calculatedColumnFormula>
    </tableColumn>
    <tableColumn id="2" xr3:uid="{26996E8E-494E-49B5-8DA5-60DDB5FAB7C0}" name="CC-ID-DNI" dataDxfId="1611" dataCellStyle="Normal 3"/>
    <tableColumn id="21" xr3:uid="{940FA4C9-8C82-45D9-8FE5-780FB0A652A6}" name="NOMBRE" dataDxfId="1610" dataCellStyle="Normal 3"/>
    <tableColumn id="4" xr3:uid="{1FD2DB22-FDB6-41E3-BC33-776BA57625FB}" name="CANT" dataDxfId="1609" dataCellStyle="Normal 3"/>
    <tableColumn id="5" xr3:uid="{87BD2DDF-3751-41C6-BDDB-7A5ABB14FFD1}" name="MONTO" dataDxfId="1608" dataCellStyle="Normal 3">
      <calculatedColumnFormula>(Tabla3[[#This Row],[CANT]]*5000000)</calculatedColumnFormula>
    </tableColumn>
    <tableColumn id="6" xr3:uid="{164D5526-0F4D-46C0-AF53-4865FA82E041}" name="CANT2" dataDxfId="1607" dataCellStyle="Normal 3"/>
    <tableColumn id="7" xr3:uid="{27356B0F-A0CC-47B8-AC1D-43DA285AFD9C}" name="MONTO2" dataDxfId="1606" dataCellStyle="Normal 3"/>
    <tableColumn id="8" xr3:uid="{E7312A44-1FA2-4BA4-9AE0-D0D6ED06925F}" name="CANT3" dataDxfId="1605" dataCellStyle="Normal 3"/>
    <tableColumn id="9" xr3:uid="{C09806EE-B718-4A53-8362-DA4B910374D0}" name="MONTO3" dataDxfId="1604" dataCellStyle="Normal 3"/>
    <tableColumn id="10" xr3:uid="{1F1E94B6-2632-46FD-A511-095BB8BE3DCC}" name="CANT4" dataDxfId="1603" dataCellStyle="Normal 3"/>
    <tableColumn id="11" xr3:uid="{43AB87BB-D6EB-44DD-8CF3-A356C2F817F9}" name="MONTO4" dataDxfId="1602" dataCellStyle="Normal 3"/>
    <tableColumn id="14" xr3:uid="{3C5090B3-2969-4011-9FA9-4608618A963C}" name="CANT5" dataDxfId="1601" dataCellStyle="Normal 3"/>
    <tableColumn id="15" xr3:uid="{A0169FA0-BD83-4F2D-A3D9-70587DE4CC1E}" name="MONTO5" dataDxfId="1600" dataCellStyle="Normal 3"/>
    <tableColumn id="16" xr3:uid="{DE61D1F8-5885-4690-A360-A9DC7FB4E2F2}" name="CANT6" dataDxfId="1599" dataCellStyle="Normal 3"/>
    <tableColumn id="17" xr3:uid="{B8E06A2B-4369-4C3E-82E3-924E01D47E8D}" name="MONTO6" dataDxfId="1598" dataCellStyle="Normal 3"/>
    <tableColumn id="13" xr3:uid="{C629C21B-7E1F-4D25-9B5C-A8334C4BE981}" name="CANT7" dataDxfId="1597" dataCellStyle="Normal 3"/>
    <tableColumn id="12" xr3:uid="{2AD4D448-D8E8-414E-BEFF-EC4118631CB1}" name="MONTO7" dataDxfId="1596" dataCellStyle="Normal 3"/>
    <tableColumn id="18" xr3:uid="{370850A5-8634-4FA6-A75E-BD9FA7347480}" name="USD" dataDxfId="1595" dataCellStyle="Normal 3">
      <calculatedColumnFormula>(Tabla3[[#This Row],[MONTO]]+Tabla3[[#This Row],[MONTO2]]+Tabla3[[#This Row],[MONTO3]]+Tabla3[[#This Row],[MONTO4]]+Tabla3[[#This Row],[MONTO5]]+Tabla3[[#This Row],[MONTO6]]+Tabla3[[#This Row],[MONTO7]])</calculatedColumnFormula>
    </tableColumn>
    <tableColumn id="19" xr3:uid="{48A6BD56-5370-47EB-9C51-7ACFF538DD6C}" name="TOTAL -10%" dataDxfId="1594" dataCellStyle="Normal 3">
      <calculatedColumnFormula>R20-(R20*10%)</calculatedColumnFormula>
    </tableColumn>
    <tableColumn id="20" xr3:uid="{A8971EC0-711A-45DC-8FF1-2D0C44FDF9BF}" name="1% PAGO INICIAL" dataDxfId="1593" dataCellStyle="Normal 3">
      <calculatedColumnFormula>(S20*1%)</calculatedColumnFormula>
    </tableColumn>
    <tableColumn id="3" xr3:uid="{5A1D69C9-F75C-4FFA-8FDD-78291A593FD1}" name="% FIDUCIA" dataDxfId="1592" dataCellStyle="Normal 3">
      <calculatedColumnFormula>(Tabla3[[#This Row],[TOTAL -10%]]*Tabla3[[#This Row],[FIDUCIA]])</calculatedColumnFormula>
    </tableColumn>
    <tableColumn id="22" xr3:uid="{9EA602FB-B13A-4E3D-94AB-782E9F338FDC}" name="% NUBE" dataDxfId="1591" dataCellStyle="Normal 3">
      <calculatedColumnFormula>(Tabla3[[#This Row],[TOTAL -10%]]*Tabla3[[#This Row],[NUBE]])</calculatedColumnFormula>
    </tableColumn>
    <tableColumn id="23" xr3:uid="{C4526160-8BD3-4C5C-958E-0924F1AB1B46}" name="SKR SI/NO" dataDxfId="1590" dataCellStyle="Normal 3"/>
    <tableColumn id="24" xr3:uid="{F5ECBC59-958E-42E1-8CD1-36192C2F558F}" name="FIDUCIA/NUBE" dataDxfId="1589" dataCellStyle="Normal 3"/>
    <tableColumn id="25" xr3:uid="{890AB6C8-8C2C-414E-A1D6-100429F9D1A1}" name="BANCO" dataDxfId="1588" dataCellStyle="Normal 3"/>
    <tableColumn id="26" xr3:uid="{CECEE305-191C-4376-9898-1DF3638573DA}" name="FIDUCIA" dataDxfId="1587" dataCellStyle="Normal 3"/>
    <tableColumn id="27" xr3:uid="{59D8F4F2-9F5C-42D6-AE6C-2A860889AC75}" name="NUBE" dataDxfId="1586" dataCellStyle="Normal 3"/>
    <tableColumn id="28" xr3:uid="{183CCE5F-1070-4508-BA03-BA9438BF2795}" name="100%" dataDxfId="1585" dataCellStyle="Normal 3">
      <calculatedColumnFormula>SUM(Y20:AA20)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9lulita46@gmail.com" TargetMode="External"/><Relationship Id="rId2" Type="http://schemas.openxmlformats.org/officeDocument/2006/relationships/hyperlink" Target="mailto:julygalvez35@gmail.com" TargetMode="External"/><Relationship Id="rId1" Type="http://schemas.openxmlformats.org/officeDocument/2006/relationships/hyperlink" Target="mailto:julygalvez35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dolar-colomb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9A06-041E-4BD8-B15E-F417C7709518}">
  <sheetPr codeName="Hoja1"/>
  <dimension ref="A1:S106"/>
  <sheetViews>
    <sheetView showGridLines="0" tabSelected="1" topLeftCell="B1" zoomScale="70" zoomScaleNormal="70" workbookViewId="0">
      <pane ySplit="1" topLeftCell="A2" activePane="bottomLeft" state="frozen"/>
      <selection pane="bottomLeft" activeCell="Q37" sqref="Q37"/>
    </sheetView>
  </sheetViews>
  <sheetFormatPr baseColWidth="10" defaultRowHeight="12.75" x14ac:dyDescent="0.2"/>
  <cols>
    <col min="1" max="1" width="16.7109375" customWidth="1"/>
    <col min="2" max="2" width="41.42578125" customWidth="1"/>
    <col min="3" max="3" width="13.7109375" customWidth="1"/>
    <col min="4" max="4" width="14.42578125" customWidth="1"/>
    <col min="5" max="5" width="19.42578125" customWidth="1"/>
    <col min="6" max="6" width="22.28515625" customWidth="1"/>
    <col min="7" max="7" width="17.85546875" customWidth="1"/>
    <col min="8" max="8" width="15.7109375" customWidth="1"/>
    <col min="9" max="9" width="8.42578125" customWidth="1"/>
    <col min="10" max="10" width="24.42578125" customWidth="1"/>
    <col min="11" max="11" width="22.28515625" customWidth="1"/>
    <col min="12" max="12" width="15.5703125" customWidth="1"/>
    <col min="13" max="13" width="13.42578125" customWidth="1"/>
    <col min="14" max="14" width="37.85546875" customWidth="1"/>
    <col min="15" max="15" width="18" customWidth="1"/>
    <col min="16" max="16" width="20.5703125" customWidth="1"/>
    <col min="17" max="17" width="16.140625" customWidth="1"/>
    <col min="18" max="18" width="22.42578125" customWidth="1"/>
    <col min="19" max="19" width="15.7109375" style="141" customWidth="1"/>
  </cols>
  <sheetData>
    <row r="1" spans="1:19" s="2" customFormat="1" ht="47.25" x14ac:dyDescent="0.2">
      <c r="A1" s="57" t="s">
        <v>11</v>
      </c>
      <c r="B1" s="57" t="s">
        <v>10</v>
      </c>
      <c r="C1" s="58" t="s">
        <v>49</v>
      </c>
      <c r="D1" s="58" t="s">
        <v>50</v>
      </c>
      <c r="E1" s="58" t="s">
        <v>51</v>
      </c>
      <c r="F1" s="58" t="s">
        <v>52</v>
      </c>
      <c r="G1" s="58" t="s">
        <v>53</v>
      </c>
      <c r="H1" s="59" t="s">
        <v>54</v>
      </c>
      <c r="I1" s="58" t="s">
        <v>55</v>
      </c>
      <c r="J1" s="58" t="s">
        <v>56</v>
      </c>
      <c r="K1" s="58" t="s">
        <v>57</v>
      </c>
      <c r="L1" s="107" t="s">
        <v>112</v>
      </c>
      <c r="M1" s="12" t="s">
        <v>9</v>
      </c>
      <c r="N1" s="12" t="s">
        <v>58</v>
      </c>
      <c r="O1" s="12" t="s">
        <v>67</v>
      </c>
      <c r="P1" s="12" t="s">
        <v>8</v>
      </c>
      <c r="Q1" s="108" t="s">
        <v>310</v>
      </c>
      <c r="R1" s="109" t="s">
        <v>113</v>
      </c>
      <c r="S1" s="138" t="s">
        <v>111</v>
      </c>
    </row>
    <row r="2" spans="1:19" x14ac:dyDescent="0.2">
      <c r="A2" s="64">
        <v>46150</v>
      </c>
      <c r="B2" s="62" t="s">
        <v>116</v>
      </c>
      <c r="C2" s="16">
        <v>1116435707</v>
      </c>
      <c r="D2" s="56" t="s">
        <v>117</v>
      </c>
      <c r="E2" s="56" t="s">
        <v>59</v>
      </c>
      <c r="F2" s="56" t="s">
        <v>60</v>
      </c>
      <c r="G2" s="56" t="s">
        <v>118</v>
      </c>
      <c r="H2" s="3" t="s">
        <v>119</v>
      </c>
      <c r="I2" s="16">
        <v>762520</v>
      </c>
      <c r="J2" s="3" t="s">
        <v>120</v>
      </c>
      <c r="K2" s="13" t="s">
        <v>121</v>
      </c>
      <c r="L2" s="63" t="s">
        <v>88</v>
      </c>
      <c r="M2" s="14">
        <v>100000</v>
      </c>
      <c r="N2" s="65" t="s">
        <v>122</v>
      </c>
      <c r="O2" s="16" t="s">
        <v>3</v>
      </c>
      <c r="P2" s="3" t="s">
        <v>114</v>
      </c>
      <c r="Q2" s="1" t="s">
        <v>311</v>
      </c>
      <c r="R2" s="56" t="s">
        <v>68</v>
      </c>
      <c r="S2" s="139"/>
    </row>
    <row r="3" spans="1:19" x14ac:dyDescent="0.2">
      <c r="A3" s="60">
        <v>45831</v>
      </c>
      <c r="B3" s="62" t="s">
        <v>123</v>
      </c>
      <c r="C3" s="16">
        <v>1116433985</v>
      </c>
      <c r="D3" s="56" t="s">
        <v>61</v>
      </c>
      <c r="E3" s="56" t="s">
        <v>59</v>
      </c>
      <c r="F3" s="56" t="s">
        <v>124</v>
      </c>
      <c r="G3" s="56" t="s">
        <v>118</v>
      </c>
      <c r="H3" s="3" t="s">
        <v>125</v>
      </c>
      <c r="I3" s="16">
        <v>762528</v>
      </c>
      <c r="J3" s="3" t="s">
        <v>126</v>
      </c>
      <c r="K3" s="13" t="s">
        <v>127</v>
      </c>
      <c r="L3" s="63" t="s">
        <v>87</v>
      </c>
      <c r="M3" s="14">
        <v>120000</v>
      </c>
      <c r="N3" s="15" t="s">
        <v>128</v>
      </c>
      <c r="O3" s="16" t="s">
        <v>3</v>
      </c>
      <c r="P3" s="3" t="s">
        <v>114</v>
      </c>
      <c r="Q3" s="1" t="s">
        <v>311</v>
      </c>
      <c r="R3" s="56" t="s">
        <v>61</v>
      </c>
      <c r="S3" s="139"/>
    </row>
    <row r="4" spans="1:19" ht="15" customHeight="1" x14ac:dyDescent="0.2">
      <c r="A4" s="51">
        <v>46016</v>
      </c>
      <c r="B4" s="62" t="s">
        <v>123</v>
      </c>
      <c r="C4" s="16">
        <v>1116433985</v>
      </c>
      <c r="D4" s="56" t="s">
        <v>61</v>
      </c>
      <c r="E4" s="56" t="s">
        <v>59</v>
      </c>
      <c r="F4" s="56" t="s">
        <v>124</v>
      </c>
      <c r="G4" s="56" t="s">
        <v>118</v>
      </c>
      <c r="H4" s="3" t="s">
        <v>125</v>
      </c>
      <c r="I4" s="16">
        <v>762528</v>
      </c>
      <c r="J4" s="16" t="s">
        <v>126</v>
      </c>
      <c r="K4" s="13" t="s">
        <v>127</v>
      </c>
      <c r="L4" s="63" t="s">
        <v>129</v>
      </c>
      <c r="M4" s="14">
        <v>100000</v>
      </c>
      <c r="N4" s="15" t="s">
        <v>130</v>
      </c>
      <c r="O4" s="16" t="s">
        <v>3</v>
      </c>
      <c r="P4" s="3" t="s">
        <v>114</v>
      </c>
      <c r="Q4" s="1" t="s">
        <v>311</v>
      </c>
      <c r="R4" s="56" t="s">
        <v>61</v>
      </c>
      <c r="S4" s="139"/>
    </row>
    <row r="5" spans="1:19" x14ac:dyDescent="0.2">
      <c r="A5" s="135">
        <v>46110</v>
      </c>
      <c r="B5" s="62" t="s">
        <v>123</v>
      </c>
      <c r="C5" s="16">
        <v>1116433985</v>
      </c>
      <c r="D5" s="56" t="s">
        <v>61</v>
      </c>
      <c r="E5" s="56" t="s">
        <v>59</v>
      </c>
      <c r="F5" s="56" t="s">
        <v>124</v>
      </c>
      <c r="G5" s="56" t="s">
        <v>118</v>
      </c>
      <c r="H5" s="3" t="s">
        <v>125</v>
      </c>
      <c r="I5" s="16">
        <v>762528</v>
      </c>
      <c r="J5" s="16" t="s">
        <v>126</v>
      </c>
      <c r="K5" s="13" t="s">
        <v>127</v>
      </c>
      <c r="L5" s="63" t="s">
        <v>44</v>
      </c>
      <c r="M5" s="14">
        <v>200000</v>
      </c>
      <c r="N5" s="13" t="s">
        <v>131</v>
      </c>
      <c r="O5" s="16" t="s">
        <v>3</v>
      </c>
      <c r="P5" s="3" t="s">
        <v>114</v>
      </c>
      <c r="Q5" s="1" t="s">
        <v>311</v>
      </c>
      <c r="R5" s="56" t="s">
        <v>61</v>
      </c>
      <c r="S5" s="139"/>
    </row>
    <row r="6" spans="1:19" ht="15" customHeight="1" x14ac:dyDescent="0.2">
      <c r="A6" s="60">
        <v>46129</v>
      </c>
      <c r="B6" s="62" t="s">
        <v>123</v>
      </c>
      <c r="C6" s="16">
        <v>1116433985</v>
      </c>
      <c r="D6" s="56" t="s">
        <v>61</v>
      </c>
      <c r="E6" s="56" t="s">
        <v>59</v>
      </c>
      <c r="F6" s="56" t="s">
        <v>124</v>
      </c>
      <c r="G6" s="56" t="s">
        <v>118</v>
      </c>
      <c r="H6" s="3" t="s">
        <v>125</v>
      </c>
      <c r="I6" s="16">
        <v>762528</v>
      </c>
      <c r="J6" s="16" t="s">
        <v>126</v>
      </c>
      <c r="K6" s="13" t="s">
        <v>127</v>
      </c>
      <c r="L6" s="63" t="s">
        <v>71</v>
      </c>
      <c r="M6" s="14">
        <v>0</v>
      </c>
      <c r="N6" s="13" t="s">
        <v>69</v>
      </c>
      <c r="O6" s="16" t="s">
        <v>61</v>
      </c>
      <c r="P6" s="3" t="s">
        <v>114</v>
      </c>
      <c r="Q6" s="1" t="s">
        <v>311</v>
      </c>
      <c r="R6" s="56" t="s">
        <v>61</v>
      </c>
      <c r="S6" s="139"/>
    </row>
    <row r="7" spans="1:19" x14ac:dyDescent="0.2">
      <c r="A7" s="60">
        <v>46129</v>
      </c>
      <c r="B7" s="62" t="s">
        <v>123</v>
      </c>
      <c r="C7" s="16">
        <v>1116433985</v>
      </c>
      <c r="D7" s="56" t="s">
        <v>61</v>
      </c>
      <c r="E7" s="56" t="s">
        <v>59</v>
      </c>
      <c r="F7" s="56" t="s">
        <v>124</v>
      </c>
      <c r="G7" s="56" t="s">
        <v>118</v>
      </c>
      <c r="H7" s="3" t="s">
        <v>125</v>
      </c>
      <c r="I7" s="16">
        <v>762528</v>
      </c>
      <c r="J7" s="16" t="s">
        <v>126</v>
      </c>
      <c r="K7" s="13" t="s">
        <v>127</v>
      </c>
      <c r="L7" s="63" t="s">
        <v>2</v>
      </c>
      <c r="M7" s="14">
        <v>100000</v>
      </c>
      <c r="N7" s="13" t="s">
        <v>132</v>
      </c>
      <c r="O7" s="16" t="s">
        <v>3</v>
      </c>
      <c r="P7" s="3" t="s">
        <v>114</v>
      </c>
      <c r="Q7" s="1" t="s">
        <v>311</v>
      </c>
      <c r="R7" s="56" t="s">
        <v>61</v>
      </c>
      <c r="S7" s="139"/>
    </row>
    <row r="8" spans="1:19" x14ac:dyDescent="0.2">
      <c r="A8" s="64">
        <v>46150</v>
      </c>
      <c r="B8" s="62" t="s">
        <v>123</v>
      </c>
      <c r="C8" s="16">
        <v>1116433985</v>
      </c>
      <c r="D8" s="56" t="s">
        <v>61</v>
      </c>
      <c r="E8" s="56" t="s">
        <v>59</v>
      </c>
      <c r="F8" s="56" t="s">
        <v>124</v>
      </c>
      <c r="G8" s="56" t="s">
        <v>118</v>
      </c>
      <c r="H8" s="3" t="s">
        <v>125</v>
      </c>
      <c r="I8" s="16">
        <v>762528</v>
      </c>
      <c r="J8" s="16" t="s">
        <v>126</v>
      </c>
      <c r="K8" s="13" t="s">
        <v>127</v>
      </c>
      <c r="L8" s="63" t="s">
        <v>70</v>
      </c>
      <c r="M8" s="14">
        <v>200000</v>
      </c>
      <c r="N8" s="65" t="s">
        <v>133</v>
      </c>
      <c r="O8" s="16" t="s">
        <v>3</v>
      </c>
      <c r="P8" s="3" t="s">
        <v>114</v>
      </c>
      <c r="Q8" s="1" t="s">
        <v>311</v>
      </c>
      <c r="R8" s="56" t="s">
        <v>61</v>
      </c>
      <c r="S8" s="139"/>
    </row>
    <row r="9" spans="1:19" x14ac:dyDescent="0.2">
      <c r="A9" s="60">
        <v>45856.670451388891</v>
      </c>
      <c r="B9" s="62" t="s">
        <v>134</v>
      </c>
      <c r="C9" s="16">
        <v>22233786</v>
      </c>
      <c r="D9" s="56" t="s">
        <v>135</v>
      </c>
      <c r="E9" s="56" t="s">
        <v>59</v>
      </c>
      <c r="F9" s="56" t="s">
        <v>90</v>
      </c>
      <c r="G9" s="56" t="s">
        <v>136</v>
      </c>
      <c r="H9" s="3" t="s">
        <v>137</v>
      </c>
      <c r="I9" s="65" t="s">
        <v>138</v>
      </c>
      <c r="J9" s="3" t="s">
        <v>139</v>
      </c>
      <c r="K9" s="13" t="s">
        <v>140</v>
      </c>
      <c r="L9" s="63" t="s">
        <v>94</v>
      </c>
      <c r="M9" s="14">
        <v>300000</v>
      </c>
      <c r="N9" s="15" t="s">
        <v>141</v>
      </c>
      <c r="O9" s="16" t="s">
        <v>1</v>
      </c>
      <c r="P9" s="3" t="s">
        <v>114</v>
      </c>
      <c r="Q9" s="1" t="s">
        <v>311</v>
      </c>
      <c r="R9" s="56" t="s">
        <v>68</v>
      </c>
      <c r="S9" s="139"/>
    </row>
    <row r="10" spans="1:19" ht="15" customHeight="1" x14ac:dyDescent="0.2">
      <c r="A10" s="64">
        <v>46072</v>
      </c>
      <c r="B10" s="62" t="s">
        <v>142</v>
      </c>
      <c r="C10" s="16">
        <v>1088279595</v>
      </c>
      <c r="D10" s="56" t="s">
        <v>143</v>
      </c>
      <c r="E10" s="56" t="s">
        <v>59</v>
      </c>
      <c r="F10" s="56" t="s">
        <v>84</v>
      </c>
      <c r="G10" s="56" t="s">
        <v>83</v>
      </c>
      <c r="H10" s="3" t="s">
        <v>144</v>
      </c>
      <c r="I10" s="65">
        <v>660001</v>
      </c>
      <c r="J10" s="16" t="s">
        <v>145</v>
      </c>
      <c r="K10" s="3" t="s">
        <v>146</v>
      </c>
      <c r="L10" s="63" t="s">
        <v>6</v>
      </c>
      <c r="M10" s="14">
        <v>300000</v>
      </c>
      <c r="N10" s="15" t="s">
        <v>147</v>
      </c>
      <c r="O10" s="16" t="s">
        <v>48</v>
      </c>
      <c r="P10" s="3" t="s">
        <v>114</v>
      </c>
      <c r="Q10" s="1" t="s">
        <v>311</v>
      </c>
      <c r="R10" s="56" t="s">
        <v>68</v>
      </c>
      <c r="S10" s="139"/>
    </row>
    <row r="11" spans="1:19" x14ac:dyDescent="0.2">
      <c r="A11" s="60">
        <v>45829.450305208331</v>
      </c>
      <c r="B11" s="62" t="s">
        <v>148</v>
      </c>
      <c r="C11" s="16">
        <v>25181068</v>
      </c>
      <c r="D11" s="56" t="s">
        <v>149</v>
      </c>
      <c r="E11" s="56" t="s">
        <v>59</v>
      </c>
      <c r="F11" s="56" t="s">
        <v>97</v>
      </c>
      <c r="G11" s="56" t="s">
        <v>83</v>
      </c>
      <c r="H11" s="3" t="s">
        <v>150</v>
      </c>
      <c r="I11" s="65">
        <v>660004</v>
      </c>
      <c r="J11" s="3" t="s">
        <v>151</v>
      </c>
      <c r="K11" s="13" t="s">
        <v>152</v>
      </c>
      <c r="L11" s="63" t="s">
        <v>87</v>
      </c>
      <c r="M11" s="14">
        <v>120000</v>
      </c>
      <c r="N11" s="15" t="s">
        <v>153</v>
      </c>
      <c r="O11" s="16" t="s">
        <v>3</v>
      </c>
      <c r="P11" s="3" t="s">
        <v>114</v>
      </c>
      <c r="Q11" s="1" t="s">
        <v>311</v>
      </c>
      <c r="R11" s="56" t="s">
        <v>115</v>
      </c>
      <c r="S11" s="140">
        <v>46245</v>
      </c>
    </row>
    <row r="12" spans="1:19" x14ac:dyDescent="0.2">
      <c r="A12" s="60">
        <v>45829.450305208331</v>
      </c>
      <c r="B12" s="62" t="s">
        <v>148</v>
      </c>
      <c r="C12" s="16">
        <v>25181068</v>
      </c>
      <c r="D12" s="56" t="s">
        <v>149</v>
      </c>
      <c r="E12" s="56" t="s">
        <v>59</v>
      </c>
      <c r="F12" s="56" t="s">
        <v>97</v>
      </c>
      <c r="G12" s="56" t="s">
        <v>83</v>
      </c>
      <c r="H12" s="3" t="s">
        <v>150</v>
      </c>
      <c r="I12" s="65">
        <v>660004</v>
      </c>
      <c r="J12" s="3" t="s">
        <v>151</v>
      </c>
      <c r="K12" s="13" t="s">
        <v>152</v>
      </c>
      <c r="L12" s="63" t="s">
        <v>154</v>
      </c>
      <c r="M12" s="14">
        <v>0</v>
      </c>
      <c r="N12" s="15" t="s">
        <v>155</v>
      </c>
      <c r="O12" s="66" t="s">
        <v>61</v>
      </c>
      <c r="P12" s="3" t="s">
        <v>114</v>
      </c>
      <c r="Q12" s="1" t="s">
        <v>311</v>
      </c>
      <c r="R12" s="56" t="s">
        <v>115</v>
      </c>
      <c r="S12" s="140">
        <v>46245</v>
      </c>
    </row>
    <row r="13" spans="1:19" x14ac:dyDescent="0.2">
      <c r="A13" s="60">
        <v>45922</v>
      </c>
      <c r="B13" s="62" t="s">
        <v>148</v>
      </c>
      <c r="C13" s="16">
        <v>25181068</v>
      </c>
      <c r="D13" s="56" t="s">
        <v>149</v>
      </c>
      <c r="E13" s="56" t="s">
        <v>59</v>
      </c>
      <c r="F13" s="56" t="s">
        <v>97</v>
      </c>
      <c r="G13" s="56" t="s">
        <v>83</v>
      </c>
      <c r="H13" s="3" t="s">
        <v>150</v>
      </c>
      <c r="I13" s="65">
        <v>660004</v>
      </c>
      <c r="J13" s="3" t="s">
        <v>151</v>
      </c>
      <c r="K13" s="13" t="s">
        <v>152</v>
      </c>
      <c r="L13" s="63" t="s">
        <v>6</v>
      </c>
      <c r="M13" s="14">
        <v>0</v>
      </c>
      <c r="N13" s="15" t="s">
        <v>98</v>
      </c>
      <c r="O13" s="16" t="s">
        <v>61</v>
      </c>
      <c r="P13" s="3" t="s">
        <v>114</v>
      </c>
      <c r="Q13" s="1" t="s">
        <v>311</v>
      </c>
      <c r="R13" s="56" t="s">
        <v>115</v>
      </c>
      <c r="S13" s="140">
        <v>46245</v>
      </c>
    </row>
    <row r="14" spans="1:19" x14ac:dyDescent="0.2">
      <c r="A14" s="60">
        <v>45968</v>
      </c>
      <c r="B14" s="62" t="s">
        <v>148</v>
      </c>
      <c r="C14" s="16">
        <v>25181068</v>
      </c>
      <c r="D14" s="56" t="s">
        <v>149</v>
      </c>
      <c r="E14" s="56" t="s">
        <v>59</v>
      </c>
      <c r="F14" s="56" t="s">
        <v>97</v>
      </c>
      <c r="G14" s="56" t="s">
        <v>83</v>
      </c>
      <c r="H14" s="3" t="s">
        <v>150</v>
      </c>
      <c r="I14" s="65">
        <v>660004</v>
      </c>
      <c r="J14" s="16" t="s">
        <v>151</v>
      </c>
      <c r="K14" s="13" t="s">
        <v>152</v>
      </c>
      <c r="L14" s="63" t="s">
        <v>156</v>
      </c>
      <c r="M14" s="14">
        <v>0</v>
      </c>
      <c r="N14" s="15" t="s">
        <v>157</v>
      </c>
      <c r="O14" s="66" t="s">
        <v>61</v>
      </c>
      <c r="P14" s="3" t="s">
        <v>114</v>
      </c>
      <c r="Q14" s="1" t="s">
        <v>311</v>
      </c>
      <c r="R14" s="56" t="s">
        <v>115</v>
      </c>
      <c r="S14" s="140">
        <v>46245</v>
      </c>
    </row>
    <row r="15" spans="1:19" ht="15" customHeight="1" x14ac:dyDescent="0.2">
      <c r="A15" s="60">
        <v>46154</v>
      </c>
      <c r="B15" s="62" t="s">
        <v>148</v>
      </c>
      <c r="C15" s="16">
        <v>25181068</v>
      </c>
      <c r="D15" s="56" t="s">
        <v>149</v>
      </c>
      <c r="E15" s="56" t="s">
        <v>59</v>
      </c>
      <c r="F15" s="56" t="s">
        <v>97</v>
      </c>
      <c r="G15" s="56" t="s">
        <v>83</v>
      </c>
      <c r="H15" s="3" t="s">
        <v>150</v>
      </c>
      <c r="I15" s="65">
        <v>660004</v>
      </c>
      <c r="J15" s="16" t="s">
        <v>151</v>
      </c>
      <c r="K15" s="13" t="s">
        <v>152</v>
      </c>
      <c r="L15" s="63" t="s">
        <v>158</v>
      </c>
      <c r="M15" s="14">
        <v>0</v>
      </c>
      <c r="N15" s="15" t="s">
        <v>159</v>
      </c>
      <c r="O15" s="66" t="s">
        <v>61</v>
      </c>
      <c r="P15" s="3" t="s">
        <v>114</v>
      </c>
      <c r="Q15" s="1" t="s">
        <v>311</v>
      </c>
      <c r="R15" s="56" t="s">
        <v>115</v>
      </c>
      <c r="S15" s="140">
        <v>46245</v>
      </c>
    </row>
    <row r="16" spans="1:19" x14ac:dyDescent="0.2">
      <c r="A16" s="60">
        <v>45924</v>
      </c>
      <c r="B16" s="62" t="s">
        <v>160</v>
      </c>
      <c r="C16" s="16">
        <v>10013866</v>
      </c>
      <c r="D16" s="56" t="s">
        <v>161</v>
      </c>
      <c r="E16" s="56" t="s">
        <v>59</v>
      </c>
      <c r="F16" s="56" t="s">
        <v>84</v>
      </c>
      <c r="G16" s="56" t="s">
        <v>83</v>
      </c>
      <c r="H16" s="3" t="s">
        <v>162</v>
      </c>
      <c r="I16" s="65">
        <v>660001</v>
      </c>
      <c r="J16" s="3" t="s">
        <v>163</v>
      </c>
      <c r="K16" s="13" t="s">
        <v>164</v>
      </c>
      <c r="L16" s="63" t="s">
        <v>85</v>
      </c>
      <c r="M16" s="14">
        <v>300000</v>
      </c>
      <c r="N16" s="15" t="s">
        <v>165</v>
      </c>
      <c r="O16" s="16" t="s">
        <v>3</v>
      </c>
      <c r="P16" s="3" t="s">
        <v>114</v>
      </c>
      <c r="Q16" s="1" t="s">
        <v>311</v>
      </c>
      <c r="R16" s="56" t="s">
        <v>68</v>
      </c>
      <c r="S16" s="139"/>
    </row>
    <row r="17" spans="1:19" ht="12.75" customHeight="1" x14ac:dyDescent="0.2">
      <c r="A17" s="60">
        <v>45944</v>
      </c>
      <c r="B17" s="62" t="s">
        <v>160</v>
      </c>
      <c r="C17" s="16">
        <v>10013866</v>
      </c>
      <c r="D17" s="56" t="s">
        <v>161</v>
      </c>
      <c r="E17" s="56" t="s">
        <v>59</v>
      </c>
      <c r="F17" s="56" t="s">
        <v>84</v>
      </c>
      <c r="G17" s="56" t="s">
        <v>83</v>
      </c>
      <c r="H17" s="3" t="s">
        <v>162</v>
      </c>
      <c r="I17" s="65">
        <v>660001</v>
      </c>
      <c r="J17" s="3" t="s">
        <v>163</v>
      </c>
      <c r="K17" s="13" t="s">
        <v>164</v>
      </c>
      <c r="L17" s="63" t="s">
        <v>85</v>
      </c>
      <c r="M17" s="14">
        <v>300000</v>
      </c>
      <c r="N17" s="15" t="s">
        <v>166</v>
      </c>
      <c r="O17" s="16" t="s">
        <v>3</v>
      </c>
      <c r="P17" s="3" t="s">
        <v>114</v>
      </c>
      <c r="Q17" s="1" t="s">
        <v>311</v>
      </c>
      <c r="R17" s="56" t="s">
        <v>68</v>
      </c>
      <c r="S17" s="139"/>
    </row>
    <row r="18" spans="1:19" ht="15" customHeight="1" x14ac:dyDescent="0.2">
      <c r="A18" s="60">
        <v>45878.844675925924</v>
      </c>
      <c r="B18" s="62" t="s">
        <v>167</v>
      </c>
      <c r="C18" s="16">
        <v>3572523</v>
      </c>
      <c r="D18" s="56" t="s">
        <v>309</v>
      </c>
      <c r="E18" s="56" t="s">
        <v>59</v>
      </c>
      <c r="F18" s="56" t="s">
        <v>90</v>
      </c>
      <c r="G18" s="56" t="s">
        <v>168</v>
      </c>
      <c r="H18" s="3" t="s">
        <v>169</v>
      </c>
      <c r="I18" s="65">
        <v>52830</v>
      </c>
      <c r="J18" s="3" t="s">
        <v>170</v>
      </c>
      <c r="K18" s="13" t="s">
        <v>171</v>
      </c>
      <c r="L18" s="63" t="s">
        <v>85</v>
      </c>
      <c r="M18" s="14">
        <v>500000</v>
      </c>
      <c r="N18" s="15" t="s">
        <v>172</v>
      </c>
      <c r="O18" s="16" t="s">
        <v>89</v>
      </c>
      <c r="P18" s="3" t="s">
        <v>114</v>
      </c>
      <c r="Q18" s="1" t="s">
        <v>0</v>
      </c>
      <c r="R18" s="56" t="s">
        <v>68</v>
      </c>
      <c r="S18" s="139"/>
    </row>
    <row r="19" spans="1:19" x14ac:dyDescent="0.2">
      <c r="A19" s="60">
        <v>45937</v>
      </c>
      <c r="B19" s="62" t="s">
        <v>173</v>
      </c>
      <c r="C19" s="16">
        <v>1088248624</v>
      </c>
      <c r="D19" s="56" t="s">
        <v>174</v>
      </c>
      <c r="E19" s="56" t="s">
        <v>59</v>
      </c>
      <c r="F19" s="56" t="s">
        <v>84</v>
      </c>
      <c r="G19" s="56" t="s">
        <v>83</v>
      </c>
      <c r="H19" s="3" t="s">
        <v>175</v>
      </c>
      <c r="I19" s="65">
        <v>660001</v>
      </c>
      <c r="J19" s="3" t="s">
        <v>176</v>
      </c>
      <c r="K19" s="13" t="s">
        <v>177</v>
      </c>
      <c r="L19" s="63" t="s">
        <v>85</v>
      </c>
      <c r="M19" s="14">
        <v>300000</v>
      </c>
      <c r="N19" s="15" t="s">
        <v>178</v>
      </c>
      <c r="O19" s="16" t="s">
        <v>3</v>
      </c>
      <c r="P19" s="3" t="s">
        <v>114</v>
      </c>
      <c r="Q19" s="1" t="s">
        <v>311</v>
      </c>
      <c r="R19" s="56" t="s">
        <v>68</v>
      </c>
      <c r="S19" s="139"/>
    </row>
    <row r="20" spans="1:19" ht="12.75" customHeight="1" x14ac:dyDescent="0.2">
      <c r="A20" s="60">
        <v>45944</v>
      </c>
      <c r="B20" s="62" t="s">
        <v>173</v>
      </c>
      <c r="C20" s="16">
        <v>1088248624</v>
      </c>
      <c r="D20" s="56" t="s">
        <v>174</v>
      </c>
      <c r="E20" s="56" t="s">
        <v>59</v>
      </c>
      <c r="F20" s="56" t="s">
        <v>84</v>
      </c>
      <c r="G20" s="56" t="s">
        <v>83</v>
      </c>
      <c r="H20" s="3" t="s">
        <v>175</v>
      </c>
      <c r="I20" s="65">
        <v>660001</v>
      </c>
      <c r="J20" s="3" t="s">
        <v>176</v>
      </c>
      <c r="K20" s="13" t="s">
        <v>177</v>
      </c>
      <c r="L20" s="63" t="s">
        <v>85</v>
      </c>
      <c r="M20" s="14">
        <v>300000</v>
      </c>
      <c r="N20" s="15" t="s">
        <v>179</v>
      </c>
      <c r="O20" s="16" t="s">
        <v>3</v>
      </c>
      <c r="P20" s="3" t="s">
        <v>114</v>
      </c>
      <c r="Q20" s="1" t="s">
        <v>311</v>
      </c>
      <c r="R20" s="56" t="s">
        <v>68</v>
      </c>
      <c r="S20" s="139"/>
    </row>
    <row r="21" spans="1:19" x14ac:dyDescent="0.2">
      <c r="A21" s="60">
        <v>45929</v>
      </c>
      <c r="B21" s="62" t="s">
        <v>180</v>
      </c>
      <c r="C21" s="16">
        <v>27956147</v>
      </c>
      <c r="D21" s="56" t="s">
        <v>181</v>
      </c>
      <c r="E21" s="56" t="s">
        <v>59</v>
      </c>
      <c r="F21" s="56" t="s">
        <v>65</v>
      </c>
      <c r="G21" s="56" t="s">
        <v>66</v>
      </c>
      <c r="H21" s="3" t="s">
        <v>182</v>
      </c>
      <c r="I21" s="65">
        <v>680004</v>
      </c>
      <c r="J21" s="3" t="s">
        <v>183</v>
      </c>
      <c r="K21" s="13" t="s">
        <v>184</v>
      </c>
      <c r="L21" s="63" t="s">
        <v>2</v>
      </c>
      <c r="M21" s="14">
        <v>100000</v>
      </c>
      <c r="N21" s="15" t="s">
        <v>185</v>
      </c>
      <c r="O21" s="16" t="s">
        <v>48</v>
      </c>
      <c r="P21" s="3" t="s">
        <v>114</v>
      </c>
      <c r="Q21" s="1" t="s">
        <v>311</v>
      </c>
      <c r="R21" s="56" t="s">
        <v>68</v>
      </c>
      <c r="S21" s="139"/>
    </row>
    <row r="22" spans="1:19" x14ac:dyDescent="0.2">
      <c r="A22" s="60">
        <v>45944</v>
      </c>
      <c r="B22" s="62" t="s">
        <v>180</v>
      </c>
      <c r="C22" s="16">
        <v>27956147</v>
      </c>
      <c r="D22" s="56" t="s">
        <v>181</v>
      </c>
      <c r="E22" s="56" t="s">
        <v>59</v>
      </c>
      <c r="F22" s="56" t="s">
        <v>65</v>
      </c>
      <c r="G22" s="56" t="s">
        <v>66</v>
      </c>
      <c r="H22" s="3" t="s">
        <v>182</v>
      </c>
      <c r="I22" s="65">
        <v>680004</v>
      </c>
      <c r="J22" s="3" t="s">
        <v>183</v>
      </c>
      <c r="K22" s="13" t="s">
        <v>184</v>
      </c>
      <c r="L22" s="63" t="s">
        <v>2</v>
      </c>
      <c r="M22" s="14">
        <v>100000</v>
      </c>
      <c r="N22" s="15" t="s">
        <v>186</v>
      </c>
      <c r="O22" s="16" t="s">
        <v>48</v>
      </c>
      <c r="P22" s="3" t="s">
        <v>114</v>
      </c>
      <c r="Q22" s="1" t="s">
        <v>311</v>
      </c>
      <c r="R22" s="56" t="s">
        <v>68</v>
      </c>
      <c r="S22" s="139"/>
    </row>
    <row r="23" spans="1:19" x14ac:dyDescent="0.2">
      <c r="A23" s="60">
        <v>45827</v>
      </c>
      <c r="B23" s="62" t="s">
        <v>187</v>
      </c>
      <c r="C23" s="16">
        <v>34555821</v>
      </c>
      <c r="D23" s="56" t="s">
        <v>188</v>
      </c>
      <c r="E23" s="56" t="s">
        <v>59</v>
      </c>
      <c r="F23" s="56" t="s">
        <v>60</v>
      </c>
      <c r="G23" s="56" t="s">
        <v>189</v>
      </c>
      <c r="H23" s="3" t="s">
        <v>190</v>
      </c>
      <c r="I23" s="13">
        <v>763022</v>
      </c>
      <c r="J23" s="3" t="s">
        <v>191</v>
      </c>
      <c r="K23" s="13" t="s">
        <v>192</v>
      </c>
      <c r="L23" s="63" t="s">
        <v>4</v>
      </c>
      <c r="M23" s="14">
        <v>200000</v>
      </c>
      <c r="N23" s="15" t="s">
        <v>193</v>
      </c>
      <c r="O23" s="16" t="s">
        <v>3</v>
      </c>
      <c r="P23" s="3" t="s">
        <v>114</v>
      </c>
      <c r="Q23" s="1" t="s">
        <v>311</v>
      </c>
      <c r="R23" s="56" t="s">
        <v>68</v>
      </c>
      <c r="S23" s="139"/>
    </row>
    <row r="24" spans="1:19" ht="12.75" customHeight="1" x14ac:dyDescent="0.2">
      <c r="A24" s="60">
        <v>45829</v>
      </c>
      <c r="B24" s="62" t="s">
        <v>194</v>
      </c>
      <c r="C24" s="16">
        <v>1193371494</v>
      </c>
      <c r="D24" s="56" t="s">
        <v>61</v>
      </c>
      <c r="E24" s="56" t="s">
        <v>59</v>
      </c>
      <c r="F24" s="56" t="s">
        <v>84</v>
      </c>
      <c r="G24" s="56" t="s">
        <v>83</v>
      </c>
      <c r="H24" s="3" t="s">
        <v>195</v>
      </c>
      <c r="I24" s="13">
        <v>660004</v>
      </c>
      <c r="J24" s="3" t="s">
        <v>196</v>
      </c>
      <c r="K24" s="13" t="s">
        <v>197</v>
      </c>
      <c r="L24" s="63" t="s">
        <v>87</v>
      </c>
      <c r="M24" s="14">
        <v>120000</v>
      </c>
      <c r="N24" s="15" t="s">
        <v>198</v>
      </c>
      <c r="O24" s="16" t="s">
        <v>1</v>
      </c>
      <c r="P24" s="3" t="s">
        <v>114</v>
      </c>
      <c r="Q24" s="1" t="s">
        <v>311</v>
      </c>
      <c r="R24" s="56" t="s">
        <v>68</v>
      </c>
      <c r="S24" s="139"/>
    </row>
    <row r="25" spans="1:19" ht="12.75" customHeight="1" x14ac:dyDescent="0.2">
      <c r="A25" s="60">
        <v>45912</v>
      </c>
      <c r="B25" s="62" t="s">
        <v>199</v>
      </c>
      <c r="C25" s="16">
        <v>36182704</v>
      </c>
      <c r="D25" s="56" t="s">
        <v>200</v>
      </c>
      <c r="E25" s="56" t="s">
        <v>59</v>
      </c>
      <c r="F25" s="56" t="s">
        <v>63</v>
      </c>
      <c r="G25" s="56" t="s">
        <v>64</v>
      </c>
      <c r="H25" s="3" t="s">
        <v>201</v>
      </c>
      <c r="I25" s="13">
        <v>110831</v>
      </c>
      <c r="J25" s="3" t="s">
        <v>202</v>
      </c>
      <c r="K25" s="13" t="s">
        <v>203</v>
      </c>
      <c r="L25" s="63" t="s">
        <v>45</v>
      </c>
      <c r="M25" s="14">
        <v>500000</v>
      </c>
      <c r="N25" s="15" t="s">
        <v>204</v>
      </c>
      <c r="O25" s="16" t="s">
        <v>89</v>
      </c>
      <c r="P25" s="3" t="s">
        <v>114</v>
      </c>
      <c r="Q25" s="1" t="s">
        <v>311</v>
      </c>
      <c r="R25" s="56" t="s">
        <v>68</v>
      </c>
      <c r="S25" s="139"/>
    </row>
    <row r="26" spans="1:19" x14ac:dyDescent="0.2">
      <c r="A26" s="60">
        <v>46055</v>
      </c>
      <c r="B26" s="62" t="s">
        <v>199</v>
      </c>
      <c r="C26" s="16">
        <v>36182704</v>
      </c>
      <c r="D26" s="56" t="s">
        <v>200</v>
      </c>
      <c r="E26" s="56" t="s">
        <v>59</v>
      </c>
      <c r="F26" s="56" t="s">
        <v>63</v>
      </c>
      <c r="G26" s="56" t="s">
        <v>64</v>
      </c>
      <c r="H26" s="3" t="s">
        <v>201</v>
      </c>
      <c r="I26" s="13">
        <v>110831</v>
      </c>
      <c r="J26" s="16" t="s">
        <v>202</v>
      </c>
      <c r="K26" s="13" t="s">
        <v>203</v>
      </c>
      <c r="L26" s="63" t="s">
        <v>72</v>
      </c>
      <c r="M26" s="14">
        <v>500000</v>
      </c>
      <c r="N26" s="15">
        <v>348277</v>
      </c>
      <c r="O26" s="16" t="s">
        <v>89</v>
      </c>
      <c r="P26" s="3" t="s">
        <v>114</v>
      </c>
      <c r="Q26" s="1" t="s">
        <v>311</v>
      </c>
      <c r="R26" s="56" t="s">
        <v>68</v>
      </c>
      <c r="S26" s="139"/>
    </row>
    <row r="27" spans="1:19" x14ac:dyDescent="0.2">
      <c r="A27" s="60">
        <v>46055</v>
      </c>
      <c r="B27" s="62" t="s">
        <v>199</v>
      </c>
      <c r="C27" s="16">
        <v>36182704</v>
      </c>
      <c r="D27" s="56" t="s">
        <v>200</v>
      </c>
      <c r="E27" s="56" t="s">
        <v>59</v>
      </c>
      <c r="F27" s="56" t="s">
        <v>63</v>
      </c>
      <c r="G27" s="56" t="s">
        <v>64</v>
      </c>
      <c r="H27" s="3" t="s">
        <v>201</v>
      </c>
      <c r="I27" s="13">
        <v>110831</v>
      </c>
      <c r="J27" s="16" t="s">
        <v>202</v>
      </c>
      <c r="K27" s="13" t="s">
        <v>203</v>
      </c>
      <c r="L27" s="63" t="s">
        <v>5</v>
      </c>
      <c r="M27" s="14">
        <v>150000</v>
      </c>
      <c r="N27" s="15">
        <v>348276</v>
      </c>
      <c r="O27" s="16" t="s">
        <v>89</v>
      </c>
      <c r="P27" s="3" t="s">
        <v>114</v>
      </c>
      <c r="Q27" s="1" t="s">
        <v>311</v>
      </c>
      <c r="R27" s="56" t="s">
        <v>68</v>
      </c>
      <c r="S27" s="139"/>
    </row>
    <row r="28" spans="1:19" x14ac:dyDescent="0.2">
      <c r="A28" s="60">
        <v>45959</v>
      </c>
      <c r="B28" s="62" t="s">
        <v>205</v>
      </c>
      <c r="C28" s="16">
        <v>42489734</v>
      </c>
      <c r="D28" s="56" t="s">
        <v>308</v>
      </c>
      <c r="E28" s="56" t="s">
        <v>59</v>
      </c>
      <c r="F28" s="56" t="s">
        <v>90</v>
      </c>
      <c r="G28" s="56" t="s">
        <v>91</v>
      </c>
      <c r="H28" s="3" t="s">
        <v>206</v>
      </c>
      <c r="I28" s="13">
        <v>50044</v>
      </c>
      <c r="J28" s="16" t="s">
        <v>207</v>
      </c>
      <c r="K28" s="13" t="s">
        <v>208</v>
      </c>
      <c r="L28" s="63" t="s">
        <v>2</v>
      </c>
      <c r="M28" s="14">
        <v>100000</v>
      </c>
      <c r="N28" s="15" t="s">
        <v>209</v>
      </c>
      <c r="O28" s="16" t="s">
        <v>3</v>
      </c>
      <c r="P28" s="3" t="s">
        <v>114</v>
      </c>
      <c r="Q28" s="1" t="s">
        <v>0</v>
      </c>
      <c r="R28" s="56" t="s">
        <v>68</v>
      </c>
      <c r="S28" s="140"/>
    </row>
    <row r="29" spans="1:19" ht="12.75" customHeight="1" x14ac:dyDescent="0.2">
      <c r="A29" s="60">
        <v>46055</v>
      </c>
      <c r="B29" s="62" t="s">
        <v>205</v>
      </c>
      <c r="C29" s="16">
        <v>42489734</v>
      </c>
      <c r="D29" s="56" t="s">
        <v>308</v>
      </c>
      <c r="E29" s="56" t="s">
        <v>59</v>
      </c>
      <c r="F29" s="56" t="s">
        <v>90</v>
      </c>
      <c r="G29" s="56" t="s">
        <v>91</v>
      </c>
      <c r="H29" s="3" t="s">
        <v>206</v>
      </c>
      <c r="I29" s="13">
        <v>50044</v>
      </c>
      <c r="J29" s="16" t="s">
        <v>207</v>
      </c>
      <c r="K29" s="13" t="s">
        <v>208</v>
      </c>
      <c r="L29" s="63" t="s">
        <v>5</v>
      </c>
      <c r="M29" s="14">
        <v>150000</v>
      </c>
      <c r="N29" s="15" t="s">
        <v>210</v>
      </c>
      <c r="O29" s="16" t="s">
        <v>3</v>
      </c>
      <c r="P29" s="3" t="s">
        <v>114</v>
      </c>
      <c r="Q29" s="1" t="s">
        <v>0</v>
      </c>
      <c r="R29" s="56" t="s">
        <v>68</v>
      </c>
      <c r="S29" s="140"/>
    </row>
    <row r="30" spans="1:19" x14ac:dyDescent="0.2">
      <c r="A30" s="60">
        <v>46129</v>
      </c>
      <c r="B30" s="62" t="s">
        <v>205</v>
      </c>
      <c r="C30" s="16">
        <v>42489734</v>
      </c>
      <c r="D30" s="56" t="s">
        <v>308</v>
      </c>
      <c r="E30" s="56" t="s">
        <v>59</v>
      </c>
      <c r="F30" s="56" t="s">
        <v>90</v>
      </c>
      <c r="G30" s="56" t="s">
        <v>91</v>
      </c>
      <c r="H30" s="3" t="s">
        <v>206</v>
      </c>
      <c r="I30" s="13">
        <v>50044</v>
      </c>
      <c r="J30" s="13" t="s">
        <v>207</v>
      </c>
      <c r="K30" s="13" t="s">
        <v>208</v>
      </c>
      <c r="L30" s="63" t="s">
        <v>71</v>
      </c>
      <c r="M30" s="14">
        <v>0</v>
      </c>
      <c r="N30" s="13" t="s">
        <v>69</v>
      </c>
      <c r="O30" s="16" t="s">
        <v>61</v>
      </c>
      <c r="P30" s="3" t="s">
        <v>114</v>
      </c>
      <c r="Q30" s="1" t="s">
        <v>0</v>
      </c>
      <c r="R30" s="56" t="s">
        <v>68</v>
      </c>
      <c r="S30" s="140"/>
    </row>
    <row r="31" spans="1:19" x14ac:dyDescent="0.2">
      <c r="A31" s="60">
        <v>46129</v>
      </c>
      <c r="B31" s="62" t="s">
        <v>205</v>
      </c>
      <c r="C31" s="16">
        <v>42489734</v>
      </c>
      <c r="D31" s="56" t="s">
        <v>308</v>
      </c>
      <c r="E31" s="56" t="s">
        <v>59</v>
      </c>
      <c r="F31" s="56" t="s">
        <v>90</v>
      </c>
      <c r="G31" s="56" t="s">
        <v>91</v>
      </c>
      <c r="H31" s="3" t="s">
        <v>206</v>
      </c>
      <c r="I31" s="13">
        <v>50044</v>
      </c>
      <c r="J31" s="13" t="s">
        <v>207</v>
      </c>
      <c r="K31" s="13" t="s">
        <v>208</v>
      </c>
      <c r="L31" s="63" t="s">
        <v>2</v>
      </c>
      <c r="M31" s="14">
        <v>0</v>
      </c>
      <c r="N31" s="13" t="s">
        <v>69</v>
      </c>
      <c r="O31" s="16" t="s">
        <v>61</v>
      </c>
      <c r="P31" s="3" t="s">
        <v>114</v>
      </c>
      <c r="Q31" s="1" t="s">
        <v>0</v>
      </c>
      <c r="R31" s="56" t="s">
        <v>68</v>
      </c>
      <c r="S31" s="140"/>
    </row>
    <row r="32" spans="1:19" x14ac:dyDescent="0.2">
      <c r="A32" s="60">
        <v>46129</v>
      </c>
      <c r="B32" s="62" t="s">
        <v>205</v>
      </c>
      <c r="C32" s="16">
        <v>42489734</v>
      </c>
      <c r="D32" s="56" t="s">
        <v>308</v>
      </c>
      <c r="E32" s="56" t="s">
        <v>59</v>
      </c>
      <c r="F32" s="56" t="s">
        <v>90</v>
      </c>
      <c r="G32" s="56" t="s">
        <v>91</v>
      </c>
      <c r="H32" s="3" t="s">
        <v>206</v>
      </c>
      <c r="I32" s="13">
        <v>50044</v>
      </c>
      <c r="J32" s="13" t="s">
        <v>207</v>
      </c>
      <c r="K32" s="13" t="s">
        <v>208</v>
      </c>
      <c r="L32" s="63" t="s">
        <v>44</v>
      </c>
      <c r="M32" s="14">
        <v>200000</v>
      </c>
      <c r="N32" s="13" t="s">
        <v>211</v>
      </c>
      <c r="O32" s="16" t="s">
        <v>3</v>
      </c>
      <c r="P32" s="3" t="s">
        <v>114</v>
      </c>
      <c r="Q32" s="1" t="s">
        <v>0</v>
      </c>
      <c r="R32" s="56" t="s">
        <v>68</v>
      </c>
      <c r="S32" s="140"/>
    </row>
    <row r="33" spans="1:19" x14ac:dyDescent="0.2">
      <c r="A33" s="60">
        <v>46011</v>
      </c>
      <c r="B33" s="62" t="s">
        <v>212</v>
      </c>
      <c r="C33" s="16">
        <v>42009416</v>
      </c>
      <c r="D33" s="56" t="s">
        <v>213</v>
      </c>
      <c r="E33" s="56" t="s">
        <v>59</v>
      </c>
      <c r="F33" s="56" t="s">
        <v>60</v>
      </c>
      <c r="G33" s="56" t="s">
        <v>305</v>
      </c>
      <c r="H33" s="3" t="s">
        <v>306</v>
      </c>
      <c r="I33" s="13">
        <v>763531</v>
      </c>
      <c r="J33" s="16" t="s">
        <v>214</v>
      </c>
      <c r="K33" s="13" t="s">
        <v>307</v>
      </c>
      <c r="L33" s="136" t="s">
        <v>92</v>
      </c>
      <c r="M33" s="110">
        <v>100000</v>
      </c>
      <c r="N33" s="111" t="s">
        <v>215</v>
      </c>
      <c r="O33" s="16" t="s">
        <v>1</v>
      </c>
      <c r="P33" s="3" t="s">
        <v>114</v>
      </c>
      <c r="Q33" s="1" t="s">
        <v>311</v>
      </c>
      <c r="R33" s="56" t="s">
        <v>68</v>
      </c>
      <c r="S33" s="139"/>
    </row>
    <row r="34" spans="1:19" x14ac:dyDescent="0.2">
      <c r="A34" s="60">
        <v>46011</v>
      </c>
      <c r="B34" s="62" t="s">
        <v>212</v>
      </c>
      <c r="C34" s="16">
        <v>42009416</v>
      </c>
      <c r="D34" s="56" t="s">
        <v>213</v>
      </c>
      <c r="E34" s="56" t="s">
        <v>59</v>
      </c>
      <c r="F34" s="56" t="s">
        <v>60</v>
      </c>
      <c r="G34" s="56" t="s">
        <v>305</v>
      </c>
      <c r="H34" s="3" t="s">
        <v>306</v>
      </c>
      <c r="I34" s="13">
        <v>763531</v>
      </c>
      <c r="J34" s="16" t="s">
        <v>214</v>
      </c>
      <c r="K34" s="13" t="s">
        <v>307</v>
      </c>
      <c r="L34" s="137" t="s">
        <v>92</v>
      </c>
      <c r="M34" s="112">
        <v>100000</v>
      </c>
      <c r="N34" s="113" t="s">
        <v>216</v>
      </c>
      <c r="O34" s="16" t="s">
        <v>1</v>
      </c>
      <c r="P34" s="3" t="s">
        <v>114</v>
      </c>
      <c r="Q34" s="1" t="s">
        <v>311</v>
      </c>
      <c r="R34" s="56" t="s">
        <v>68</v>
      </c>
      <c r="S34" s="139"/>
    </row>
    <row r="35" spans="1:19" x14ac:dyDescent="0.2">
      <c r="A35" s="60">
        <v>45844.672812500001</v>
      </c>
      <c r="B35" s="62" t="s">
        <v>217</v>
      </c>
      <c r="C35" s="16">
        <v>42009416</v>
      </c>
      <c r="D35" s="56" t="s">
        <v>213</v>
      </c>
      <c r="E35" s="56" t="s">
        <v>59</v>
      </c>
      <c r="F35" s="56" t="s">
        <v>60</v>
      </c>
      <c r="G35" s="56" t="s">
        <v>305</v>
      </c>
      <c r="H35" s="3" t="s">
        <v>306</v>
      </c>
      <c r="I35" s="13">
        <v>763531</v>
      </c>
      <c r="J35" s="13" t="s">
        <v>214</v>
      </c>
      <c r="K35" s="13" t="s">
        <v>307</v>
      </c>
      <c r="L35" s="136" t="s">
        <v>93</v>
      </c>
      <c r="M35" s="110">
        <v>300000</v>
      </c>
      <c r="N35" s="111" t="s">
        <v>218</v>
      </c>
      <c r="O35" s="16" t="s">
        <v>1</v>
      </c>
      <c r="P35" s="3" t="s">
        <v>114</v>
      </c>
      <c r="Q35" s="1" t="s">
        <v>311</v>
      </c>
      <c r="R35" s="56" t="s">
        <v>68</v>
      </c>
      <c r="S35" s="139"/>
    </row>
    <row r="36" spans="1:19" x14ac:dyDescent="0.2">
      <c r="A36" s="60">
        <v>45854.672812500001</v>
      </c>
      <c r="B36" s="62" t="s">
        <v>217</v>
      </c>
      <c r="C36" s="16">
        <v>42009416</v>
      </c>
      <c r="D36" s="56" t="s">
        <v>213</v>
      </c>
      <c r="E36" s="56" t="s">
        <v>59</v>
      </c>
      <c r="F36" s="56" t="s">
        <v>60</v>
      </c>
      <c r="G36" s="56" t="s">
        <v>305</v>
      </c>
      <c r="H36" s="3" t="s">
        <v>306</v>
      </c>
      <c r="I36" s="13">
        <v>763531</v>
      </c>
      <c r="J36" s="13" t="s">
        <v>214</v>
      </c>
      <c r="K36" s="13" t="s">
        <v>307</v>
      </c>
      <c r="L36" s="137" t="s">
        <v>93</v>
      </c>
      <c r="M36" s="112">
        <v>300000</v>
      </c>
      <c r="N36" s="113" t="s">
        <v>219</v>
      </c>
      <c r="O36" s="16" t="s">
        <v>1</v>
      </c>
      <c r="P36" s="3" t="s">
        <v>114</v>
      </c>
      <c r="Q36" s="1" t="s">
        <v>311</v>
      </c>
      <c r="R36" s="56" t="s">
        <v>68</v>
      </c>
      <c r="S36" s="139"/>
    </row>
    <row r="37" spans="1:19" x14ac:dyDescent="0.2">
      <c r="A37" s="60">
        <v>45872</v>
      </c>
      <c r="B37" s="62" t="s">
        <v>217</v>
      </c>
      <c r="C37" s="16">
        <v>42009416</v>
      </c>
      <c r="D37" s="56" t="s">
        <v>213</v>
      </c>
      <c r="E37" s="56" t="s">
        <v>59</v>
      </c>
      <c r="F37" s="56" t="s">
        <v>60</v>
      </c>
      <c r="G37" s="56" t="s">
        <v>305</v>
      </c>
      <c r="H37" s="3" t="s">
        <v>306</v>
      </c>
      <c r="I37" s="13">
        <v>763531</v>
      </c>
      <c r="J37" s="13" t="s">
        <v>214</v>
      </c>
      <c r="K37" s="13" t="s">
        <v>307</v>
      </c>
      <c r="L37" s="63" t="s">
        <v>71</v>
      </c>
      <c r="M37" s="14">
        <v>120000</v>
      </c>
      <c r="N37" s="15" t="s">
        <v>220</v>
      </c>
      <c r="O37" s="16" t="s">
        <v>1</v>
      </c>
      <c r="P37" s="3" t="s">
        <v>114</v>
      </c>
      <c r="Q37" s="1" t="s">
        <v>311</v>
      </c>
      <c r="R37" s="56" t="s">
        <v>68</v>
      </c>
      <c r="S37" s="139"/>
    </row>
    <row r="38" spans="1:19" x14ac:dyDescent="0.2">
      <c r="A38" s="60">
        <v>45831.747824074075</v>
      </c>
      <c r="B38" s="62" t="s">
        <v>221</v>
      </c>
      <c r="C38" s="16">
        <v>31968693</v>
      </c>
      <c r="D38" s="56" t="s">
        <v>222</v>
      </c>
      <c r="E38" s="56" t="s">
        <v>59</v>
      </c>
      <c r="F38" s="56" t="s">
        <v>124</v>
      </c>
      <c r="G38" s="56" t="s">
        <v>62</v>
      </c>
      <c r="H38" s="3" t="s">
        <v>223</v>
      </c>
      <c r="I38" s="13">
        <v>760033</v>
      </c>
      <c r="J38" s="13" t="s">
        <v>224</v>
      </c>
      <c r="K38" s="13" t="s">
        <v>225</v>
      </c>
      <c r="L38" s="63" t="s">
        <v>87</v>
      </c>
      <c r="M38" s="14">
        <v>100000</v>
      </c>
      <c r="N38" s="15" t="s">
        <v>226</v>
      </c>
      <c r="O38" s="115" t="s">
        <v>227</v>
      </c>
      <c r="P38" s="3" t="s">
        <v>114</v>
      </c>
      <c r="Q38" s="1" t="s">
        <v>311</v>
      </c>
      <c r="R38" s="56" t="s">
        <v>68</v>
      </c>
      <c r="S38" s="139"/>
    </row>
    <row r="39" spans="1:19" ht="15" customHeight="1" x14ac:dyDescent="0.2">
      <c r="A39" s="60">
        <v>45831.747824074075</v>
      </c>
      <c r="B39" s="62" t="s">
        <v>228</v>
      </c>
      <c r="C39" s="16">
        <v>31249079</v>
      </c>
      <c r="D39" s="56" t="s">
        <v>229</v>
      </c>
      <c r="E39" s="56" t="s">
        <v>59</v>
      </c>
      <c r="F39" s="56" t="s">
        <v>60</v>
      </c>
      <c r="G39" s="56" t="s">
        <v>62</v>
      </c>
      <c r="H39" s="3" t="s">
        <v>230</v>
      </c>
      <c r="I39" s="13">
        <v>760046</v>
      </c>
      <c r="J39" s="13" t="s">
        <v>231</v>
      </c>
      <c r="K39" s="13" t="s">
        <v>232</v>
      </c>
      <c r="L39" s="63" t="s">
        <v>87</v>
      </c>
      <c r="M39" s="14">
        <v>100000</v>
      </c>
      <c r="N39" s="15" t="s">
        <v>226</v>
      </c>
      <c r="O39" s="115" t="s">
        <v>227</v>
      </c>
      <c r="P39" s="3" t="s">
        <v>114</v>
      </c>
      <c r="Q39" s="1" t="s">
        <v>311</v>
      </c>
      <c r="R39" s="56" t="s">
        <v>68</v>
      </c>
      <c r="S39" s="139"/>
    </row>
    <row r="40" spans="1:19" x14ac:dyDescent="0.2">
      <c r="A40" s="60">
        <v>45826.805277210646</v>
      </c>
      <c r="B40" s="62" t="s">
        <v>233</v>
      </c>
      <c r="C40" s="16">
        <v>66729608</v>
      </c>
      <c r="D40" s="56" t="s">
        <v>234</v>
      </c>
      <c r="E40" s="56" t="s">
        <v>59</v>
      </c>
      <c r="F40" s="56" t="s">
        <v>84</v>
      </c>
      <c r="G40" s="56" t="s">
        <v>83</v>
      </c>
      <c r="H40" s="3" t="s">
        <v>235</v>
      </c>
      <c r="I40" s="13">
        <v>660003</v>
      </c>
      <c r="J40" s="13" t="s">
        <v>236</v>
      </c>
      <c r="K40" s="13" t="s">
        <v>237</v>
      </c>
      <c r="L40" s="63" t="s">
        <v>4</v>
      </c>
      <c r="M40" s="14">
        <v>200000</v>
      </c>
      <c r="N40" s="15" t="s">
        <v>238</v>
      </c>
      <c r="O40" s="16" t="s">
        <v>3</v>
      </c>
      <c r="P40" s="3" t="s">
        <v>114</v>
      </c>
      <c r="Q40" s="1" t="s">
        <v>311</v>
      </c>
      <c r="R40" s="56" t="s">
        <v>68</v>
      </c>
      <c r="S40" s="139"/>
    </row>
    <row r="41" spans="1:19" ht="12.75" customHeight="1" x14ac:dyDescent="0.2">
      <c r="A41" s="51">
        <v>45961</v>
      </c>
      <c r="B41" s="62" t="s">
        <v>239</v>
      </c>
      <c r="C41" s="16">
        <v>31925587</v>
      </c>
      <c r="D41" s="56" t="s">
        <v>240</v>
      </c>
      <c r="E41" s="56" t="s">
        <v>59</v>
      </c>
      <c r="F41" s="56" t="s">
        <v>60</v>
      </c>
      <c r="G41" s="56" t="s">
        <v>62</v>
      </c>
      <c r="H41" s="3" t="s">
        <v>241</v>
      </c>
      <c r="I41" s="16">
        <v>760002</v>
      </c>
      <c r="J41" s="16" t="s">
        <v>242</v>
      </c>
      <c r="K41" s="13" t="s">
        <v>243</v>
      </c>
      <c r="L41" s="63" t="s">
        <v>2</v>
      </c>
      <c r="M41" s="14">
        <v>100000</v>
      </c>
      <c r="N41" s="15" t="s">
        <v>244</v>
      </c>
      <c r="O41" s="16" t="s">
        <v>3</v>
      </c>
      <c r="P41" s="3" t="s">
        <v>114</v>
      </c>
      <c r="Q41" s="1" t="s">
        <v>311</v>
      </c>
      <c r="R41" s="56" t="s">
        <v>68</v>
      </c>
      <c r="S41" s="139"/>
    </row>
    <row r="42" spans="1:19" x14ac:dyDescent="0.2">
      <c r="A42" s="51">
        <v>45854</v>
      </c>
      <c r="B42" s="62" t="s">
        <v>245</v>
      </c>
      <c r="C42" s="16">
        <v>79634354</v>
      </c>
      <c r="D42" s="56" t="s">
        <v>246</v>
      </c>
      <c r="E42" s="56" t="s">
        <v>59</v>
      </c>
      <c r="F42" s="56" t="s">
        <v>60</v>
      </c>
      <c r="G42" s="56" t="s">
        <v>247</v>
      </c>
      <c r="H42" s="3" t="s">
        <v>248</v>
      </c>
      <c r="I42" s="16">
        <v>764001</v>
      </c>
      <c r="J42" s="3" t="s">
        <v>249</v>
      </c>
      <c r="K42" s="13" t="s">
        <v>250</v>
      </c>
      <c r="L42" s="63" t="s">
        <v>94</v>
      </c>
      <c r="M42" s="14">
        <v>300000</v>
      </c>
      <c r="N42" s="15" t="s">
        <v>251</v>
      </c>
      <c r="O42" s="16" t="s">
        <v>252</v>
      </c>
      <c r="P42" s="3" t="s">
        <v>114</v>
      </c>
      <c r="Q42" s="1" t="s">
        <v>311</v>
      </c>
      <c r="R42" s="56" t="s">
        <v>68</v>
      </c>
      <c r="S42" s="139"/>
    </row>
    <row r="43" spans="1:19" x14ac:dyDescent="0.2">
      <c r="A43" s="51">
        <v>45869</v>
      </c>
      <c r="B43" s="62" t="s">
        <v>245</v>
      </c>
      <c r="C43" s="16">
        <v>79634354</v>
      </c>
      <c r="D43" s="56" t="s">
        <v>246</v>
      </c>
      <c r="E43" s="56" t="s">
        <v>59</v>
      </c>
      <c r="F43" s="56" t="s">
        <v>60</v>
      </c>
      <c r="G43" s="56" t="s">
        <v>247</v>
      </c>
      <c r="H43" s="3" t="s">
        <v>248</v>
      </c>
      <c r="I43" s="16">
        <v>764001</v>
      </c>
      <c r="J43" s="3" t="s">
        <v>249</v>
      </c>
      <c r="K43" s="13" t="s">
        <v>250</v>
      </c>
      <c r="L43" s="63" t="s">
        <v>94</v>
      </c>
      <c r="M43" s="14">
        <v>300000</v>
      </c>
      <c r="N43" s="15" t="s">
        <v>253</v>
      </c>
      <c r="O43" s="16" t="s">
        <v>89</v>
      </c>
      <c r="P43" s="3" t="s">
        <v>114</v>
      </c>
      <c r="Q43" s="1" t="s">
        <v>311</v>
      </c>
      <c r="R43" s="56" t="s">
        <v>68</v>
      </c>
      <c r="S43" s="139"/>
    </row>
    <row r="44" spans="1:19" x14ac:dyDescent="0.2">
      <c r="A44" s="51">
        <v>45884</v>
      </c>
      <c r="B44" s="62" t="s">
        <v>245</v>
      </c>
      <c r="C44" s="16">
        <v>79634354</v>
      </c>
      <c r="D44" s="56" t="s">
        <v>246</v>
      </c>
      <c r="E44" s="56" t="s">
        <v>59</v>
      </c>
      <c r="F44" s="56" t="s">
        <v>60</v>
      </c>
      <c r="G44" s="56" t="s">
        <v>247</v>
      </c>
      <c r="H44" s="3" t="s">
        <v>248</v>
      </c>
      <c r="I44" s="16">
        <v>764001</v>
      </c>
      <c r="J44" s="3" t="s">
        <v>249</v>
      </c>
      <c r="K44" s="13" t="s">
        <v>250</v>
      </c>
      <c r="L44" s="63" t="s">
        <v>254</v>
      </c>
      <c r="M44" s="14">
        <v>1800000</v>
      </c>
      <c r="N44" s="15" t="s">
        <v>255</v>
      </c>
      <c r="O44" s="16" t="s">
        <v>89</v>
      </c>
      <c r="P44" s="3" t="s">
        <v>114</v>
      </c>
      <c r="Q44" s="1" t="s">
        <v>311</v>
      </c>
      <c r="R44" s="56" t="s">
        <v>68</v>
      </c>
      <c r="S44" s="139"/>
    </row>
    <row r="45" spans="1:19" x14ac:dyDescent="0.2">
      <c r="A45" s="51">
        <v>45903</v>
      </c>
      <c r="B45" s="62" t="s">
        <v>245</v>
      </c>
      <c r="C45" s="16">
        <v>79634354</v>
      </c>
      <c r="D45" s="56" t="s">
        <v>246</v>
      </c>
      <c r="E45" s="56" t="s">
        <v>59</v>
      </c>
      <c r="F45" s="56" t="s">
        <v>60</v>
      </c>
      <c r="G45" s="56" t="s">
        <v>247</v>
      </c>
      <c r="H45" s="3" t="s">
        <v>248</v>
      </c>
      <c r="I45" s="16">
        <v>764001</v>
      </c>
      <c r="J45" s="3" t="s">
        <v>249</v>
      </c>
      <c r="K45" s="13" t="s">
        <v>250</v>
      </c>
      <c r="L45" s="63" t="s">
        <v>256</v>
      </c>
      <c r="M45" s="14">
        <v>1800000</v>
      </c>
      <c r="N45" s="15" t="s">
        <v>257</v>
      </c>
      <c r="O45" s="16" t="s">
        <v>89</v>
      </c>
      <c r="P45" s="3" t="s">
        <v>114</v>
      </c>
      <c r="Q45" s="1" t="s">
        <v>311</v>
      </c>
      <c r="R45" s="56" t="s">
        <v>68</v>
      </c>
      <c r="S45" s="139"/>
    </row>
    <row r="46" spans="1:19" x14ac:dyDescent="0.2">
      <c r="A46" s="51">
        <v>45916</v>
      </c>
      <c r="B46" s="62" t="s">
        <v>245</v>
      </c>
      <c r="C46" s="16">
        <v>79634354</v>
      </c>
      <c r="D46" s="56" t="s">
        <v>246</v>
      </c>
      <c r="E46" s="56" t="s">
        <v>59</v>
      </c>
      <c r="F46" s="56" t="s">
        <v>60</v>
      </c>
      <c r="G46" s="56" t="s">
        <v>247</v>
      </c>
      <c r="H46" s="3" t="s">
        <v>248</v>
      </c>
      <c r="I46" s="16">
        <v>764001</v>
      </c>
      <c r="J46" s="3" t="s">
        <v>249</v>
      </c>
      <c r="K46" s="13" t="s">
        <v>250</v>
      </c>
      <c r="L46" s="63" t="s">
        <v>45</v>
      </c>
      <c r="M46" s="14">
        <v>500000</v>
      </c>
      <c r="N46" s="15" t="s">
        <v>258</v>
      </c>
      <c r="O46" s="16" t="s">
        <v>3</v>
      </c>
      <c r="P46" s="3" t="s">
        <v>114</v>
      </c>
      <c r="Q46" s="1" t="s">
        <v>311</v>
      </c>
      <c r="R46" s="56" t="s">
        <v>68</v>
      </c>
      <c r="S46" s="139"/>
    </row>
    <row r="47" spans="1:19" x14ac:dyDescent="0.2">
      <c r="A47" s="51">
        <v>45929</v>
      </c>
      <c r="B47" s="62" t="s">
        <v>245</v>
      </c>
      <c r="C47" s="16">
        <v>79634354</v>
      </c>
      <c r="D47" s="56" t="s">
        <v>246</v>
      </c>
      <c r="E47" s="56" t="s">
        <v>59</v>
      </c>
      <c r="F47" s="56" t="s">
        <v>60</v>
      </c>
      <c r="G47" s="56" t="s">
        <v>247</v>
      </c>
      <c r="H47" s="3" t="s">
        <v>248</v>
      </c>
      <c r="I47" s="16">
        <v>764001</v>
      </c>
      <c r="J47" s="3" t="s">
        <v>249</v>
      </c>
      <c r="K47" s="13" t="s">
        <v>250</v>
      </c>
      <c r="L47" s="63" t="s">
        <v>85</v>
      </c>
      <c r="M47" s="14">
        <v>300000</v>
      </c>
      <c r="N47" s="15" t="s">
        <v>259</v>
      </c>
      <c r="O47" s="16" t="s">
        <v>252</v>
      </c>
      <c r="P47" s="3" t="s">
        <v>114</v>
      </c>
      <c r="Q47" s="1" t="s">
        <v>311</v>
      </c>
      <c r="R47" s="56" t="s">
        <v>68</v>
      </c>
      <c r="S47" s="139"/>
    </row>
    <row r="48" spans="1:19" x14ac:dyDescent="0.2">
      <c r="A48" s="51">
        <v>45929</v>
      </c>
      <c r="B48" s="62" t="s">
        <v>245</v>
      </c>
      <c r="C48" s="16">
        <v>79634354</v>
      </c>
      <c r="D48" s="56" t="s">
        <v>246</v>
      </c>
      <c r="E48" s="56" t="s">
        <v>59</v>
      </c>
      <c r="F48" s="56" t="s">
        <v>60</v>
      </c>
      <c r="G48" s="56" t="s">
        <v>247</v>
      </c>
      <c r="H48" s="3" t="s">
        <v>248</v>
      </c>
      <c r="I48" s="16">
        <v>764001</v>
      </c>
      <c r="J48" s="3" t="s">
        <v>249</v>
      </c>
      <c r="K48" s="13" t="s">
        <v>250</v>
      </c>
      <c r="L48" s="63" t="s">
        <v>85</v>
      </c>
      <c r="M48" s="14">
        <v>300000</v>
      </c>
      <c r="N48" s="15" t="s">
        <v>260</v>
      </c>
      <c r="O48" s="16" t="s">
        <v>252</v>
      </c>
      <c r="P48" s="3" t="s">
        <v>114</v>
      </c>
      <c r="Q48" s="1" t="s">
        <v>311</v>
      </c>
      <c r="R48" s="56" t="s">
        <v>68</v>
      </c>
      <c r="S48" s="139"/>
    </row>
    <row r="49" spans="1:19" x14ac:dyDescent="0.2">
      <c r="A49" s="51">
        <v>45952</v>
      </c>
      <c r="B49" s="62" t="s">
        <v>245</v>
      </c>
      <c r="C49" s="16">
        <v>79634354</v>
      </c>
      <c r="D49" s="56" t="s">
        <v>246</v>
      </c>
      <c r="E49" s="56" t="s">
        <v>59</v>
      </c>
      <c r="F49" s="56" t="s">
        <v>60</v>
      </c>
      <c r="G49" s="56" t="s">
        <v>247</v>
      </c>
      <c r="H49" s="3" t="s">
        <v>248</v>
      </c>
      <c r="I49" s="16">
        <v>764001</v>
      </c>
      <c r="J49" s="16" t="s">
        <v>249</v>
      </c>
      <c r="K49" s="13" t="s">
        <v>250</v>
      </c>
      <c r="L49" s="63" t="s">
        <v>95</v>
      </c>
      <c r="M49" s="14">
        <v>200000</v>
      </c>
      <c r="N49" s="15" t="s">
        <v>261</v>
      </c>
      <c r="O49" s="16" t="s">
        <v>3</v>
      </c>
      <c r="P49" s="3" t="s">
        <v>114</v>
      </c>
      <c r="Q49" s="1" t="s">
        <v>311</v>
      </c>
      <c r="R49" s="56" t="s">
        <v>68</v>
      </c>
      <c r="S49" s="139"/>
    </row>
    <row r="50" spans="1:19" x14ac:dyDescent="0.2">
      <c r="A50" s="51">
        <v>46023</v>
      </c>
      <c r="B50" s="62" t="s">
        <v>245</v>
      </c>
      <c r="C50" s="16">
        <v>79634354</v>
      </c>
      <c r="D50" s="56" t="s">
        <v>246</v>
      </c>
      <c r="E50" s="56" t="s">
        <v>59</v>
      </c>
      <c r="F50" s="56" t="s">
        <v>60</v>
      </c>
      <c r="G50" s="56" t="s">
        <v>247</v>
      </c>
      <c r="H50" s="3" t="s">
        <v>248</v>
      </c>
      <c r="I50" s="16">
        <v>764001</v>
      </c>
      <c r="J50" s="16" t="s">
        <v>249</v>
      </c>
      <c r="K50" s="13" t="s">
        <v>250</v>
      </c>
      <c r="L50" s="63" t="s">
        <v>262</v>
      </c>
      <c r="M50" s="14">
        <v>0</v>
      </c>
      <c r="N50" s="15" t="s">
        <v>263</v>
      </c>
      <c r="O50" s="16" t="s">
        <v>61</v>
      </c>
      <c r="P50" s="3" t="s">
        <v>114</v>
      </c>
      <c r="Q50" s="1" t="s">
        <v>311</v>
      </c>
      <c r="R50" s="56" t="s">
        <v>68</v>
      </c>
      <c r="S50" s="139"/>
    </row>
    <row r="51" spans="1:19" x14ac:dyDescent="0.2">
      <c r="A51" s="51">
        <v>46056</v>
      </c>
      <c r="B51" s="62" t="s">
        <v>245</v>
      </c>
      <c r="C51" s="16">
        <v>79634354</v>
      </c>
      <c r="D51" s="56" t="s">
        <v>246</v>
      </c>
      <c r="E51" s="56" t="s">
        <v>59</v>
      </c>
      <c r="F51" s="56" t="s">
        <v>60</v>
      </c>
      <c r="G51" s="56" t="s">
        <v>247</v>
      </c>
      <c r="H51" s="3" t="s">
        <v>248</v>
      </c>
      <c r="I51" s="16">
        <v>764001</v>
      </c>
      <c r="J51" s="16" t="s">
        <v>249</v>
      </c>
      <c r="K51" s="13" t="s">
        <v>250</v>
      </c>
      <c r="L51" s="63" t="s">
        <v>5</v>
      </c>
      <c r="M51" s="14">
        <v>150000</v>
      </c>
      <c r="N51" s="15" t="s">
        <v>264</v>
      </c>
      <c r="O51" s="16" t="s">
        <v>3</v>
      </c>
      <c r="P51" s="3" t="s">
        <v>114</v>
      </c>
      <c r="Q51" s="1" t="s">
        <v>311</v>
      </c>
      <c r="R51" s="56" t="s">
        <v>68</v>
      </c>
      <c r="S51" s="139"/>
    </row>
    <row r="52" spans="1:19" x14ac:dyDescent="0.2">
      <c r="A52" s="51">
        <v>45967</v>
      </c>
      <c r="B52" s="62" t="s">
        <v>265</v>
      </c>
      <c r="C52" s="16">
        <v>4213526</v>
      </c>
      <c r="D52" s="56" t="s">
        <v>266</v>
      </c>
      <c r="E52" s="56" t="s">
        <v>59</v>
      </c>
      <c r="F52" s="56" t="s">
        <v>84</v>
      </c>
      <c r="G52" s="56" t="s">
        <v>86</v>
      </c>
      <c r="H52" s="3" t="s">
        <v>267</v>
      </c>
      <c r="I52" s="16">
        <v>661001</v>
      </c>
      <c r="J52" s="16" t="s">
        <v>268</v>
      </c>
      <c r="K52" s="13" t="s">
        <v>269</v>
      </c>
      <c r="L52" s="63" t="s">
        <v>2</v>
      </c>
      <c r="M52" s="14">
        <v>100000</v>
      </c>
      <c r="N52" s="15" t="s">
        <v>270</v>
      </c>
      <c r="O52" s="16" t="s">
        <v>3</v>
      </c>
      <c r="P52" s="3" t="s">
        <v>114</v>
      </c>
      <c r="Q52" s="1" t="s">
        <v>311</v>
      </c>
      <c r="R52" s="56" t="s">
        <v>68</v>
      </c>
      <c r="S52" s="139"/>
    </row>
    <row r="53" spans="1:19" x14ac:dyDescent="0.2">
      <c r="A53" s="51">
        <v>45870.689293981479</v>
      </c>
      <c r="B53" s="62" t="s">
        <v>271</v>
      </c>
      <c r="C53" s="16">
        <v>1042094373</v>
      </c>
      <c r="D53" s="56" t="s">
        <v>61</v>
      </c>
      <c r="E53" s="56" t="s">
        <v>59</v>
      </c>
      <c r="F53" s="56" t="s">
        <v>90</v>
      </c>
      <c r="G53" s="56" t="s">
        <v>168</v>
      </c>
      <c r="H53" s="3" t="s">
        <v>272</v>
      </c>
      <c r="I53" s="16">
        <v>52830</v>
      </c>
      <c r="J53" s="3" t="s">
        <v>273</v>
      </c>
      <c r="K53" s="13" t="s">
        <v>274</v>
      </c>
      <c r="L53" s="63" t="s">
        <v>94</v>
      </c>
      <c r="M53" s="14">
        <v>300000</v>
      </c>
      <c r="N53" s="15" t="s">
        <v>275</v>
      </c>
      <c r="O53" s="16" t="s">
        <v>3</v>
      </c>
      <c r="P53" s="3" t="s">
        <v>114</v>
      </c>
      <c r="Q53" s="1" t="s">
        <v>311</v>
      </c>
      <c r="R53" s="56" t="s">
        <v>61</v>
      </c>
      <c r="S53" s="139"/>
    </row>
    <row r="54" spans="1:19" x14ac:dyDescent="0.2">
      <c r="A54" s="51">
        <v>45832.808706689815</v>
      </c>
      <c r="B54" s="62" t="s">
        <v>276</v>
      </c>
      <c r="C54" s="16">
        <v>94373901</v>
      </c>
      <c r="D54" s="56" t="s">
        <v>61</v>
      </c>
      <c r="E54" s="56" t="s">
        <v>59</v>
      </c>
      <c r="F54" s="56" t="s">
        <v>84</v>
      </c>
      <c r="G54" s="56" t="s">
        <v>83</v>
      </c>
      <c r="H54" s="3" t="s">
        <v>277</v>
      </c>
      <c r="I54" s="16">
        <v>660001</v>
      </c>
      <c r="J54" s="3" t="s">
        <v>278</v>
      </c>
      <c r="K54" s="13" t="s">
        <v>279</v>
      </c>
      <c r="L54" s="63" t="s">
        <v>4</v>
      </c>
      <c r="M54" s="14">
        <v>200000</v>
      </c>
      <c r="N54" s="15" t="s">
        <v>280</v>
      </c>
      <c r="O54" s="16" t="s">
        <v>3</v>
      </c>
      <c r="P54" s="3" t="s">
        <v>114</v>
      </c>
      <c r="Q54" s="1" t="s">
        <v>311</v>
      </c>
      <c r="R54" s="56" t="s">
        <v>61</v>
      </c>
      <c r="S54" s="139"/>
    </row>
    <row r="55" spans="1:19" x14ac:dyDescent="0.2">
      <c r="A55" s="51">
        <v>45856</v>
      </c>
      <c r="B55" s="62" t="s">
        <v>276</v>
      </c>
      <c r="C55" s="16">
        <v>94373901</v>
      </c>
      <c r="D55" s="56" t="s">
        <v>61</v>
      </c>
      <c r="E55" s="56" t="s">
        <v>59</v>
      </c>
      <c r="F55" s="56" t="s">
        <v>84</v>
      </c>
      <c r="G55" s="56" t="s">
        <v>83</v>
      </c>
      <c r="H55" s="3" t="s">
        <v>277</v>
      </c>
      <c r="I55" s="16">
        <v>660001</v>
      </c>
      <c r="J55" s="3" t="s">
        <v>278</v>
      </c>
      <c r="K55" s="13" t="s">
        <v>279</v>
      </c>
      <c r="L55" s="63" t="s">
        <v>94</v>
      </c>
      <c r="M55" s="14">
        <v>300000</v>
      </c>
      <c r="N55" s="15" t="s">
        <v>281</v>
      </c>
      <c r="O55" s="16" t="s">
        <v>3</v>
      </c>
      <c r="P55" s="3" t="s">
        <v>114</v>
      </c>
      <c r="Q55" s="1" t="s">
        <v>311</v>
      </c>
      <c r="R55" s="56" t="s">
        <v>61</v>
      </c>
      <c r="S55" s="139"/>
    </row>
    <row r="56" spans="1:19" ht="15" customHeight="1" x14ac:dyDescent="0.2">
      <c r="A56" s="51">
        <v>45856</v>
      </c>
      <c r="B56" s="62" t="s">
        <v>276</v>
      </c>
      <c r="C56" s="16">
        <v>94373901</v>
      </c>
      <c r="D56" s="56" t="s">
        <v>61</v>
      </c>
      <c r="E56" s="56" t="s">
        <v>59</v>
      </c>
      <c r="F56" s="56" t="s">
        <v>84</v>
      </c>
      <c r="G56" s="56" t="s">
        <v>83</v>
      </c>
      <c r="H56" s="3" t="s">
        <v>277</v>
      </c>
      <c r="I56" s="16">
        <v>660001</v>
      </c>
      <c r="J56" s="3" t="s">
        <v>278</v>
      </c>
      <c r="K56" s="13" t="s">
        <v>279</v>
      </c>
      <c r="L56" s="63" t="s">
        <v>94</v>
      </c>
      <c r="M56" s="14">
        <v>300000</v>
      </c>
      <c r="N56" s="15" t="s">
        <v>282</v>
      </c>
      <c r="O56" s="16" t="s">
        <v>3</v>
      </c>
      <c r="P56" s="3" t="s">
        <v>114</v>
      </c>
      <c r="Q56" s="1" t="s">
        <v>311</v>
      </c>
      <c r="R56" s="56" t="s">
        <v>61</v>
      </c>
      <c r="S56" s="139"/>
    </row>
    <row r="57" spans="1:19" x14ac:dyDescent="0.2">
      <c r="A57" s="51">
        <v>45832</v>
      </c>
      <c r="B57" s="62" t="s">
        <v>283</v>
      </c>
      <c r="C57" s="16">
        <v>94373901</v>
      </c>
      <c r="D57" s="56" t="s">
        <v>61</v>
      </c>
      <c r="E57" s="56" t="s">
        <v>59</v>
      </c>
      <c r="F57" s="56" t="s">
        <v>84</v>
      </c>
      <c r="G57" s="56" t="s">
        <v>83</v>
      </c>
      <c r="H57" s="3" t="s">
        <v>277</v>
      </c>
      <c r="I57" s="16">
        <v>660001</v>
      </c>
      <c r="J57" s="3" t="s">
        <v>278</v>
      </c>
      <c r="K57" s="13" t="s">
        <v>279</v>
      </c>
      <c r="L57" s="63" t="s">
        <v>4</v>
      </c>
      <c r="M57" s="14">
        <v>200000</v>
      </c>
      <c r="N57" s="15">
        <v>141024</v>
      </c>
      <c r="O57" s="16" t="s">
        <v>89</v>
      </c>
      <c r="P57" s="3" t="s">
        <v>114</v>
      </c>
      <c r="Q57" s="1" t="s">
        <v>311</v>
      </c>
      <c r="R57" s="56" t="s">
        <v>61</v>
      </c>
      <c r="S57" s="139"/>
    </row>
    <row r="58" spans="1:19" ht="12.75" customHeight="1" x14ac:dyDescent="0.2">
      <c r="A58" s="51">
        <v>45856</v>
      </c>
      <c r="B58" s="62" t="s">
        <v>283</v>
      </c>
      <c r="C58" s="16">
        <v>94373901</v>
      </c>
      <c r="D58" s="56" t="s">
        <v>61</v>
      </c>
      <c r="E58" s="56" t="s">
        <v>59</v>
      </c>
      <c r="F58" s="56" t="s">
        <v>84</v>
      </c>
      <c r="G58" s="56" t="s">
        <v>83</v>
      </c>
      <c r="H58" s="3" t="s">
        <v>277</v>
      </c>
      <c r="I58" s="16">
        <v>660001</v>
      </c>
      <c r="J58" s="3" t="s">
        <v>278</v>
      </c>
      <c r="K58" s="13" t="s">
        <v>279</v>
      </c>
      <c r="L58" s="63" t="s">
        <v>94</v>
      </c>
      <c r="M58" s="14">
        <v>300000</v>
      </c>
      <c r="N58" s="15" t="s">
        <v>284</v>
      </c>
      <c r="O58" s="16" t="s">
        <v>3</v>
      </c>
      <c r="P58" s="3" t="s">
        <v>114</v>
      </c>
      <c r="Q58" s="1" t="s">
        <v>311</v>
      </c>
      <c r="R58" s="56" t="s">
        <v>61</v>
      </c>
      <c r="S58" s="139"/>
    </row>
    <row r="59" spans="1:19" x14ac:dyDescent="0.2">
      <c r="A59" s="51">
        <v>45878</v>
      </c>
      <c r="B59" s="62" t="s">
        <v>283</v>
      </c>
      <c r="C59" s="16">
        <v>94373901</v>
      </c>
      <c r="D59" s="56" t="s">
        <v>61</v>
      </c>
      <c r="E59" s="56" t="s">
        <v>59</v>
      </c>
      <c r="F59" s="56" t="s">
        <v>84</v>
      </c>
      <c r="G59" s="56" t="s">
        <v>83</v>
      </c>
      <c r="H59" s="3" t="s">
        <v>277</v>
      </c>
      <c r="I59" s="16">
        <v>660001</v>
      </c>
      <c r="J59" s="3" t="s">
        <v>278</v>
      </c>
      <c r="K59" s="13" t="s">
        <v>279</v>
      </c>
      <c r="L59" s="63" t="s">
        <v>94</v>
      </c>
      <c r="M59" s="14">
        <v>300000</v>
      </c>
      <c r="N59" s="15" t="s">
        <v>285</v>
      </c>
      <c r="O59" s="16" t="s">
        <v>3</v>
      </c>
      <c r="P59" s="3" t="s">
        <v>114</v>
      </c>
      <c r="Q59" s="1" t="s">
        <v>311</v>
      </c>
      <c r="R59" s="56" t="s">
        <v>61</v>
      </c>
      <c r="S59" s="139"/>
    </row>
    <row r="60" spans="1:19" x14ac:dyDescent="0.2">
      <c r="A60" s="51">
        <v>45885</v>
      </c>
      <c r="B60" s="62" t="s">
        <v>283</v>
      </c>
      <c r="C60" s="16">
        <v>94373901</v>
      </c>
      <c r="D60" s="56" t="s">
        <v>61</v>
      </c>
      <c r="E60" s="56" t="s">
        <v>59</v>
      </c>
      <c r="F60" s="56" t="s">
        <v>84</v>
      </c>
      <c r="G60" s="56" t="s">
        <v>83</v>
      </c>
      <c r="H60" s="3" t="s">
        <v>277</v>
      </c>
      <c r="I60" s="16">
        <v>660001</v>
      </c>
      <c r="J60" s="3" t="s">
        <v>278</v>
      </c>
      <c r="K60" s="13" t="s">
        <v>279</v>
      </c>
      <c r="L60" s="63" t="s">
        <v>94</v>
      </c>
      <c r="M60" s="14">
        <v>300000</v>
      </c>
      <c r="N60" s="15" t="s">
        <v>286</v>
      </c>
      <c r="O60" s="16" t="s">
        <v>3</v>
      </c>
      <c r="P60" s="3" t="s">
        <v>114</v>
      </c>
      <c r="Q60" s="1" t="s">
        <v>311</v>
      </c>
      <c r="R60" s="56" t="s">
        <v>61</v>
      </c>
      <c r="S60" s="139"/>
    </row>
    <row r="61" spans="1:19" x14ac:dyDescent="0.2">
      <c r="A61" s="51">
        <v>45888</v>
      </c>
      <c r="B61" s="62" t="s">
        <v>283</v>
      </c>
      <c r="C61" s="16">
        <v>94373901</v>
      </c>
      <c r="D61" s="56" t="s">
        <v>61</v>
      </c>
      <c r="E61" s="56" t="s">
        <v>59</v>
      </c>
      <c r="F61" s="56" t="s">
        <v>84</v>
      </c>
      <c r="G61" s="56" t="s">
        <v>83</v>
      </c>
      <c r="H61" s="3" t="s">
        <v>277</v>
      </c>
      <c r="I61" s="16">
        <v>660001</v>
      </c>
      <c r="J61" s="3" t="s">
        <v>278</v>
      </c>
      <c r="K61" s="13" t="s">
        <v>279</v>
      </c>
      <c r="L61" s="63" t="s">
        <v>94</v>
      </c>
      <c r="M61" s="14">
        <v>300000</v>
      </c>
      <c r="N61" s="15" t="s">
        <v>287</v>
      </c>
      <c r="O61" s="16" t="s">
        <v>3</v>
      </c>
      <c r="P61" s="3" t="s">
        <v>114</v>
      </c>
      <c r="Q61" s="1" t="s">
        <v>311</v>
      </c>
      <c r="R61" s="56" t="s">
        <v>61</v>
      </c>
      <c r="S61" s="139"/>
    </row>
    <row r="62" spans="1:19" ht="12.75" customHeight="1" x14ac:dyDescent="0.2">
      <c r="A62" s="51">
        <v>45898</v>
      </c>
      <c r="B62" s="62" t="s">
        <v>283</v>
      </c>
      <c r="C62" s="16">
        <v>94373901</v>
      </c>
      <c r="D62" s="56" t="s">
        <v>61</v>
      </c>
      <c r="E62" s="56" t="s">
        <v>59</v>
      </c>
      <c r="F62" s="56" t="s">
        <v>84</v>
      </c>
      <c r="G62" s="56" t="s">
        <v>83</v>
      </c>
      <c r="H62" s="3" t="s">
        <v>277</v>
      </c>
      <c r="I62" s="16">
        <v>660001</v>
      </c>
      <c r="J62" s="3" t="s">
        <v>278</v>
      </c>
      <c r="K62" s="13" t="s">
        <v>279</v>
      </c>
      <c r="L62" s="63" t="s">
        <v>85</v>
      </c>
      <c r="M62" s="14">
        <v>300000</v>
      </c>
      <c r="N62" s="15" t="s">
        <v>288</v>
      </c>
      <c r="O62" s="16" t="s">
        <v>89</v>
      </c>
      <c r="P62" s="3" t="s">
        <v>114</v>
      </c>
      <c r="Q62" s="1" t="s">
        <v>311</v>
      </c>
      <c r="R62" s="56" t="s">
        <v>61</v>
      </c>
      <c r="S62" s="139"/>
    </row>
    <row r="63" spans="1:19" x14ac:dyDescent="0.2">
      <c r="A63" s="51">
        <v>46023</v>
      </c>
      <c r="B63" s="62" t="s">
        <v>283</v>
      </c>
      <c r="C63" s="16">
        <v>94373901</v>
      </c>
      <c r="D63" s="56" t="s">
        <v>61</v>
      </c>
      <c r="E63" s="56" t="s">
        <v>59</v>
      </c>
      <c r="F63" s="56" t="s">
        <v>84</v>
      </c>
      <c r="G63" s="56" t="s">
        <v>83</v>
      </c>
      <c r="H63" s="3" t="s">
        <v>277</v>
      </c>
      <c r="I63" s="16">
        <v>660001</v>
      </c>
      <c r="J63" s="16" t="s">
        <v>278</v>
      </c>
      <c r="K63" s="13" t="s">
        <v>279</v>
      </c>
      <c r="L63" s="63" t="s">
        <v>262</v>
      </c>
      <c r="M63" s="14">
        <v>0</v>
      </c>
      <c r="N63" s="15" t="s">
        <v>263</v>
      </c>
      <c r="O63" s="16" t="s">
        <v>61</v>
      </c>
      <c r="P63" s="3" t="s">
        <v>114</v>
      </c>
      <c r="Q63" s="1" t="s">
        <v>311</v>
      </c>
      <c r="R63" s="56" t="s">
        <v>61</v>
      </c>
      <c r="S63" s="139"/>
    </row>
    <row r="64" spans="1:19" x14ac:dyDescent="0.2">
      <c r="A64" s="51">
        <v>45829.879779710653</v>
      </c>
      <c r="B64" s="62" t="s">
        <v>289</v>
      </c>
      <c r="C64" s="16">
        <v>10129309</v>
      </c>
      <c r="D64" s="56" t="s">
        <v>290</v>
      </c>
      <c r="E64" s="56" t="s">
        <v>59</v>
      </c>
      <c r="F64" s="56" t="s">
        <v>97</v>
      </c>
      <c r="G64" s="56" t="s">
        <v>83</v>
      </c>
      <c r="H64" s="3" t="s">
        <v>291</v>
      </c>
      <c r="I64" s="16">
        <v>660001</v>
      </c>
      <c r="J64" s="3" t="s">
        <v>292</v>
      </c>
      <c r="K64" s="13" t="s">
        <v>293</v>
      </c>
      <c r="L64" s="63" t="s">
        <v>87</v>
      </c>
      <c r="M64" s="14">
        <v>120000</v>
      </c>
      <c r="N64" s="114" t="s">
        <v>294</v>
      </c>
      <c r="O64" s="16" t="s">
        <v>46</v>
      </c>
      <c r="P64" s="3" t="s">
        <v>114</v>
      </c>
      <c r="Q64" s="1" t="s">
        <v>311</v>
      </c>
      <c r="R64" s="56" t="s">
        <v>68</v>
      </c>
      <c r="S64" s="139"/>
    </row>
    <row r="65" spans="1:19" x14ac:dyDescent="0.2">
      <c r="A65" s="51">
        <v>45842</v>
      </c>
      <c r="B65" s="62" t="s">
        <v>295</v>
      </c>
      <c r="C65" s="16">
        <v>21945693</v>
      </c>
      <c r="D65" s="56" t="s">
        <v>296</v>
      </c>
      <c r="E65" s="56" t="s">
        <v>59</v>
      </c>
      <c r="F65" s="56" t="s">
        <v>90</v>
      </c>
      <c r="G65" s="56" t="s">
        <v>168</v>
      </c>
      <c r="H65" s="3" t="s">
        <v>297</v>
      </c>
      <c r="I65" s="16">
        <v>52830</v>
      </c>
      <c r="J65" s="3" t="s">
        <v>298</v>
      </c>
      <c r="K65" s="13" t="s">
        <v>299</v>
      </c>
      <c r="L65" s="63" t="s">
        <v>96</v>
      </c>
      <c r="M65" s="14">
        <v>300000</v>
      </c>
      <c r="N65" s="15" t="s">
        <v>300</v>
      </c>
      <c r="O65" s="16" t="s">
        <v>1</v>
      </c>
      <c r="P65" s="3" t="s">
        <v>114</v>
      </c>
      <c r="Q65" s="1" t="s">
        <v>0</v>
      </c>
      <c r="R65" s="56" t="s">
        <v>68</v>
      </c>
      <c r="S65" s="139"/>
    </row>
    <row r="66" spans="1:19" x14ac:dyDescent="0.2">
      <c r="A66" s="51">
        <v>45871</v>
      </c>
      <c r="B66" s="62" t="s">
        <v>295</v>
      </c>
      <c r="C66" s="16">
        <v>21945693</v>
      </c>
      <c r="D66" s="56" t="s">
        <v>296</v>
      </c>
      <c r="E66" s="56" t="s">
        <v>59</v>
      </c>
      <c r="F66" s="56" t="s">
        <v>90</v>
      </c>
      <c r="G66" s="56" t="s">
        <v>168</v>
      </c>
      <c r="H66" s="3" t="s">
        <v>297</v>
      </c>
      <c r="I66" s="16">
        <v>52830</v>
      </c>
      <c r="J66" s="3" t="s">
        <v>298</v>
      </c>
      <c r="K66" s="13" t="s">
        <v>299</v>
      </c>
      <c r="L66" s="63" t="s">
        <v>94</v>
      </c>
      <c r="M66" s="14">
        <v>300000</v>
      </c>
      <c r="N66" s="15" t="s">
        <v>301</v>
      </c>
      <c r="O66" s="16" t="s">
        <v>1</v>
      </c>
      <c r="P66" s="3" t="s">
        <v>114</v>
      </c>
      <c r="Q66" s="1" t="s">
        <v>0</v>
      </c>
      <c r="R66" s="56" t="s">
        <v>68</v>
      </c>
      <c r="S66" s="139"/>
    </row>
    <row r="67" spans="1:19" x14ac:dyDescent="0.2">
      <c r="A67" s="51">
        <v>45916</v>
      </c>
      <c r="B67" s="62" t="s">
        <v>295</v>
      </c>
      <c r="C67" s="16">
        <v>21945693</v>
      </c>
      <c r="D67" s="56" t="s">
        <v>296</v>
      </c>
      <c r="E67" s="56" t="s">
        <v>59</v>
      </c>
      <c r="F67" s="56" t="s">
        <v>90</v>
      </c>
      <c r="G67" s="56" t="s">
        <v>168</v>
      </c>
      <c r="H67" s="3" t="s">
        <v>297</v>
      </c>
      <c r="I67" s="16">
        <v>52830</v>
      </c>
      <c r="J67" s="3" t="s">
        <v>298</v>
      </c>
      <c r="K67" s="13" t="s">
        <v>299</v>
      </c>
      <c r="L67" s="63" t="s">
        <v>45</v>
      </c>
      <c r="M67" s="14">
        <v>500000</v>
      </c>
      <c r="N67" s="15" t="s">
        <v>302</v>
      </c>
      <c r="O67" s="16" t="s">
        <v>1</v>
      </c>
      <c r="P67" s="3" t="s">
        <v>114</v>
      </c>
      <c r="Q67" s="1" t="s">
        <v>0</v>
      </c>
      <c r="R67" s="56" t="s">
        <v>68</v>
      </c>
      <c r="S67" s="139"/>
    </row>
    <row r="68" spans="1:19" x14ac:dyDescent="0.2">
      <c r="A68" s="51">
        <v>45985</v>
      </c>
      <c r="B68" s="62" t="s">
        <v>295</v>
      </c>
      <c r="C68" s="16">
        <v>21945693</v>
      </c>
      <c r="D68" s="56" t="s">
        <v>296</v>
      </c>
      <c r="E68" s="56" t="s">
        <v>59</v>
      </c>
      <c r="F68" s="56" t="s">
        <v>90</v>
      </c>
      <c r="G68" s="56" t="s">
        <v>168</v>
      </c>
      <c r="H68" s="3" t="s">
        <v>297</v>
      </c>
      <c r="I68" s="16">
        <v>52830</v>
      </c>
      <c r="J68" s="16" t="s">
        <v>298</v>
      </c>
      <c r="K68" s="13" t="s">
        <v>299</v>
      </c>
      <c r="L68" s="63" t="s">
        <v>85</v>
      </c>
      <c r="M68" s="14">
        <v>500000</v>
      </c>
      <c r="N68" s="15" t="s">
        <v>303</v>
      </c>
      <c r="O68" s="16" t="s">
        <v>3</v>
      </c>
      <c r="P68" s="3" t="s">
        <v>114</v>
      </c>
      <c r="Q68" s="1" t="s">
        <v>0</v>
      </c>
      <c r="R68" s="56" t="s">
        <v>68</v>
      </c>
      <c r="S68" s="139"/>
    </row>
    <row r="69" spans="1:19" x14ac:dyDescent="0.2">
      <c r="A69" s="64">
        <v>46133</v>
      </c>
      <c r="B69" s="62" t="s">
        <v>295</v>
      </c>
      <c r="C69" s="16">
        <v>21945693</v>
      </c>
      <c r="D69" s="56" t="s">
        <v>296</v>
      </c>
      <c r="E69" s="56" t="s">
        <v>59</v>
      </c>
      <c r="F69" s="56" t="s">
        <v>90</v>
      </c>
      <c r="G69" s="56" t="s">
        <v>168</v>
      </c>
      <c r="H69" s="3" t="s">
        <v>297</v>
      </c>
      <c r="I69" s="16">
        <v>52830</v>
      </c>
      <c r="J69" s="13" t="s">
        <v>298</v>
      </c>
      <c r="K69" s="13" t="s">
        <v>299</v>
      </c>
      <c r="L69" s="63" t="s">
        <v>44</v>
      </c>
      <c r="M69" s="14">
        <v>200000</v>
      </c>
      <c r="N69" s="13" t="s">
        <v>304</v>
      </c>
      <c r="O69" s="16" t="s">
        <v>1</v>
      </c>
      <c r="P69" s="3" t="s">
        <v>114</v>
      </c>
      <c r="Q69" s="1" t="s">
        <v>0</v>
      </c>
      <c r="R69" s="56" t="s">
        <v>68</v>
      </c>
      <c r="S69" s="139"/>
    </row>
    <row r="70" spans="1:19" x14ac:dyDescent="0.2">
      <c r="A70" s="64">
        <v>46133</v>
      </c>
      <c r="B70" s="62" t="s">
        <v>295</v>
      </c>
      <c r="C70" s="16">
        <v>21945693</v>
      </c>
      <c r="D70" s="56" t="s">
        <v>296</v>
      </c>
      <c r="E70" s="56" t="s">
        <v>59</v>
      </c>
      <c r="F70" s="56" t="s">
        <v>90</v>
      </c>
      <c r="G70" s="56" t="s">
        <v>168</v>
      </c>
      <c r="H70" s="3" t="s">
        <v>297</v>
      </c>
      <c r="I70" s="16">
        <v>52830</v>
      </c>
      <c r="J70" s="13" t="s">
        <v>298</v>
      </c>
      <c r="K70" s="13" t="s">
        <v>299</v>
      </c>
      <c r="L70" s="63" t="s">
        <v>2</v>
      </c>
      <c r="M70" s="14">
        <v>0</v>
      </c>
      <c r="N70" s="13" t="s">
        <v>69</v>
      </c>
      <c r="O70" s="16" t="s">
        <v>61</v>
      </c>
      <c r="P70" s="3" t="s">
        <v>114</v>
      </c>
      <c r="Q70" s="1" t="s">
        <v>0</v>
      </c>
      <c r="R70" s="56" t="s">
        <v>68</v>
      </c>
      <c r="S70" s="139"/>
    </row>
    <row r="71" spans="1:19" x14ac:dyDescent="0.2">
      <c r="A71" s="64">
        <v>46133</v>
      </c>
      <c r="B71" s="62" t="s">
        <v>295</v>
      </c>
      <c r="C71" s="16">
        <v>21945693</v>
      </c>
      <c r="D71" s="56" t="s">
        <v>296</v>
      </c>
      <c r="E71" s="56" t="s">
        <v>59</v>
      </c>
      <c r="F71" s="56" t="s">
        <v>90</v>
      </c>
      <c r="G71" s="56" t="s">
        <v>168</v>
      </c>
      <c r="H71" s="3" t="s">
        <v>297</v>
      </c>
      <c r="I71" s="16">
        <v>52830</v>
      </c>
      <c r="J71" s="13" t="s">
        <v>298</v>
      </c>
      <c r="K71" s="13" t="s">
        <v>299</v>
      </c>
      <c r="L71" s="63" t="s">
        <v>47</v>
      </c>
      <c r="M71" s="14">
        <v>0</v>
      </c>
      <c r="N71" s="13" t="s">
        <v>69</v>
      </c>
      <c r="O71" s="16" t="s">
        <v>61</v>
      </c>
      <c r="P71" s="3" t="s">
        <v>114</v>
      </c>
      <c r="Q71" s="1" t="s">
        <v>0</v>
      </c>
      <c r="R71" s="56" t="s">
        <v>68</v>
      </c>
      <c r="S71" s="139"/>
    </row>
    <row r="72" spans="1:19" x14ac:dyDescent="0.2">
      <c r="S72" s="139"/>
    </row>
    <row r="73" spans="1:19" x14ac:dyDescent="0.2">
      <c r="S73" s="139"/>
    </row>
    <row r="74" spans="1:19" x14ac:dyDescent="0.2">
      <c r="S74" s="139"/>
    </row>
    <row r="75" spans="1:19" x14ac:dyDescent="0.2">
      <c r="S75" s="139"/>
    </row>
    <row r="76" spans="1:19" x14ac:dyDescent="0.2">
      <c r="S76" s="139"/>
    </row>
    <row r="77" spans="1:19" x14ac:dyDescent="0.2">
      <c r="S77" s="139"/>
    </row>
    <row r="78" spans="1:19" x14ac:dyDescent="0.2">
      <c r="S78" s="139"/>
    </row>
    <row r="79" spans="1:19" x14ac:dyDescent="0.2">
      <c r="S79" s="139"/>
    </row>
    <row r="80" spans="1:19" x14ac:dyDescent="0.2">
      <c r="S80" s="139"/>
    </row>
    <row r="81" spans="19:19" x14ac:dyDescent="0.2">
      <c r="S81" s="139"/>
    </row>
    <row r="82" spans="19:19" ht="12.75" customHeight="1" x14ac:dyDescent="0.2">
      <c r="S82" s="139"/>
    </row>
    <row r="83" spans="19:19" x14ac:dyDescent="0.2">
      <c r="S83" s="139"/>
    </row>
    <row r="84" spans="19:19" x14ac:dyDescent="0.2">
      <c r="S84" s="139"/>
    </row>
    <row r="85" spans="19:19" x14ac:dyDescent="0.2">
      <c r="S85" s="139"/>
    </row>
    <row r="86" spans="19:19" x14ac:dyDescent="0.2">
      <c r="S86" s="139"/>
    </row>
    <row r="87" spans="19:19" x14ac:dyDescent="0.2">
      <c r="S87" s="139"/>
    </row>
    <row r="88" spans="19:19" ht="12.75" customHeight="1" x14ac:dyDescent="0.2">
      <c r="S88" s="139"/>
    </row>
    <row r="99" spans="19:19" ht="12.75" customHeight="1" x14ac:dyDescent="0.2"/>
    <row r="100" spans="19:19" x14ac:dyDescent="0.2">
      <c r="S100" s="139"/>
    </row>
    <row r="101" spans="19:19" x14ac:dyDescent="0.2">
      <c r="S101" s="139"/>
    </row>
    <row r="102" spans="19:19" ht="12.75" customHeight="1" x14ac:dyDescent="0.2">
      <c r="S102" s="139"/>
    </row>
    <row r="103" spans="19:19" x14ac:dyDescent="0.2">
      <c r="S103" s="139"/>
    </row>
    <row r="104" spans="19:19" x14ac:dyDescent="0.2">
      <c r="S104" s="139"/>
    </row>
    <row r="105" spans="19:19" x14ac:dyDescent="0.2">
      <c r="S105" s="139"/>
    </row>
    <row r="106" spans="19:19" x14ac:dyDescent="0.2">
      <c r="S106" s="139"/>
    </row>
  </sheetData>
  <autoFilter ref="A1:S106" xr:uid="{BAB99A06-041E-4BD8-B15E-F417C7709518}">
    <sortState xmlns:xlrd2="http://schemas.microsoft.com/office/spreadsheetml/2017/richdata2" ref="A2:S106">
      <sortCondition ref="B1:B106"/>
    </sortState>
  </autoFilter>
  <sortState xmlns:xlrd2="http://schemas.microsoft.com/office/spreadsheetml/2017/richdata2" ref="A2:S107">
    <sortCondition ref="B1:B107"/>
  </sortState>
  <conditionalFormatting sqref="A1">
    <cfRule type="duplicateValues" dxfId="1584" priority="2336"/>
    <cfRule type="duplicateValues" dxfId="1583" priority="2337"/>
    <cfRule type="duplicateValues" dxfId="1582" priority="2338"/>
    <cfRule type="duplicateValues" dxfId="1581" priority="2339"/>
    <cfRule type="duplicateValues" dxfId="1580" priority="2340"/>
    <cfRule type="duplicateValues" dxfId="1579" priority="2341"/>
    <cfRule type="duplicateValues" dxfId="1578" priority="2343"/>
    <cfRule type="duplicateValues" dxfId="1577" priority="2342"/>
    <cfRule type="duplicateValues" dxfId="1576" priority="2346"/>
    <cfRule type="duplicateValues" dxfId="1575" priority="2347"/>
    <cfRule type="duplicateValues" dxfId="1574" priority="2335"/>
    <cfRule type="duplicateValues" dxfId="1573" priority="2348"/>
    <cfRule type="duplicateValues" dxfId="1572" priority="2344"/>
    <cfRule type="duplicateValues" dxfId="1571" priority="2345"/>
  </conditionalFormatting>
  <conditionalFormatting sqref="B1">
    <cfRule type="duplicateValues" dxfId="1570" priority="2330"/>
    <cfRule type="duplicateValues" dxfId="1569" priority="2331"/>
    <cfRule type="duplicateValues" dxfId="1568" priority="2332"/>
    <cfRule type="duplicateValues" dxfId="1567" priority="2333"/>
    <cfRule type="duplicateValues" dxfId="1566" priority="2334"/>
    <cfRule type="duplicateValues" dxfId="1565" priority="2326"/>
    <cfRule type="duplicateValues" dxfId="1564" priority="2349"/>
    <cfRule type="duplicateValues" dxfId="1563" priority="2319"/>
    <cfRule type="duplicateValues" dxfId="1562" priority="2320"/>
    <cfRule type="duplicateValues" dxfId="1561" priority="2321"/>
    <cfRule type="duplicateValues" dxfId="1560" priority="2322"/>
    <cfRule type="duplicateValues" dxfId="1559" priority="2323"/>
    <cfRule type="duplicateValues" dxfId="1558" priority="2324"/>
    <cfRule type="duplicateValues" dxfId="1557" priority="2325"/>
    <cfRule type="duplicateValues" dxfId="1556" priority="2327"/>
    <cfRule type="duplicateValues" dxfId="1555" priority="2328"/>
    <cfRule type="duplicateValues" dxfId="1554" priority="2329"/>
  </conditionalFormatting>
  <conditionalFormatting sqref="B1:B1048576">
    <cfRule type="duplicateValues" dxfId="1553" priority="1"/>
  </conditionalFormatting>
  <conditionalFormatting sqref="B3">
    <cfRule type="duplicateValues" dxfId="1552" priority="2091"/>
    <cfRule type="duplicateValues" dxfId="1551" priority="2090"/>
    <cfRule type="duplicateValues" dxfId="1550" priority="2089"/>
    <cfRule type="duplicateValues" dxfId="1549" priority="2088"/>
    <cfRule type="duplicateValues" dxfId="1548" priority="2087"/>
    <cfRule type="duplicateValues" dxfId="1547" priority="2086"/>
    <cfRule type="duplicateValues" dxfId="1546" priority="2085"/>
    <cfRule type="duplicateValues" dxfId="1545" priority="2084"/>
    <cfRule type="duplicateValues" dxfId="1544" priority="2082"/>
    <cfRule type="duplicateValues" dxfId="1543" priority="2081"/>
    <cfRule type="duplicateValues" dxfId="1542" priority="2080"/>
    <cfRule type="duplicateValues" dxfId="1541" priority="2079"/>
    <cfRule type="duplicateValues" dxfId="1540" priority="2078"/>
    <cfRule type="duplicateValues" dxfId="1539" priority="2077"/>
    <cfRule type="duplicateValues" dxfId="1538" priority="2076"/>
    <cfRule type="duplicateValues" dxfId="1537" priority="2075"/>
    <cfRule type="duplicateValues" dxfId="1536" priority="2074"/>
    <cfRule type="duplicateValues" dxfId="1535" priority="2073"/>
    <cfRule type="duplicateValues" dxfId="1534" priority="2072"/>
    <cfRule type="duplicateValues" dxfId="1533" priority="2071"/>
    <cfRule type="duplicateValues" dxfId="1532" priority="2070"/>
    <cfRule type="duplicateValues" dxfId="1531" priority="2069"/>
    <cfRule type="duplicateValues" dxfId="1530" priority="2065"/>
    <cfRule type="duplicateValues" dxfId="1529" priority="2066"/>
    <cfRule type="duplicateValues" dxfId="1528" priority="2068"/>
    <cfRule type="duplicateValues" dxfId="1527" priority="2092"/>
    <cfRule type="duplicateValues" dxfId="1526" priority="2093"/>
    <cfRule type="duplicateValues" dxfId="1525" priority="2067"/>
    <cfRule type="duplicateValues" dxfId="1524" priority="2094"/>
    <cfRule type="duplicateValues" dxfId="1523" priority="2083"/>
    <cfRule type="duplicateValues" dxfId="1522" priority="2095"/>
    <cfRule type="duplicateValues" dxfId="1521" priority="2096"/>
    <cfRule type="duplicateValues" dxfId="1520" priority="2097"/>
    <cfRule type="duplicateValues" dxfId="1519" priority="2098"/>
    <cfRule type="duplicateValues" dxfId="1518" priority="2099"/>
    <cfRule type="duplicateValues" dxfId="1517" priority="2100"/>
    <cfRule type="duplicateValues" dxfId="1516" priority="2101"/>
  </conditionalFormatting>
  <conditionalFormatting sqref="B3:B19 B22:B25 B40:B58 B70:B79 B87:B106">
    <cfRule type="duplicateValues" dxfId="1515" priority="2245"/>
    <cfRule type="duplicateValues" dxfId="1514" priority="2169"/>
    <cfRule type="duplicateValues" dxfId="1513" priority="2168"/>
    <cfRule type="duplicateValues" dxfId="1512" priority="2170"/>
  </conditionalFormatting>
  <conditionalFormatting sqref="B4">
    <cfRule type="duplicateValues" dxfId="1511" priority="2023"/>
    <cfRule type="duplicateValues" dxfId="1510" priority="2022"/>
    <cfRule type="duplicateValues" dxfId="1509" priority="2021"/>
    <cfRule type="duplicateValues" dxfId="1508" priority="2020"/>
    <cfRule type="duplicateValues" dxfId="1507" priority="2019"/>
    <cfRule type="duplicateValues" dxfId="1506" priority="2018"/>
    <cfRule type="duplicateValues" dxfId="1505" priority="2017"/>
    <cfRule type="duplicateValues" dxfId="1504" priority="2016"/>
    <cfRule type="duplicateValues" dxfId="1503" priority="2015"/>
    <cfRule type="duplicateValues" dxfId="1502" priority="2014"/>
    <cfRule type="duplicateValues" dxfId="1501" priority="2013"/>
    <cfRule type="duplicateValues" dxfId="1500" priority="2012"/>
    <cfRule type="duplicateValues" dxfId="1499" priority="2011"/>
    <cfRule type="duplicateValues" dxfId="1498" priority="2010"/>
    <cfRule type="duplicateValues" dxfId="1497" priority="2009"/>
    <cfRule type="duplicateValues" dxfId="1496" priority="2008"/>
    <cfRule type="duplicateValues" dxfId="1495" priority="2007"/>
    <cfRule type="duplicateValues" dxfId="1494" priority="2006"/>
    <cfRule type="duplicateValues" dxfId="1493" priority="2005"/>
    <cfRule type="duplicateValues" dxfId="1492" priority="2004"/>
    <cfRule type="duplicateValues" dxfId="1491" priority="2003"/>
    <cfRule type="duplicateValues" dxfId="1490" priority="2002"/>
    <cfRule type="duplicateValues" dxfId="1489" priority="2001"/>
    <cfRule type="duplicateValues" dxfId="1488" priority="2000"/>
    <cfRule type="duplicateValues" dxfId="1487" priority="1999"/>
    <cfRule type="duplicateValues" dxfId="1486" priority="1998"/>
    <cfRule type="duplicateValues" dxfId="1485" priority="1997"/>
    <cfRule type="duplicateValues" dxfId="1484" priority="1996"/>
    <cfRule type="duplicateValues" dxfId="1483" priority="1995"/>
    <cfRule type="duplicateValues" dxfId="1482" priority="1994"/>
    <cfRule type="duplicateValues" dxfId="1481" priority="1993"/>
    <cfRule type="duplicateValues" dxfId="1480" priority="1992"/>
    <cfRule type="duplicateValues" dxfId="1479" priority="1991"/>
    <cfRule type="duplicateValues" dxfId="1478" priority="1990"/>
    <cfRule type="duplicateValues" dxfId="1477" priority="1989"/>
    <cfRule type="duplicateValues" dxfId="1476" priority="1988"/>
    <cfRule type="duplicateValues" dxfId="1475" priority="2024"/>
  </conditionalFormatting>
  <conditionalFormatting sqref="B11">
    <cfRule type="duplicateValues" dxfId="1474" priority="1889"/>
    <cfRule type="duplicateValues" dxfId="1473" priority="1888"/>
    <cfRule type="duplicateValues" dxfId="1472" priority="1887"/>
    <cfRule type="duplicateValues" dxfId="1471" priority="1886"/>
    <cfRule type="duplicateValues" dxfId="1470" priority="1885"/>
    <cfRule type="duplicateValues" dxfId="1469" priority="1884"/>
    <cfRule type="duplicateValues" dxfId="1468" priority="1872"/>
    <cfRule type="duplicateValues" dxfId="1467" priority="1883"/>
    <cfRule type="duplicateValues" dxfId="1466" priority="1882"/>
    <cfRule type="duplicateValues" dxfId="1465" priority="1881"/>
    <cfRule type="duplicateValues" dxfId="1464" priority="1880"/>
    <cfRule type="duplicateValues" dxfId="1463" priority="1879"/>
    <cfRule type="duplicateValues" dxfId="1462" priority="1878"/>
    <cfRule type="duplicateValues" dxfId="1461" priority="1877"/>
    <cfRule type="duplicateValues" dxfId="1460" priority="1876"/>
    <cfRule type="duplicateValues" dxfId="1459" priority="1875"/>
    <cfRule type="duplicateValues" dxfId="1458" priority="1873"/>
    <cfRule type="duplicateValues" dxfId="1457" priority="1908"/>
    <cfRule type="duplicateValues" dxfId="1456" priority="1871"/>
    <cfRule type="duplicateValues" dxfId="1455" priority="1874"/>
    <cfRule type="duplicateValues" dxfId="1454" priority="1870"/>
    <cfRule type="duplicateValues" dxfId="1453" priority="1869"/>
    <cfRule type="duplicateValues" dxfId="1452" priority="1868"/>
    <cfRule type="duplicateValues" dxfId="1451" priority="1867"/>
    <cfRule type="duplicateValues" dxfId="1450" priority="1866"/>
    <cfRule type="duplicateValues" dxfId="1449" priority="1864"/>
    <cfRule type="duplicateValues" dxfId="1448" priority="1863"/>
    <cfRule type="duplicateValues" dxfId="1447" priority="1862"/>
    <cfRule type="duplicateValues" dxfId="1446" priority="1861"/>
    <cfRule type="duplicateValues" dxfId="1445" priority="1909"/>
    <cfRule type="duplicateValues" dxfId="1444" priority="1924"/>
    <cfRule type="duplicateValues" dxfId="1443" priority="1910"/>
    <cfRule type="duplicateValues" dxfId="1442" priority="1865"/>
    <cfRule type="duplicateValues" dxfId="1441" priority="1911"/>
    <cfRule type="duplicateValues" dxfId="1440" priority="1912"/>
    <cfRule type="duplicateValues" dxfId="1439" priority="1913"/>
    <cfRule type="duplicateValues" dxfId="1438" priority="1914"/>
    <cfRule type="duplicateValues" dxfId="1437" priority="1915"/>
    <cfRule type="duplicateValues" dxfId="1436" priority="1916"/>
    <cfRule type="duplicateValues" dxfId="1435" priority="1917"/>
    <cfRule type="duplicateValues" dxfId="1434" priority="1918"/>
    <cfRule type="duplicateValues" dxfId="1433" priority="1919"/>
    <cfRule type="duplicateValues" dxfId="1432" priority="1920"/>
    <cfRule type="duplicateValues" dxfId="1431" priority="1921"/>
    <cfRule type="duplicateValues" dxfId="1430" priority="1922"/>
    <cfRule type="duplicateValues" dxfId="1429" priority="1923"/>
    <cfRule type="duplicateValues" dxfId="1428" priority="1925"/>
    <cfRule type="duplicateValues" dxfId="1427" priority="1926"/>
    <cfRule type="duplicateValues" dxfId="1426" priority="1927"/>
    <cfRule type="duplicateValues" dxfId="1425" priority="1928"/>
    <cfRule type="duplicateValues" dxfId="1424" priority="1929"/>
    <cfRule type="duplicateValues" dxfId="1423" priority="1930"/>
    <cfRule type="duplicateValues" dxfId="1422" priority="1931"/>
    <cfRule type="duplicateValues" dxfId="1421" priority="1932"/>
    <cfRule type="duplicateValues" dxfId="1420" priority="1934"/>
    <cfRule type="duplicateValues" dxfId="1419" priority="1935"/>
    <cfRule type="duplicateValues" dxfId="1418" priority="1936"/>
    <cfRule type="duplicateValues" dxfId="1417" priority="1937"/>
    <cfRule type="duplicateValues" dxfId="1416" priority="1892"/>
    <cfRule type="duplicateValues" dxfId="1415" priority="1938"/>
    <cfRule type="duplicateValues" dxfId="1414" priority="1939"/>
    <cfRule type="duplicateValues" dxfId="1413" priority="1940"/>
    <cfRule type="duplicateValues" dxfId="1412" priority="1907"/>
    <cfRule type="duplicateValues" dxfId="1411" priority="1906"/>
    <cfRule type="duplicateValues" dxfId="1410" priority="1905"/>
    <cfRule type="duplicateValues" dxfId="1409" priority="1904"/>
    <cfRule type="duplicateValues" dxfId="1408" priority="1903"/>
    <cfRule type="duplicateValues" dxfId="1407" priority="1902"/>
    <cfRule type="duplicateValues" dxfId="1406" priority="1901"/>
    <cfRule type="duplicateValues" dxfId="1405" priority="1900"/>
    <cfRule type="duplicateValues" dxfId="1404" priority="1899"/>
    <cfRule type="duplicateValues" dxfId="1403" priority="1898"/>
    <cfRule type="duplicateValues" dxfId="1402" priority="1897"/>
    <cfRule type="duplicateValues" dxfId="1401" priority="1896"/>
    <cfRule type="duplicateValues" dxfId="1400" priority="1895"/>
    <cfRule type="duplicateValues" dxfId="1399" priority="1894"/>
    <cfRule type="duplicateValues" dxfId="1398" priority="1893"/>
    <cfRule type="duplicateValues" dxfId="1397" priority="1933"/>
    <cfRule type="duplicateValues" dxfId="1396" priority="1891"/>
    <cfRule type="duplicateValues" dxfId="1395" priority="1890"/>
  </conditionalFormatting>
  <conditionalFormatting sqref="B12:B16 B3:B10">
    <cfRule type="duplicateValues" dxfId="1394" priority="2064"/>
    <cfRule type="duplicateValues" dxfId="1393" priority="2063"/>
    <cfRule type="duplicateValues" dxfId="1392" priority="2062"/>
    <cfRule type="duplicateValues" dxfId="1391" priority="2061"/>
    <cfRule type="duplicateValues" dxfId="1390" priority="2060"/>
    <cfRule type="duplicateValues" dxfId="1389" priority="2059"/>
    <cfRule type="duplicateValues" dxfId="1388" priority="2058"/>
    <cfRule type="duplicateValues" dxfId="1387" priority="2057"/>
    <cfRule type="duplicateValues" dxfId="1386" priority="2056"/>
    <cfRule type="duplicateValues" dxfId="1385" priority="2055"/>
    <cfRule type="duplicateValues" dxfId="1384" priority="2054"/>
    <cfRule type="duplicateValues" dxfId="1383" priority="2053"/>
    <cfRule type="duplicateValues" dxfId="1382" priority="2052"/>
    <cfRule type="duplicateValues" dxfId="1381" priority="2051"/>
    <cfRule type="duplicateValues" dxfId="1380" priority="2050"/>
    <cfRule type="duplicateValues" dxfId="1379" priority="2049"/>
    <cfRule type="duplicateValues" dxfId="1378" priority="2047"/>
    <cfRule type="duplicateValues" dxfId="1377" priority="2046"/>
    <cfRule type="duplicateValues" dxfId="1376" priority="2045"/>
    <cfRule type="duplicateValues" dxfId="1375" priority="2043"/>
    <cfRule type="duplicateValues" dxfId="1374" priority="2042"/>
    <cfRule type="duplicateValues" dxfId="1373" priority="2041"/>
    <cfRule type="duplicateValues" dxfId="1372" priority="2040"/>
    <cfRule type="duplicateValues" dxfId="1371" priority="2039"/>
    <cfRule type="duplicateValues" dxfId="1370" priority="2038"/>
    <cfRule type="duplicateValues" dxfId="1369" priority="2037"/>
    <cfRule type="duplicateValues" dxfId="1368" priority="2036"/>
    <cfRule type="duplicateValues" dxfId="1367" priority="2035"/>
    <cfRule type="duplicateValues" dxfId="1366" priority="2034"/>
    <cfRule type="duplicateValues" dxfId="1365" priority="2033"/>
    <cfRule type="duplicateValues" dxfId="1364" priority="2032"/>
    <cfRule type="duplicateValues" dxfId="1363" priority="2031"/>
    <cfRule type="duplicateValues" dxfId="1362" priority="2030"/>
    <cfRule type="duplicateValues" dxfId="1361" priority="2029"/>
    <cfRule type="duplicateValues" dxfId="1360" priority="2028"/>
    <cfRule type="duplicateValues" dxfId="1359" priority="2048"/>
    <cfRule type="duplicateValues" dxfId="1358" priority="2044"/>
  </conditionalFormatting>
  <conditionalFormatting sqref="B12:B16 B10">
    <cfRule type="duplicateValues" dxfId="1357" priority="1986"/>
    <cfRule type="duplicateValues" dxfId="1356" priority="1985"/>
    <cfRule type="duplicateValues" dxfId="1355" priority="1984"/>
    <cfRule type="duplicateValues" dxfId="1354" priority="1983"/>
    <cfRule type="duplicateValues" dxfId="1353" priority="1982"/>
    <cfRule type="duplicateValues" dxfId="1352" priority="1981"/>
    <cfRule type="duplicateValues" dxfId="1351" priority="1980"/>
    <cfRule type="duplicateValues" dxfId="1350" priority="1979"/>
    <cfRule type="duplicateValues" dxfId="1349" priority="1978"/>
    <cfRule type="duplicateValues" dxfId="1348" priority="1977"/>
    <cfRule type="duplicateValues" dxfId="1347" priority="1976"/>
    <cfRule type="duplicateValues" dxfId="1346" priority="1975"/>
    <cfRule type="duplicateValues" dxfId="1345" priority="1974"/>
    <cfRule type="duplicateValues" dxfId="1344" priority="1973"/>
    <cfRule type="duplicateValues" dxfId="1343" priority="1972"/>
    <cfRule type="duplicateValues" dxfId="1342" priority="1971"/>
    <cfRule type="duplicateValues" dxfId="1341" priority="1970"/>
    <cfRule type="duplicateValues" dxfId="1340" priority="1969"/>
    <cfRule type="duplicateValues" dxfId="1339" priority="1968"/>
    <cfRule type="duplicateValues" dxfId="1338" priority="1967"/>
    <cfRule type="duplicateValues" dxfId="1337" priority="1965"/>
    <cfRule type="duplicateValues" dxfId="1336" priority="1964"/>
    <cfRule type="duplicateValues" dxfId="1335" priority="1963"/>
    <cfRule type="duplicateValues" dxfId="1334" priority="1962"/>
    <cfRule type="duplicateValues" dxfId="1333" priority="1987"/>
    <cfRule type="duplicateValues" dxfId="1332" priority="1959"/>
    <cfRule type="duplicateValues" dxfId="1331" priority="1950"/>
    <cfRule type="duplicateValues" dxfId="1330" priority="1951"/>
    <cfRule type="duplicateValues" dxfId="1329" priority="1952"/>
    <cfRule type="duplicateValues" dxfId="1328" priority="1953"/>
    <cfRule type="duplicateValues" dxfId="1327" priority="1954"/>
    <cfRule type="duplicateValues" dxfId="1326" priority="1955"/>
    <cfRule type="duplicateValues" dxfId="1325" priority="1956"/>
    <cfRule type="duplicateValues" dxfId="1324" priority="1957"/>
    <cfRule type="duplicateValues" dxfId="1323" priority="1958"/>
    <cfRule type="duplicateValues" dxfId="1322" priority="1966"/>
    <cfRule type="duplicateValues" dxfId="1321" priority="1960"/>
    <cfRule type="duplicateValues" dxfId="1320" priority="1961"/>
  </conditionalFormatting>
  <conditionalFormatting sqref="B17:B18">
    <cfRule type="duplicateValues" dxfId="1319" priority="1833"/>
    <cfRule type="duplicateValues" dxfId="1318" priority="1832"/>
    <cfRule type="duplicateValues" dxfId="1317" priority="1831"/>
    <cfRule type="duplicateValues" dxfId="1316" priority="1830"/>
    <cfRule type="duplicateValues" dxfId="1315" priority="1829"/>
    <cfRule type="duplicateValues" dxfId="1314" priority="1828"/>
    <cfRule type="duplicateValues" dxfId="1313" priority="1827"/>
    <cfRule type="duplicateValues" dxfId="1312" priority="1826"/>
    <cfRule type="duplicateValues" dxfId="1311" priority="1825"/>
    <cfRule type="duplicateValues" dxfId="1310" priority="1824"/>
    <cfRule type="duplicateValues" dxfId="1309" priority="1823"/>
    <cfRule type="duplicateValues" dxfId="1308" priority="1801"/>
    <cfRule type="duplicateValues" dxfId="1307" priority="1822"/>
    <cfRule type="duplicateValues" dxfId="1306" priority="1821"/>
    <cfRule type="duplicateValues" dxfId="1305" priority="1820"/>
    <cfRule type="duplicateValues" dxfId="1304" priority="1819"/>
    <cfRule type="duplicateValues" dxfId="1303" priority="1818"/>
    <cfRule type="duplicateValues" dxfId="1302" priority="1817"/>
    <cfRule type="duplicateValues" dxfId="1301" priority="1816"/>
    <cfRule type="duplicateValues" dxfId="1300" priority="1815"/>
    <cfRule type="duplicateValues" dxfId="1299" priority="1814"/>
    <cfRule type="duplicateValues" dxfId="1298" priority="1813"/>
    <cfRule type="duplicateValues" dxfId="1297" priority="1812"/>
    <cfRule type="duplicateValues" dxfId="1296" priority="1811"/>
    <cfRule type="duplicateValues" dxfId="1295" priority="1810"/>
    <cfRule type="duplicateValues" dxfId="1294" priority="1809"/>
    <cfRule type="duplicateValues" dxfId="1293" priority="1808"/>
    <cfRule type="duplicateValues" dxfId="1292" priority="1807"/>
    <cfRule type="duplicateValues" dxfId="1291" priority="1806"/>
    <cfRule type="duplicateValues" dxfId="1290" priority="1805"/>
    <cfRule type="duplicateValues" dxfId="1289" priority="1804"/>
    <cfRule type="duplicateValues" dxfId="1288" priority="1803"/>
    <cfRule type="duplicateValues" dxfId="1287" priority="1802"/>
    <cfRule type="duplicateValues" dxfId="1286" priority="1839"/>
    <cfRule type="duplicateValues" dxfId="1285" priority="1800"/>
    <cfRule type="duplicateValues" dxfId="1284" priority="1838"/>
    <cfRule type="duplicateValues" dxfId="1283" priority="1837"/>
    <cfRule type="duplicateValues" dxfId="1282" priority="1836"/>
    <cfRule type="duplicateValues" dxfId="1281" priority="1835"/>
    <cfRule type="duplicateValues" dxfId="1280" priority="1834"/>
  </conditionalFormatting>
  <conditionalFormatting sqref="B19">
    <cfRule type="duplicateValues" dxfId="1279" priority="1793"/>
    <cfRule type="duplicateValues" dxfId="1278" priority="1792"/>
    <cfRule type="duplicateValues" dxfId="1277" priority="1791"/>
    <cfRule type="duplicateValues" dxfId="1276" priority="1790"/>
    <cfRule type="duplicateValues" dxfId="1275" priority="1789"/>
    <cfRule type="duplicateValues" dxfId="1274" priority="1788"/>
    <cfRule type="duplicateValues" dxfId="1273" priority="1787"/>
    <cfRule type="duplicateValues" dxfId="1272" priority="1786"/>
    <cfRule type="duplicateValues" dxfId="1271" priority="1785"/>
    <cfRule type="duplicateValues" dxfId="1270" priority="1784"/>
    <cfRule type="duplicateValues" dxfId="1269" priority="1783"/>
    <cfRule type="duplicateValues" dxfId="1268" priority="1782"/>
    <cfRule type="duplicateValues" dxfId="1267" priority="1781"/>
    <cfRule type="duplicateValues" dxfId="1266" priority="1780"/>
    <cfRule type="duplicateValues" dxfId="1265" priority="1779"/>
    <cfRule type="duplicateValues" dxfId="1264" priority="1778"/>
    <cfRule type="duplicateValues" dxfId="1263" priority="1777"/>
    <cfRule type="duplicateValues" dxfId="1262" priority="1776"/>
    <cfRule type="duplicateValues" dxfId="1261" priority="1775"/>
    <cfRule type="duplicateValues" dxfId="1260" priority="1774"/>
    <cfRule type="duplicateValues" dxfId="1259" priority="1799"/>
    <cfRule type="duplicateValues" dxfId="1258" priority="1772"/>
    <cfRule type="duplicateValues" dxfId="1257" priority="1771"/>
    <cfRule type="duplicateValues" dxfId="1256" priority="1770"/>
    <cfRule type="duplicateValues" dxfId="1255" priority="1769"/>
    <cfRule type="duplicateValues" dxfId="1254" priority="1768"/>
    <cfRule type="duplicateValues" dxfId="1253" priority="1767"/>
    <cfRule type="duplicateValues" dxfId="1252" priority="1766"/>
    <cfRule type="duplicateValues" dxfId="1251" priority="1765"/>
    <cfRule type="duplicateValues" dxfId="1250" priority="1764"/>
    <cfRule type="duplicateValues" dxfId="1249" priority="1763"/>
    <cfRule type="duplicateValues" dxfId="1248" priority="1762"/>
    <cfRule type="duplicateValues" dxfId="1247" priority="1761"/>
    <cfRule type="duplicateValues" dxfId="1246" priority="1760"/>
    <cfRule type="duplicateValues" dxfId="1245" priority="1798"/>
    <cfRule type="duplicateValues" dxfId="1244" priority="1797"/>
    <cfRule type="duplicateValues" dxfId="1243" priority="1796"/>
    <cfRule type="duplicateValues" dxfId="1242" priority="1795"/>
    <cfRule type="duplicateValues" dxfId="1241" priority="1794"/>
    <cfRule type="duplicateValues" dxfId="1240" priority="1773"/>
  </conditionalFormatting>
  <conditionalFormatting sqref="B22">
    <cfRule type="duplicateValues" dxfId="1239" priority="1668"/>
    <cfRule type="duplicateValues" dxfId="1238" priority="1667"/>
    <cfRule type="duplicateValues" dxfId="1237" priority="1666"/>
    <cfRule type="duplicateValues" dxfId="1236" priority="1665"/>
    <cfRule type="duplicateValues" dxfId="1235" priority="1664"/>
    <cfRule type="duplicateValues" dxfId="1234" priority="1663"/>
    <cfRule type="duplicateValues" dxfId="1233" priority="1662"/>
    <cfRule type="duplicateValues" dxfId="1232" priority="1661"/>
    <cfRule type="duplicateValues" dxfId="1231" priority="1660"/>
    <cfRule type="duplicateValues" dxfId="1230" priority="1659"/>
    <cfRule type="duplicateValues" dxfId="1229" priority="1658"/>
    <cfRule type="duplicateValues" dxfId="1228" priority="1657"/>
    <cfRule type="duplicateValues" dxfId="1227" priority="1656"/>
    <cfRule type="duplicateValues" dxfId="1226" priority="1655"/>
    <cfRule type="duplicateValues" dxfId="1225" priority="1654"/>
    <cfRule type="duplicateValues" dxfId="1224" priority="1653"/>
    <cfRule type="duplicateValues" dxfId="1223" priority="1652"/>
    <cfRule type="duplicateValues" dxfId="1222" priority="1651"/>
    <cfRule type="duplicateValues" dxfId="1221" priority="1650"/>
    <cfRule type="duplicateValues" dxfId="1220" priority="1649"/>
    <cfRule type="duplicateValues" dxfId="1219" priority="1648"/>
    <cfRule type="duplicateValues" dxfId="1218" priority="1647"/>
    <cfRule type="duplicateValues" dxfId="1217" priority="1646"/>
    <cfRule type="duplicateValues" dxfId="1216" priority="1645"/>
    <cfRule type="duplicateValues" dxfId="1215" priority="1644"/>
    <cfRule type="duplicateValues" dxfId="1214" priority="1643"/>
    <cfRule type="duplicateValues" dxfId="1213" priority="1642"/>
    <cfRule type="duplicateValues" dxfId="1212" priority="1641"/>
    <cfRule type="duplicateValues" dxfId="1211" priority="1640"/>
    <cfRule type="duplicateValues" dxfId="1210" priority="1639"/>
    <cfRule type="duplicateValues" dxfId="1209" priority="1638"/>
    <cfRule type="duplicateValues" dxfId="1208" priority="1637"/>
    <cfRule type="duplicateValues" dxfId="1207" priority="1636"/>
    <cfRule type="duplicateValues" dxfId="1206" priority="1635"/>
    <cfRule type="duplicateValues" dxfId="1205" priority="1634"/>
    <cfRule type="duplicateValues" dxfId="1204" priority="1633"/>
    <cfRule type="duplicateValues" dxfId="1203" priority="1673"/>
    <cfRule type="duplicateValues" dxfId="1202" priority="1672"/>
    <cfRule type="duplicateValues" dxfId="1201" priority="1671"/>
    <cfRule type="duplicateValues" dxfId="1200" priority="1670"/>
    <cfRule type="duplicateValues" dxfId="1199" priority="1669"/>
  </conditionalFormatting>
  <conditionalFormatting sqref="B22:B25 B40:B57">
    <cfRule type="duplicateValues" dxfId="1198" priority="1695"/>
    <cfRule type="duplicateValues" dxfId="1197" priority="1694"/>
    <cfRule type="duplicateValues" dxfId="1196" priority="1692"/>
    <cfRule type="duplicateValues" dxfId="1195" priority="1691"/>
    <cfRule type="duplicateValues" dxfId="1194" priority="1690"/>
    <cfRule type="duplicateValues" dxfId="1193" priority="1689"/>
    <cfRule type="duplicateValues" dxfId="1192" priority="1688"/>
    <cfRule type="duplicateValues" dxfId="1191" priority="1687"/>
    <cfRule type="duplicateValues" dxfId="1190" priority="1686"/>
    <cfRule type="duplicateValues" dxfId="1189" priority="1685"/>
    <cfRule type="duplicateValues" dxfId="1188" priority="1684"/>
    <cfRule type="duplicateValues" dxfId="1187" priority="1683"/>
    <cfRule type="duplicateValues" dxfId="1186" priority="1682"/>
    <cfRule type="duplicateValues" dxfId="1185" priority="1681"/>
    <cfRule type="duplicateValues" dxfId="1184" priority="1680"/>
    <cfRule type="duplicateValues" dxfId="1183" priority="1679"/>
    <cfRule type="duplicateValues" dxfId="1182" priority="1678"/>
    <cfRule type="duplicateValues" dxfId="1181" priority="1677"/>
    <cfRule type="duplicateValues" dxfId="1180" priority="1676"/>
    <cfRule type="duplicateValues" dxfId="1179" priority="1675"/>
    <cfRule type="duplicateValues" dxfId="1178" priority="1674"/>
    <cfRule type="duplicateValues" dxfId="1177" priority="1693"/>
    <cfRule type="duplicateValues" dxfId="1176" priority="1713"/>
    <cfRule type="duplicateValues" dxfId="1175" priority="1712"/>
    <cfRule type="duplicateValues" dxfId="1174" priority="1711"/>
    <cfRule type="duplicateValues" dxfId="1173" priority="1710"/>
    <cfRule type="duplicateValues" dxfId="1172" priority="1709"/>
    <cfRule type="duplicateValues" dxfId="1171" priority="1708"/>
    <cfRule type="duplicateValues" dxfId="1170" priority="1707"/>
    <cfRule type="duplicateValues" dxfId="1169" priority="1706"/>
    <cfRule type="duplicateValues" dxfId="1168" priority="1705"/>
    <cfRule type="duplicateValues" dxfId="1167" priority="1704"/>
    <cfRule type="duplicateValues" dxfId="1166" priority="1703"/>
    <cfRule type="duplicateValues" dxfId="1165" priority="1702"/>
    <cfRule type="duplicateValues" dxfId="1164" priority="1701"/>
    <cfRule type="duplicateValues" dxfId="1163" priority="1700"/>
    <cfRule type="duplicateValues" dxfId="1162" priority="1699"/>
    <cfRule type="duplicateValues" dxfId="1161" priority="1698"/>
    <cfRule type="duplicateValues" dxfId="1160" priority="1697"/>
    <cfRule type="duplicateValues" dxfId="1159" priority="1696"/>
  </conditionalFormatting>
  <conditionalFormatting sqref="B23">
    <cfRule type="duplicateValues" dxfId="1158" priority="1624"/>
    <cfRule type="duplicateValues" dxfId="1157" priority="1623"/>
    <cfRule type="duplicateValues" dxfId="1156" priority="1622"/>
    <cfRule type="duplicateValues" dxfId="1155" priority="1621"/>
    <cfRule type="duplicateValues" dxfId="1154" priority="1620"/>
    <cfRule type="duplicateValues" dxfId="1153" priority="1619"/>
    <cfRule type="duplicateValues" dxfId="1152" priority="1618"/>
    <cfRule type="duplicateValues" dxfId="1151" priority="1617"/>
    <cfRule type="duplicateValues" dxfId="1150" priority="1616"/>
    <cfRule type="duplicateValues" dxfId="1149" priority="1615"/>
    <cfRule type="duplicateValues" dxfId="1148" priority="1614"/>
    <cfRule type="duplicateValues" dxfId="1147" priority="1613"/>
    <cfRule type="duplicateValues" dxfId="1146" priority="1612"/>
    <cfRule type="duplicateValues" dxfId="1145" priority="1611"/>
    <cfRule type="duplicateValues" dxfId="1144" priority="1610"/>
    <cfRule type="duplicateValues" dxfId="1143" priority="1609"/>
    <cfRule type="duplicateValues" dxfId="1142" priority="1608"/>
    <cfRule type="duplicateValues" dxfId="1141" priority="1607"/>
    <cfRule type="duplicateValues" dxfId="1140" priority="1606"/>
    <cfRule type="duplicateValues" dxfId="1139" priority="1605"/>
    <cfRule type="duplicateValues" dxfId="1138" priority="1604"/>
    <cfRule type="duplicateValues" dxfId="1137" priority="1603"/>
    <cfRule type="duplicateValues" dxfId="1136" priority="1602"/>
    <cfRule type="duplicateValues" dxfId="1135" priority="1601"/>
    <cfRule type="duplicateValues" dxfId="1134" priority="1600"/>
    <cfRule type="duplicateValues" dxfId="1133" priority="1599"/>
    <cfRule type="duplicateValues" dxfId="1132" priority="1598"/>
    <cfRule type="duplicateValues" dxfId="1131" priority="1597"/>
    <cfRule type="duplicateValues" dxfId="1130" priority="1596"/>
    <cfRule type="duplicateValues" dxfId="1129" priority="1595"/>
    <cfRule type="duplicateValues" dxfId="1128" priority="1594"/>
    <cfRule type="duplicateValues" dxfId="1127" priority="1593"/>
    <cfRule type="duplicateValues" dxfId="1126" priority="1592"/>
    <cfRule type="duplicateValues" dxfId="1125" priority="1591"/>
    <cfRule type="duplicateValues" dxfId="1124" priority="1590"/>
    <cfRule type="duplicateValues" dxfId="1123" priority="1589"/>
    <cfRule type="duplicateValues" dxfId="1122" priority="1626"/>
    <cfRule type="duplicateValues" dxfId="1121" priority="1625"/>
    <cfRule type="duplicateValues" dxfId="1120" priority="1629"/>
    <cfRule type="duplicateValues" dxfId="1119" priority="1628"/>
    <cfRule type="duplicateValues" dxfId="1118" priority="1627"/>
  </conditionalFormatting>
  <conditionalFormatting sqref="B24">
    <cfRule type="duplicateValues" dxfId="1117" priority="1588"/>
    <cfRule type="duplicateValues" dxfId="1116" priority="1587"/>
    <cfRule type="duplicateValues" dxfId="1115" priority="1586"/>
    <cfRule type="duplicateValues" dxfId="1114" priority="1585"/>
    <cfRule type="duplicateValues" dxfId="1113" priority="1584"/>
    <cfRule type="duplicateValues" dxfId="1112" priority="1583"/>
    <cfRule type="duplicateValues" dxfId="1111" priority="1582"/>
    <cfRule type="duplicateValues" dxfId="1110" priority="1581"/>
    <cfRule type="duplicateValues" dxfId="1109" priority="1580"/>
    <cfRule type="duplicateValues" dxfId="1108" priority="1579"/>
    <cfRule type="duplicateValues" dxfId="1107" priority="1578"/>
    <cfRule type="duplicateValues" dxfId="1106" priority="1577"/>
    <cfRule type="duplicateValues" dxfId="1105" priority="1576"/>
    <cfRule type="duplicateValues" dxfId="1104" priority="1575"/>
    <cfRule type="duplicateValues" dxfId="1103" priority="1574"/>
    <cfRule type="duplicateValues" dxfId="1102" priority="1573"/>
    <cfRule type="duplicateValues" dxfId="1101" priority="1572"/>
    <cfRule type="duplicateValues" dxfId="1100" priority="1571"/>
    <cfRule type="duplicateValues" dxfId="1099" priority="1570"/>
    <cfRule type="duplicateValues" dxfId="1098" priority="1569"/>
    <cfRule type="duplicateValues" dxfId="1097" priority="1568"/>
    <cfRule type="duplicateValues" dxfId="1096" priority="1567"/>
    <cfRule type="duplicateValues" dxfId="1095" priority="1566"/>
    <cfRule type="duplicateValues" dxfId="1094" priority="1565"/>
    <cfRule type="duplicateValues" dxfId="1093" priority="1564"/>
    <cfRule type="duplicateValues" dxfId="1092" priority="1563"/>
    <cfRule type="duplicateValues" dxfId="1091" priority="1517"/>
    <cfRule type="duplicateValues" dxfId="1090" priority="1516"/>
    <cfRule type="duplicateValues" dxfId="1089" priority="1515"/>
    <cfRule type="duplicateValues" dxfId="1088" priority="1514"/>
    <cfRule type="duplicateValues" dxfId="1087" priority="1513"/>
    <cfRule type="duplicateValues" dxfId="1086" priority="1512"/>
    <cfRule type="duplicateValues" dxfId="1085" priority="1511"/>
    <cfRule type="duplicateValues" dxfId="1084" priority="1510"/>
    <cfRule type="duplicateValues" dxfId="1083" priority="1509"/>
    <cfRule type="duplicateValues" dxfId="1082" priority="1508"/>
    <cfRule type="duplicateValues" dxfId="1081" priority="1542"/>
    <cfRule type="duplicateValues" dxfId="1080" priority="1522"/>
    <cfRule type="duplicateValues" dxfId="1079" priority="1543"/>
    <cfRule type="duplicateValues" dxfId="1078" priority="1544"/>
    <cfRule type="duplicateValues" dxfId="1077" priority="1545"/>
    <cfRule type="duplicateValues" dxfId="1076" priority="1546"/>
    <cfRule type="duplicateValues" dxfId="1075" priority="1547"/>
    <cfRule type="duplicateValues" dxfId="1074" priority="1548"/>
    <cfRule type="duplicateValues" dxfId="1073" priority="1549"/>
    <cfRule type="duplicateValues" dxfId="1072" priority="1550"/>
    <cfRule type="duplicateValues" dxfId="1071" priority="1551"/>
    <cfRule type="duplicateValues" dxfId="1070" priority="1524"/>
    <cfRule type="duplicateValues" dxfId="1069" priority="1553"/>
    <cfRule type="duplicateValues" dxfId="1068" priority="1554"/>
    <cfRule type="duplicateValues" dxfId="1067" priority="1555"/>
    <cfRule type="duplicateValues" dxfId="1066" priority="1556"/>
    <cfRule type="duplicateValues" dxfId="1065" priority="1557"/>
    <cfRule type="duplicateValues" dxfId="1064" priority="1558"/>
    <cfRule type="duplicateValues" dxfId="1063" priority="1559"/>
    <cfRule type="duplicateValues" dxfId="1062" priority="1560"/>
    <cfRule type="duplicateValues" dxfId="1061" priority="1561"/>
    <cfRule type="duplicateValues" dxfId="1060" priority="1562"/>
    <cfRule type="duplicateValues" dxfId="1059" priority="1521"/>
    <cfRule type="duplicateValues" dxfId="1058" priority="1520"/>
    <cfRule type="duplicateValues" dxfId="1057" priority="1519"/>
    <cfRule type="duplicateValues" dxfId="1056" priority="1518"/>
    <cfRule type="duplicateValues" dxfId="1055" priority="1552"/>
    <cfRule type="duplicateValues" dxfId="1054" priority="1523"/>
    <cfRule type="duplicateValues" dxfId="1053" priority="1525"/>
    <cfRule type="duplicateValues" dxfId="1052" priority="1526"/>
    <cfRule type="duplicateValues" dxfId="1051" priority="1527"/>
    <cfRule type="duplicateValues" dxfId="1050" priority="1528"/>
    <cfRule type="duplicateValues" dxfId="1049" priority="1529"/>
    <cfRule type="duplicateValues" dxfId="1048" priority="1530"/>
    <cfRule type="duplicateValues" dxfId="1047" priority="1531"/>
    <cfRule type="duplicateValues" dxfId="1046" priority="1532"/>
    <cfRule type="duplicateValues" dxfId="1045" priority="1533"/>
    <cfRule type="duplicateValues" dxfId="1044" priority="1534"/>
    <cfRule type="duplicateValues" dxfId="1043" priority="1535"/>
    <cfRule type="duplicateValues" dxfId="1042" priority="1536"/>
    <cfRule type="duplicateValues" dxfId="1041" priority="1537"/>
    <cfRule type="duplicateValues" dxfId="1040" priority="1538"/>
    <cfRule type="duplicateValues" dxfId="1039" priority="1539"/>
    <cfRule type="duplicateValues" dxfId="1038" priority="1540"/>
    <cfRule type="duplicateValues" dxfId="1037" priority="1541"/>
  </conditionalFormatting>
  <conditionalFormatting sqref="B24:B25">
    <cfRule type="duplicateValues" dxfId="1036" priority="1507"/>
    <cfRule type="duplicateValues" dxfId="1035" priority="1506"/>
    <cfRule type="duplicateValues" dxfId="1034" priority="1505"/>
    <cfRule type="duplicateValues" dxfId="1033" priority="1504"/>
    <cfRule type="duplicateValues" dxfId="1032" priority="1503"/>
    <cfRule type="duplicateValues" dxfId="1031" priority="1502"/>
    <cfRule type="duplicateValues" dxfId="1030" priority="1501"/>
    <cfRule type="duplicateValues" dxfId="1029" priority="1500"/>
    <cfRule type="duplicateValues" dxfId="1028" priority="1499"/>
    <cfRule type="duplicateValues" dxfId="1027" priority="1498"/>
    <cfRule type="duplicateValues" dxfId="1026" priority="1497"/>
    <cfRule type="duplicateValues" dxfId="1025" priority="1495"/>
    <cfRule type="duplicateValues" dxfId="1024" priority="1494"/>
    <cfRule type="duplicateValues" dxfId="1023" priority="1493"/>
    <cfRule type="duplicateValues" dxfId="1022" priority="1492"/>
    <cfRule type="duplicateValues" dxfId="1021" priority="1491"/>
    <cfRule type="duplicateValues" dxfId="1020" priority="1490"/>
    <cfRule type="duplicateValues" dxfId="1019" priority="1489"/>
    <cfRule type="duplicateValues" dxfId="1018" priority="1488"/>
    <cfRule type="duplicateValues" dxfId="1017" priority="1487"/>
    <cfRule type="duplicateValues" dxfId="1016" priority="1486"/>
    <cfRule type="duplicateValues" dxfId="1015" priority="1485"/>
    <cfRule type="duplicateValues" dxfId="1014" priority="1484"/>
    <cfRule type="duplicateValues" dxfId="1013" priority="1483"/>
    <cfRule type="duplicateValues" dxfId="1012" priority="1482"/>
    <cfRule type="duplicateValues" dxfId="1011" priority="1469"/>
    <cfRule type="duplicateValues" dxfId="1010" priority="1468"/>
    <cfRule type="duplicateValues" dxfId="1009" priority="1496"/>
    <cfRule type="duplicateValues" dxfId="1008" priority="1465"/>
    <cfRule type="duplicateValues" dxfId="1007" priority="1481"/>
    <cfRule type="duplicateValues" dxfId="1006" priority="1467"/>
    <cfRule type="duplicateValues" dxfId="1005" priority="1466"/>
    <cfRule type="duplicateValues" dxfId="1004" priority="1479"/>
    <cfRule type="duplicateValues" dxfId="1003" priority="1478"/>
    <cfRule type="duplicateValues" dxfId="1002" priority="1477"/>
    <cfRule type="duplicateValues" dxfId="1001" priority="1476"/>
    <cfRule type="duplicateValues" dxfId="1000" priority="1475"/>
    <cfRule type="duplicateValues" dxfId="999" priority="1474"/>
    <cfRule type="duplicateValues" dxfId="998" priority="1473"/>
    <cfRule type="duplicateValues" dxfId="997" priority="1472"/>
    <cfRule type="duplicateValues" dxfId="996" priority="1471"/>
    <cfRule type="duplicateValues" dxfId="995" priority="1480"/>
    <cfRule type="duplicateValues" dxfId="994" priority="1470"/>
  </conditionalFormatting>
  <conditionalFormatting sqref="B40:B56">
    <cfRule type="duplicateValues" dxfId="993" priority="1203"/>
    <cfRule type="duplicateValues" dxfId="992" priority="1204"/>
    <cfRule type="duplicateValues" dxfId="991" priority="1205"/>
    <cfRule type="duplicateValues" dxfId="990" priority="1206"/>
    <cfRule type="duplicateValues" dxfId="989" priority="1207"/>
    <cfRule type="duplicateValues" dxfId="988" priority="1208"/>
    <cfRule type="duplicateValues" dxfId="987" priority="1209"/>
    <cfRule type="duplicateValues" dxfId="986" priority="1210"/>
    <cfRule type="duplicateValues" dxfId="985" priority="1211"/>
    <cfRule type="duplicateValues" dxfId="984" priority="1212"/>
    <cfRule type="duplicateValues" dxfId="983" priority="1213"/>
    <cfRule type="duplicateValues" dxfId="982" priority="1214"/>
    <cfRule type="duplicateValues" dxfId="981" priority="1215"/>
    <cfRule type="duplicateValues" dxfId="980" priority="1217"/>
    <cfRule type="duplicateValues" dxfId="979" priority="1218"/>
    <cfRule type="duplicateValues" dxfId="978" priority="1219"/>
    <cfRule type="duplicateValues" dxfId="977" priority="1220"/>
    <cfRule type="duplicateValues" dxfId="976" priority="1221"/>
    <cfRule type="duplicateValues" dxfId="975" priority="1222"/>
    <cfRule type="duplicateValues" dxfId="974" priority="1223"/>
    <cfRule type="duplicateValues" dxfId="973" priority="1224"/>
    <cfRule type="duplicateValues" dxfId="972" priority="1225"/>
    <cfRule type="duplicateValues" dxfId="971" priority="1226"/>
    <cfRule type="duplicateValues" dxfId="970" priority="1227"/>
    <cfRule type="duplicateValues" dxfId="969" priority="1228"/>
    <cfRule type="duplicateValues" dxfId="968" priority="1229"/>
    <cfRule type="duplicateValues" dxfId="967" priority="1230"/>
    <cfRule type="duplicateValues" dxfId="966" priority="1231"/>
    <cfRule type="duplicateValues" dxfId="965" priority="1232"/>
    <cfRule type="duplicateValues" dxfId="964" priority="1233"/>
    <cfRule type="duplicateValues" dxfId="963" priority="1234"/>
    <cfRule type="duplicateValues" dxfId="962" priority="1235"/>
    <cfRule type="duplicateValues" dxfId="961" priority="1236"/>
    <cfRule type="duplicateValues" dxfId="960" priority="1216"/>
    <cfRule type="duplicateValues" dxfId="959" priority="1197"/>
    <cfRule type="duplicateValues" dxfId="958" priority="1198"/>
    <cfRule type="duplicateValues" dxfId="957" priority="1199"/>
    <cfRule type="duplicateValues" dxfId="956" priority="1200"/>
    <cfRule type="duplicateValues" dxfId="955" priority="1201"/>
    <cfRule type="duplicateValues" dxfId="954" priority="1202"/>
  </conditionalFormatting>
  <conditionalFormatting sqref="B40:B57">
    <cfRule type="duplicateValues" dxfId="953" priority="1406"/>
    <cfRule type="duplicateValues" dxfId="952" priority="1388"/>
    <cfRule type="duplicateValues" dxfId="951" priority="1405"/>
    <cfRule type="duplicateValues" dxfId="950" priority="1407"/>
    <cfRule type="duplicateValues" dxfId="949" priority="1404"/>
    <cfRule type="duplicateValues" dxfId="948" priority="1403"/>
    <cfRule type="duplicateValues" dxfId="947" priority="1402"/>
    <cfRule type="duplicateValues" dxfId="946" priority="1401"/>
    <cfRule type="duplicateValues" dxfId="945" priority="1400"/>
    <cfRule type="duplicateValues" dxfId="944" priority="1399"/>
    <cfRule type="duplicateValues" dxfId="943" priority="1395"/>
    <cfRule type="duplicateValues" dxfId="942" priority="1398"/>
    <cfRule type="duplicateValues" dxfId="941" priority="1397"/>
    <cfRule type="duplicateValues" dxfId="940" priority="1396"/>
    <cfRule type="duplicateValues" dxfId="939" priority="1367"/>
    <cfRule type="duplicateValues" dxfId="938" priority="1368"/>
    <cfRule type="duplicateValues" dxfId="937" priority="1369"/>
    <cfRule type="duplicateValues" dxfId="936" priority="1370"/>
    <cfRule type="duplicateValues" dxfId="935" priority="1371"/>
    <cfRule type="duplicateValues" dxfId="934" priority="1372"/>
    <cfRule type="duplicateValues" dxfId="933" priority="1373"/>
    <cfRule type="duplicateValues" dxfId="932" priority="1374"/>
    <cfRule type="duplicateValues" dxfId="931" priority="1375"/>
    <cfRule type="duplicateValues" dxfId="930" priority="1376"/>
    <cfRule type="duplicateValues" dxfId="929" priority="1377"/>
    <cfRule type="duplicateValues" dxfId="928" priority="1378"/>
    <cfRule type="duplicateValues" dxfId="927" priority="1379"/>
    <cfRule type="duplicateValues" dxfId="926" priority="1380"/>
    <cfRule type="duplicateValues" dxfId="925" priority="1381"/>
    <cfRule type="duplicateValues" dxfId="924" priority="1382"/>
    <cfRule type="duplicateValues" dxfId="923" priority="1383"/>
    <cfRule type="duplicateValues" dxfId="922" priority="1384"/>
    <cfRule type="duplicateValues" dxfId="921" priority="1385"/>
    <cfRule type="duplicateValues" dxfId="920" priority="1386"/>
    <cfRule type="duplicateValues" dxfId="919" priority="1387"/>
    <cfRule type="duplicateValues" dxfId="918" priority="1389"/>
    <cfRule type="duplicateValues" dxfId="917" priority="1390"/>
    <cfRule type="duplicateValues" dxfId="916" priority="1391"/>
    <cfRule type="duplicateValues" dxfId="915" priority="1392"/>
    <cfRule type="duplicateValues" dxfId="914" priority="1393"/>
    <cfRule type="duplicateValues" dxfId="913" priority="1394"/>
  </conditionalFormatting>
  <conditionalFormatting sqref="B57">
    <cfRule type="duplicateValues" dxfId="912" priority="1160"/>
    <cfRule type="duplicateValues" dxfId="911" priority="1161"/>
    <cfRule type="duplicateValues" dxfId="910" priority="1162"/>
    <cfRule type="duplicateValues" dxfId="909" priority="1163"/>
    <cfRule type="duplicateValues" dxfId="908" priority="1164"/>
    <cfRule type="duplicateValues" dxfId="907" priority="1165"/>
    <cfRule type="duplicateValues" dxfId="906" priority="1166"/>
    <cfRule type="duplicateValues" dxfId="905" priority="1167"/>
    <cfRule type="duplicateValues" dxfId="904" priority="1168"/>
    <cfRule type="duplicateValues" dxfId="903" priority="1169"/>
    <cfRule type="duplicateValues" dxfId="902" priority="1170"/>
    <cfRule type="duplicateValues" dxfId="901" priority="1171"/>
    <cfRule type="duplicateValues" dxfId="900" priority="1172"/>
    <cfRule type="duplicateValues" dxfId="899" priority="1173"/>
    <cfRule type="duplicateValues" dxfId="898" priority="1174"/>
    <cfRule type="duplicateValues" dxfId="897" priority="1175"/>
    <cfRule type="duplicateValues" dxfId="896" priority="1176"/>
    <cfRule type="duplicateValues" dxfId="895" priority="1177"/>
    <cfRule type="duplicateValues" dxfId="894" priority="1178"/>
    <cfRule type="duplicateValues" dxfId="893" priority="1119"/>
    <cfRule type="duplicateValues" dxfId="892" priority="1180"/>
    <cfRule type="duplicateValues" dxfId="891" priority="1181"/>
    <cfRule type="duplicateValues" dxfId="890" priority="1182"/>
    <cfRule type="duplicateValues" dxfId="889" priority="1183"/>
    <cfRule type="duplicateValues" dxfId="888" priority="1184"/>
    <cfRule type="duplicateValues" dxfId="887" priority="1185"/>
    <cfRule type="duplicateValues" dxfId="886" priority="1186"/>
    <cfRule type="duplicateValues" dxfId="885" priority="1187"/>
    <cfRule type="duplicateValues" dxfId="884" priority="1188"/>
    <cfRule type="duplicateValues" dxfId="883" priority="1189"/>
    <cfRule type="duplicateValues" dxfId="882" priority="1190"/>
    <cfRule type="duplicateValues" dxfId="881" priority="1120"/>
    <cfRule type="duplicateValues" dxfId="880" priority="1121"/>
    <cfRule type="duplicateValues" dxfId="879" priority="1122"/>
    <cfRule type="duplicateValues" dxfId="878" priority="1149"/>
    <cfRule type="duplicateValues" dxfId="877" priority="1123"/>
    <cfRule type="duplicateValues" dxfId="876" priority="1124"/>
    <cfRule type="duplicateValues" dxfId="875" priority="1125"/>
    <cfRule type="duplicateValues" dxfId="874" priority="1126"/>
    <cfRule type="duplicateValues" dxfId="873" priority="1127"/>
    <cfRule type="duplicateValues" dxfId="872" priority="1128"/>
    <cfRule type="duplicateValues" dxfId="871" priority="1129"/>
    <cfRule type="duplicateValues" dxfId="870" priority="1130"/>
    <cfRule type="duplicateValues" dxfId="869" priority="1131"/>
    <cfRule type="duplicateValues" dxfId="868" priority="1132"/>
    <cfRule type="duplicateValues" dxfId="867" priority="1133"/>
    <cfRule type="duplicateValues" dxfId="866" priority="1135"/>
    <cfRule type="duplicateValues" dxfId="865" priority="1136"/>
    <cfRule type="duplicateValues" dxfId="864" priority="1137"/>
    <cfRule type="duplicateValues" dxfId="863" priority="1138"/>
    <cfRule type="duplicateValues" dxfId="862" priority="1139"/>
    <cfRule type="duplicateValues" dxfId="861" priority="1140"/>
    <cfRule type="duplicateValues" dxfId="860" priority="1141"/>
    <cfRule type="duplicateValues" dxfId="859" priority="1142"/>
    <cfRule type="duplicateValues" dxfId="858" priority="1143"/>
    <cfRule type="duplicateValues" dxfId="857" priority="1144"/>
    <cfRule type="duplicateValues" dxfId="856" priority="1146"/>
    <cfRule type="duplicateValues" dxfId="855" priority="1147"/>
    <cfRule type="duplicateValues" dxfId="854" priority="1148"/>
    <cfRule type="duplicateValues" dxfId="853" priority="1134"/>
    <cfRule type="duplicateValues" dxfId="852" priority="1150"/>
    <cfRule type="duplicateValues" dxfId="851" priority="1151"/>
    <cfRule type="duplicateValues" dxfId="850" priority="1152"/>
    <cfRule type="duplicateValues" dxfId="849" priority="1153"/>
    <cfRule type="duplicateValues" dxfId="848" priority="1179"/>
    <cfRule type="duplicateValues" dxfId="847" priority="1154"/>
    <cfRule type="duplicateValues" dxfId="846" priority="1155"/>
    <cfRule type="duplicateValues" dxfId="845" priority="1156"/>
    <cfRule type="duplicateValues" dxfId="844" priority="1157"/>
    <cfRule type="duplicateValues" dxfId="843" priority="1158"/>
    <cfRule type="duplicateValues" dxfId="842" priority="1159"/>
    <cfRule type="duplicateValues" dxfId="841" priority="1111"/>
    <cfRule type="duplicateValues" dxfId="840" priority="1112"/>
    <cfRule type="duplicateValues" dxfId="839" priority="1113"/>
    <cfRule type="duplicateValues" dxfId="838" priority="1114"/>
    <cfRule type="duplicateValues" dxfId="837" priority="1115"/>
    <cfRule type="duplicateValues" dxfId="836" priority="1116"/>
    <cfRule type="duplicateValues" dxfId="835" priority="1117"/>
    <cfRule type="duplicateValues" dxfId="834" priority="1118"/>
    <cfRule type="duplicateValues" dxfId="833" priority="1145"/>
  </conditionalFormatting>
  <conditionalFormatting sqref="B58">
    <cfRule type="duplicateValues" dxfId="832" priority="1075"/>
    <cfRule type="duplicateValues" dxfId="831" priority="1076"/>
    <cfRule type="duplicateValues" dxfId="830" priority="1077"/>
    <cfRule type="duplicateValues" dxfId="829" priority="1078"/>
    <cfRule type="duplicateValues" dxfId="828" priority="1080"/>
    <cfRule type="duplicateValues" dxfId="827" priority="1081"/>
    <cfRule type="duplicateValues" dxfId="826" priority="1082"/>
    <cfRule type="duplicateValues" dxfId="825" priority="1083"/>
    <cfRule type="duplicateValues" dxfId="824" priority="1084"/>
    <cfRule type="duplicateValues" dxfId="823" priority="1085"/>
    <cfRule type="duplicateValues" dxfId="822" priority="1086"/>
    <cfRule type="duplicateValues" dxfId="821" priority="1087"/>
    <cfRule type="duplicateValues" dxfId="820" priority="1088"/>
    <cfRule type="duplicateValues" dxfId="819" priority="1089"/>
    <cfRule type="duplicateValues" dxfId="818" priority="1090"/>
    <cfRule type="duplicateValues" dxfId="817" priority="1091"/>
    <cfRule type="duplicateValues" dxfId="816" priority="1092"/>
    <cfRule type="duplicateValues" dxfId="815" priority="1093"/>
    <cfRule type="duplicateValues" dxfId="814" priority="1094"/>
    <cfRule type="duplicateValues" dxfId="813" priority="1095"/>
    <cfRule type="duplicateValues" dxfId="812" priority="1096"/>
    <cfRule type="duplicateValues" dxfId="811" priority="1097"/>
    <cfRule type="duplicateValues" dxfId="810" priority="1098"/>
    <cfRule type="duplicateValues" dxfId="809" priority="1099"/>
    <cfRule type="duplicateValues" dxfId="808" priority="1100"/>
    <cfRule type="duplicateValues" dxfId="807" priority="1101"/>
    <cfRule type="duplicateValues" dxfId="806" priority="1102"/>
    <cfRule type="duplicateValues" dxfId="805" priority="1103"/>
    <cfRule type="duplicateValues" dxfId="804" priority="1104"/>
    <cfRule type="duplicateValues" dxfId="803" priority="1105"/>
    <cfRule type="duplicateValues" dxfId="802" priority="1106"/>
    <cfRule type="duplicateValues" dxfId="801" priority="1107"/>
    <cfRule type="duplicateValues" dxfId="800" priority="1108"/>
    <cfRule type="duplicateValues" dxfId="799" priority="1109"/>
    <cfRule type="duplicateValues" dxfId="798" priority="1110"/>
    <cfRule type="duplicateValues" dxfId="797" priority="1079"/>
    <cfRule type="duplicateValues" dxfId="796" priority="1030"/>
    <cfRule type="duplicateValues" dxfId="795" priority="1031"/>
    <cfRule type="duplicateValues" dxfId="794" priority="1032"/>
    <cfRule type="duplicateValues" dxfId="793" priority="1033"/>
    <cfRule type="duplicateValues" dxfId="792" priority="1034"/>
    <cfRule type="duplicateValues" dxfId="791" priority="1035"/>
    <cfRule type="duplicateValues" dxfId="790" priority="1036"/>
    <cfRule type="duplicateValues" dxfId="789" priority="1037"/>
    <cfRule type="duplicateValues" dxfId="788" priority="1038"/>
    <cfRule type="duplicateValues" dxfId="787" priority="1039"/>
    <cfRule type="duplicateValues" dxfId="786" priority="1040"/>
    <cfRule type="duplicateValues" dxfId="785" priority="1041"/>
    <cfRule type="duplicateValues" dxfId="784" priority="1042"/>
    <cfRule type="duplicateValues" dxfId="783" priority="1043"/>
    <cfRule type="duplicateValues" dxfId="782" priority="1044"/>
    <cfRule type="duplicateValues" dxfId="781" priority="1045"/>
    <cfRule type="duplicateValues" dxfId="780" priority="1046"/>
    <cfRule type="duplicateValues" dxfId="779" priority="1047"/>
    <cfRule type="duplicateValues" dxfId="778" priority="1048"/>
    <cfRule type="duplicateValues" dxfId="777" priority="1049"/>
    <cfRule type="duplicateValues" dxfId="776" priority="1050"/>
    <cfRule type="duplicateValues" dxfId="775" priority="1051"/>
    <cfRule type="duplicateValues" dxfId="774" priority="1052"/>
    <cfRule type="duplicateValues" dxfId="773" priority="1053"/>
    <cfRule type="duplicateValues" dxfId="772" priority="1054"/>
    <cfRule type="duplicateValues" dxfId="771" priority="1055"/>
    <cfRule type="duplicateValues" dxfId="770" priority="1056"/>
    <cfRule type="duplicateValues" dxfId="769" priority="1057"/>
    <cfRule type="duplicateValues" dxfId="768" priority="1058"/>
    <cfRule type="duplicateValues" dxfId="767" priority="1059"/>
    <cfRule type="duplicateValues" dxfId="766" priority="1060"/>
    <cfRule type="duplicateValues" dxfId="765" priority="1061"/>
    <cfRule type="duplicateValues" dxfId="764" priority="1062"/>
    <cfRule type="duplicateValues" dxfId="763" priority="1063"/>
    <cfRule type="duplicateValues" dxfId="762" priority="1064"/>
    <cfRule type="duplicateValues" dxfId="761" priority="1065"/>
    <cfRule type="duplicateValues" dxfId="760" priority="1066"/>
    <cfRule type="duplicateValues" dxfId="759" priority="1067"/>
    <cfRule type="duplicateValues" dxfId="758" priority="1068"/>
    <cfRule type="duplicateValues" dxfId="757" priority="1069"/>
    <cfRule type="duplicateValues" dxfId="756" priority="1070"/>
    <cfRule type="duplicateValues" dxfId="755" priority="1071"/>
    <cfRule type="duplicateValues" dxfId="754" priority="1072"/>
    <cfRule type="duplicateValues" dxfId="753" priority="1073"/>
    <cfRule type="duplicateValues" dxfId="752" priority="1074"/>
  </conditionalFormatting>
  <conditionalFormatting sqref="B70:B79">
    <cfRule type="duplicateValues" dxfId="751" priority="654"/>
    <cfRule type="duplicateValues" dxfId="750" priority="653"/>
    <cfRule type="duplicateValues" dxfId="749" priority="652"/>
    <cfRule type="duplicateValues" dxfId="748" priority="651"/>
    <cfRule type="duplicateValues" dxfId="747" priority="650"/>
    <cfRule type="duplicateValues" dxfId="746" priority="649"/>
    <cfRule type="duplicateValues" dxfId="745" priority="648"/>
    <cfRule type="duplicateValues" dxfId="744" priority="647"/>
    <cfRule type="duplicateValues" dxfId="743" priority="646"/>
    <cfRule type="duplicateValues" dxfId="742" priority="645"/>
    <cfRule type="duplicateValues" dxfId="741" priority="644"/>
    <cfRule type="duplicateValues" dxfId="740" priority="643"/>
    <cfRule type="duplicateValues" dxfId="739" priority="642"/>
    <cfRule type="duplicateValues" dxfId="738" priority="641"/>
    <cfRule type="duplicateValues" dxfId="737" priority="640"/>
    <cfRule type="duplicateValues" dxfId="736" priority="639"/>
    <cfRule type="duplicateValues" dxfId="735" priority="638"/>
    <cfRule type="duplicateValues" dxfId="734" priority="637"/>
    <cfRule type="duplicateValues" dxfId="733" priority="636"/>
    <cfRule type="duplicateValues" dxfId="732" priority="635"/>
    <cfRule type="duplicateValues" dxfId="731" priority="634"/>
    <cfRule type="duplicateValues" dxfId="730" priority="633"/>
    <cfRule type="duplicateValues" dxfId="729" priority="632"/>
    <cfRule type="duplicateValues" dxfId="728" priority="631"/>
    <cfRule type="duplicateValues" dxfId="727" priority="630"/>
    <cfRule type="duplicateValues" dxfId="726" priority="629"/>
    <cfRule type="duplicateValues" dxfId="725" priority="628"/>
    <cfRule type="duplicateValues" dxfId="724" priority="627"/>
    <cfRule type="duplicateValues" dxfId="723" priority="626"/>
    <cfRule type="duplicateValues" dxfId="722" priority="625"/>
    <cfRule type="duplicateValues" dxfId="721" priority="624"/>
    <cfRule type="duplicateValues" dxfId="720" priority="623"/>
    <cfRule type="duplicateValues" dxfId="719" priority="622"/>
    <cfRule type="duplicateValues" dxfId="718" priority="621"/>
    <cfRule type="duplicateValues" dxfId="717" priority="620"/>
    <cfRule type="duplicateValues" dxfId="716" priority="619"/>
    <cfRule type="duplicateValues" dxfId="715" priority="618"/>
    <cfRule type="duplicateValues" dxfId="714" priority="617"/>
    <cfRule type="duplicateValues" dxfId="713" priority="616"/>
    <cfRule type="duplicateValues" dxfId="712" priority="615"/>
    <cfRule type="duplicateValues" dxfId="711" priority="614"/>
    <cfRule type="duplicateValues" dxfId="710" priority="613"/>
    <cfRule type="duplicateValues" dxfId="709" priority="612"/>
    <cfRule type="duplicateValues" dxfId="708" priority="611"/>
    <cfRule type="duplicateValues" dxfId="707" priority="610"/>
    <cfRule type="duplicateValues" dxfId="706" priority="609"/>
    <cfRule type="duplicateValues" dxfId="705" priority="608"/>
    <cfRule type="duplicateValues" dxfId="704" priority="607"/>
    <cfRule type="duplicateValues" dxfId="703" priority="606"/>
    <cfRule type="duplicateValues" dxfId="702" priority="605"/>
    <cfRule type="duplicateValues" dxfId="701" priority="604"/>
    <cfRule type="duplicateValues" dxfId="700" priority="603"/>
    <cfRule type="duplicateValues" dxfId="699" priority="602"/>
    <cfRule type="duplicateValues" dxfId="698" priority="601"/>
    <cfRule type="duplicateValues" dxfId="697" priority="600"/>
    <cfRule type="duplicateValues" dxfId="696" priority="599"/>
    <cfRule type="duplicateValues" dxfId="695" priority="598"/>
    <cfRule type="duplicateValues" dxfId="694" priority="597"/>
    <cfRule type="duplicateValues" dxfId="693" priority="596"/>
    <cfRule type="duplicateValues" dxfId="692" priority="595"/>
    <cfRule type="duplicateValues" dxfId="691" priority="594"/>
    <cfRule type="duplicateValues" dxfId="690" priority="593"/>
    <cfRule type="duplicateValues" dxfId="689" priority="592"/>
    <cfRule type="duplicateValues" dxfId="688" priority="591"/>
    <cfRule type="duplicateValues" dxfId="687" priority="590"/>
    <cfRule type="duplicateValues" dxfId="686" priority="589"/>
    <cfRule type="duplicateValues" dxfId="685" priority="588"/>
    <cfRule type="duplicateValues" dxfId="684" priority="587"/>
    <cfRule type="duplicateValues" dxfId="683" priority="586"/>
    <cfRule type="duplicateValues" dxfId="682" priority="585"/>
    <cfRule type="duplicateValues" dxfId="681" priority="584"/>
    <cfRule type="duplicateValues" dxfId="680" priority="583"/>
    <cfRule type="duplicateValues" dxfId="679" priority="582"/>
    <cfRule type="duplicateValues" dxfId="678" priority="581"/>
    <cfRule type="duplicateValues" dxfId="677" priority="580"/>
    <cfRule type="duplicateValues" dxfId="676" priority="579"/>
    <cfRule type="duplicateValues" dxfId="675" priority="578"/>
    <cfRule type="duplicateValues" dxfId="674" priority="577"/>
    <cfRule type="duplicateValues" dxfId="673" priority="576"/>
    <cfRule type="duplicateValues" dxfId="672" priority="575"/>
    <cfRule type="duplicateValues" dxfId="671" priority="574"/>
    <cfRule type="duplicateValues" dxfId="670" priority="573"/>
    <cfRule type="duplicateValues" dxfId="669" priority="572"/>
    <cfRule type="duplicateValues" dxfId="668" priority="571"/>
    <cfRule type="duplicateValues" dxfId="667" priority="570"/>
    <cfRule type="duplicateValues" dxfId="666" priority="569"/>
    <cfRule type="duplicateValues" dxfId="665" priority="568"/>
    <cfRule type="duplicateValues" dxfId="664" priority="567"/>
    <cfRule type="duplicateValues" dxfId="663" priority="566"/>
    <cfRule type="duplicateValues" dxfId="662" priority="565"/>
    <cfRule type="duplicateValues" dxfId="661" priority="564"/>
    <cfRule type="duplicateValues" dxfId="660" priority="563"/>
    <cfRule type="duplicateValues" dxfId="659" priority="562"/>
    <cfRule type="duplicateValues" dxfId="658" priority="561"/>
    <cfRule type="duplicateValues" dxfId="657" priority="560"/>
    <cfRule type="duplicateValues" dxfId="656" priority="559"/>
    <cfRule type="duplicateValues" dxfId="655" priority="558"/>
    <cfRule type="duplicateValues" dxfId="654" priority="557"/>
    <cfRule type="duplicateValues" dxfId="653" priority="556"/>
    <cfRule type="duplicateValues" dxfId="652" priority="555"/>
    <cfRule type="duplicateValues" dxfId="651" priority="554"/>
    <cfRule type="duplicateValues" dxfId="650" priority="553"/>
    <cfRule type="duplicateValues" dxfId="649" priority="552"/>
    <cfRule type="duplicateValues" dxfId="648" priority="551"/>
    <cfRule type="duplicateValues" dxfId="647" priority="550"/>
    <cfRule type="duplicateValues" dxfId="646" priority="549"/>
    <cfRule type="duplicateValues" dxfId="645" priority="548"/>
    <cfRule type="duplicateValues" dxfId="644" priority="547"/>
    <cfRule type="duplicateValues" dxfId="643" priority="546"/>
    <cfRule type="duplicateValues" dxfId="642" priority="545"/>
    <cfRule type="duplicateValues" dxfId="641" priority="544"/>
    <cfRule type="duplicateValues" dxfId="640" priority="543"/>
    <cfRule type="duplicateValues" dxfId="639" priority="542"/>
    <cfRule type="duplicateValues" dxfId="638" priority="661"/>
    <cfRule type="duplicateValues" dxfId="637" priority="660"/>
    <cfRule type="duplicateValues" dxfId="636" priority="659"/>
    <cfRule type="duplicateValues" dxfId="635" priority="657"/>
    <cfRule type="duplicateValues" dxfId="634" priority="658"/>
    <cfRule type="duplicateValues" dxfId="633" priority="656"/>
    <cfRule type="duplicateValues" dxfId="632" priority="655"/>
    <cfRule type="duplicateValues" dxfId="631" priority="662"/>
  </conditionalFormatting>
  <conditionalFormatting sqref="B87:B88">
    <cfRule type="duplicateValues" dxfId="630" priority="413"/>
    <cfRule type="duplicateValues" dxfId="629" priority="412"/>
    <cfRule type="duplicateValues" dxfId="628" priority="411"/>
    <cfRule type="duplicateValues" dxfId="627" priority="410"/>
    <cfRule type="duplicateValues" dxfId="626" priority="409"/>
    <cfRule type="duplicateValues" dxfId="625" priority="408"/>
    <cfRule type="duplicateValues" dxfId="624" priority="407"/>
    <cfRule type="duplicateValues" dxfId="623" priority="406"/>
    <cfRule type="duplicateValues" dxfId="622" priority="405"/>
    <cfRule type="duplicateValues" dxfId="621" priority="404"/>
    <cfRule type="duplicateValues" dxfId="620" priority="403"/>
    <cfRule type="duplicateValues" dxfId="619" priority="402"/>
    <cfRule type="duplicateValues" dxfId="618" priority="401"/>
    <cfRule type="duplicateValues" dxfId="617" priority="400"/>
    <cfRule type="duplicateValues" dxfId="616" priority="399"/>
    <cfRule type="duplicateValues" dxfId="615" priority="398"/>
    <cfRule type="duplicateValues" dxfId="614" priority="397"/>
    <cfRule type="duplicateValues" dxfId="613" priority="396"/>
    <cfRule type="duplicateValues" dxfId="612" priority="395"/>
    <cfRule type="duplicateValues" dxfId="611" priority="394"/>
    <cfRule type="duplicateValues" dxfId="610" priority="392"/>
    <cfRule type="duplicateValues" dxfId="609" priority="391"/>
    <cfRule type="duplicateValues" dxfId="608" priority="390"/>
    <cfRule type="duplicateValues" dxfId="607" priority="389"/>
    <cfRule type="duplicateValues" dxfId="606" priority="388"/>
    <cfRule type="duplicateValues" dxfId="605" priority="387"/>
    <cfRule type="duplicateValues" dxfId="604" priority="386"/>
    <cfRule type="duplicateValues" dxfId="603" priority="385"/>
    <cfRule type="duplicateValues" dxfId="602" priority="384"/>
    <cfRule type="duplicateValues" dxfId="601" priority="383"/>
    <cfRule type="duplicateValues" dxfId="600" priority="382"/>
    <cfRule type="duplicateValues" dxfId="599" priority="381"/>
    <cfRule type="duplicateValues" dxfId="598" priority="380"/>
    <cfRule type="duplicateValues" dxfId="597" priority="379"/>
    <cfRule type="duplicateValues" dxfId="596" priority="378"/>
    <cfRule type="duplicateValues" dxfId="595" priority="377"/>
    <cfRule type="duplicateValues" dxfId="594" priority="376"/>
    <cfRule type="duplicateValues" dxfId="593" priority="375"/>
    <cfRule type="duplicateValues" dxfId="592" priority="374"/>
    <cfRule type="duplicateValues" dxfId="591" priority="373"/>
    <cfRule type="duplicateValues" dxfId="590" priority="372"/>
    <cfRule type="duplicateValues" dxfId="589" priority="371"/>
    <cfRule type="duplicateValues" dxfId="588" priority="370"/>
    <cfRule type="duplicateValues" dxfId="587" priority="369"/>
    <cfRule type="duplicateValues" dxfId="586" priority="368"/>
    <cfRule type="duplicateValues" dxfId="585" priority="367"/>
    <cfRule type="duplicateValues" dxfId="584" priority="366"/>
    <cfRule type="duplicateValues" dxfId="583" priority="365"/>
    <cfRule type="duplicateValues" dxfId="582" priority="364"/>
    <cfRule type="duplicateValues" dxfId="581" priority="363"/>
    <cfRule type="duplicateValues" dxfId="580" priority="362"/>
    <cfRule type="duplicateValues" dxfId="579" priority="361"/>
    <cfRule type="duplicateValues" dxfId="578" priority="360"/>
    <cfRule type="duplicateValues" dxfId="577" priority="359"/>
    <cfRule type="duplicateValues" dxfId="576" priority="358"/>
    <cfRule type="duplicateValues" dxfId="575" priority="357"/>
    <cfRule type="duplicateValues" dxfId="574" priority="356"/>
    <cfRule type="duplicateValues" dxfId="573" priority="355"/>
    <cfRule type="duplicateValues" dxfId="572" priority="354"/>
    <cfRule type="duplicateValues" dxfId="571" priority="353"/>
    <cfRule type="duplicateValues" dxfId="570" priority="352"/>
    <cfRule type="duplicateValues" dxfId="569" priority="351"/>
    <cfRule type="duplicateValues" dxfId="568" priority="350"/>
    <cfRule type="duplicateValues" dxfId="567" priority="349"/>
    <cfRule type="duplicateValues" dxfId="566" priority="348"/>
    <cfRule type="duplicateValues" dxfId="565" priority="347"/>
    <cfRule type="duplicateValues" dxfId="564" priority="346"/>
    <cfRule type="duplicateValues" dxfId="563" priority="345"/>
    <cfRule type="duplicateValues" dxfId="562" priority="344"/>
    <cfRule type="duplicateValues" dxfId="561" priority="343"/>
    <cfRule type="duplicateValues" dxfId="560" priority="342"/>
    <cfRule type="duplicateValues" dxfId="559" priority="341"/>
    <cfRule type="duplicateValues" dxfId="558" priority="340"/>
    <cfRule type="duplicateValues" dxfId="557" priority="339"/>
    <cfRule type="duplicateValues" dxfId="556" priority="338"/>
    <cfRule type="duplicateValues" dxfId="555" priority="337"/>
    <cfRule type="duplicateValues" dxfId="554" priority="336"/>
    <cfRule type="duplicateValues" dxfId="553" priority="335"/>
    <cfRule type="duplicateValues" dxfId="552" priority="334"/>
    <cfRule type="duplicateValues" dxfId="551" priority="333"/>
    <cfRule type="duplicateValues" dxfId="550" priority="332"/>
    <cfRule type="duplicateValues" dxfId="549" priority="331"/>
    <cfRule type="duplicateValues" dxfId="548" priority="330"/>
    <cfRule type="duplicateValues" dxfId="547" priority="329"/>
    <cfRule type="duplicateValues" dxfId="546" priority="328"/>
    <cfRule type="duplicateValues" dxfId="545" priority="327"/>
    <cfRule type="duplicateValues" dxfId="544" priority="326"/>
    <cfRule type="duplicateValues" dxfId="543" priority="325"/>
    <cfRule type="duplicateValues" dxfId="542" priority="324"/>
    <cfRule type="duplicateValues" dxfId="541" priority="323"/>
    <cfRule type="duplicateValues" dxfId="540" priority="322"/>
    <cfRule type="duplicateValues" dxfId="539" priority="321"/>
    <cfRule type="duplicateValues" dxfId="538" priority="320"/>
    <cfRule type="duplicateValues" dxfId="537" priority="319"/>
    <cfRule type="duplicateValues" dxfId="536" priority="318"/>
    <cfRule type="duplicateValues" dxfId="535" priority="317"/>
    <cfRule type="duplicateValues" dxfId="534" priority="316"/>
    <cfRule type="duplicateValues" dxfId="533" priority="315"/>
    <cfRule type="duplicateValues" dxfId="532" priority="314"/>
    <cfRule type="duplicateValues" dxfId="531" priority="313"/>
    <cfRule type="duplicateValues" dxfId="530" priority="312"/>
    <cfRule type="duplicateValues" dxfId="529" priority="311"/>
    <cfRule type="duplicateValues" dxfId="528" priority="310"/>
    <cfRule type="duplicateValues" dxfId="527" priority="309"/>
    <cfRule type="duplicateValues" dxfId="526" priority="308"/>
    <cfRule type="duplicateValues" dxfId="525" priority="307"/>
    <cfRule type="duplicateValues" dxfId="524" priority="306"/>
    <cfRule type="duplicateValues" dxfId="523" priority="305"/>
    <cfRule type="duplicateValues" dxfId="522" priority="304"/>
    <cfRule type="duplicateValues" dxfId="521" priority="303"/>
    <cfRule type="duplicateValues" dxfId="520" priority="302"/>
    <cfRule type="duplicateValues" dxfId="519" priority="301"/>
    <cfRule type="duplicateValues" dxfId="518" priority="300"/>
    <cfRule type="duplicateValues" dxfId="517" priority="299"/>
    <cfRule type="duplicateValues" dxfId="516" priority="298"/>
    <cfRule type="duplicateValues" dxfId="515" priority="297"/>
    <cfRule type="duplicateValues" dxfId="514" priority="296"/>
    <cfRule type="duplicateValues" dxfId="513" priority="295"/>
    <cfRule type="duplicateValues" dxfId="512" priority="294"/>
    <cfRule type="duplicateValues" dxfId="511" priority="414"/>
    <cfRule type="duplicateValues" dxfId="510" priority="393"/>
  </conditionalFormatting>
  <conditionalFormatting sqref="B87:B106 B40:B58 B3:B19">
    <cfRule type="duplicateValues" dxfId="509" priority="2165"/>
  </conditionalFormatting>
  <conditionalFormatting sqref="B87:B106 B40:B58 B12:B18 B3:B10">
    <cfRule type="duplicateValues" dxfId="508" priority="2166"/>
  </conditionalFormatting>
  <conditionalFormatting sqref="B87:B106 B40:B58 B12:B19 B3:B10">
    <cfRule type="duplicateValues" dxfId="507" priority="2167"/>
  </conditionalFormatting>
  <conditionalFormatting sqref="B89:B98">
    <cfRule type="duplicateValues" dxfId="506" priority="215"/>
    <cfRule type="duplicateValues" dxfId="505" priority="290"/>
    <cfRule type="duplicateValues" dxfId="504" priority="289"/>
    <cfRule type="duplicateValues" dxfId="503" priority="288"/>
    <cfRule type="duplicateValues" dxfId="502" priority="287"/>
    <cfRule type="duplicateValues" dxfId="501" priority="286"/>
    <cfRule type="duplicateValues" dxfId="500" priority="285"/>
    <cfRule type="duplicateValues" dxfId="499" priority="284"/>
    <cfRule type="duplicateValues" dxfId="498" priority="283"/>
    <cfRule type="duplicateValues" dxfId="497" priority="282"/>
    <cfRule type="duplicateValues" dxfId="496" priority="281"/>
    <cfRule type="duplicateValues" dxfId="495" priority="280"/>
    <cfRule type="duplicateValues" dxfId="494" priority="279"/>
    <cfRule type="duplicateValues" dxfId="493" priority="278"/>
    <cfRule type="duplicateValues" dxfId="492" priority="277"/>
    <cfRule type="duplicateValues" dxfId="491" priority="276"/>
    <cfRule type="duplicateValues" dxfId="490" priority="275"/>
    <cfRule type="duplicateValues" dxfId="489" priority="274"/>
    <cfRule type="duplicateValues" dxfId="488" priority="273"/>
    <cfRule type="duplicateValues" dxfId="487" priority="272"/>
    <cfRule type="duplicateValues" dxfId="486" priority="271"/>
    <cfRule type="duplicateValues" dxfId="485" priority="270"/>
    <cfRule type="duplicateValues" dxfId="484" priority="269"/>
    <cfRule type="duplicateValues" dxfId="483" priority="268"/>
    <cfRule type="duplicateValues" dxfId="482" priority="267"/>
    <cfRule type="duplicateValues" dxfId="481" priority="266"/>
    <cfRule type="duplicateValues" dxfId="480" priority="265"/>
    <cfRule type="duplicateValues" dxfId="479" priority="264"/>
    <cfRule type="duplicateValues" dxfId="478" priority="263"/>
    <cfRule type="duplicateValues" dxfId="477" priority="262"/>
    <cfRule type="duplicateValues" dxfId="476" priority="261"/>
    <cfRule type="duplicateValues" dxfId="475" priority="260"/>
    <cfRule type="duplicateValues" dxfId="474" priority="259"/>
    <cfRule type="duplicateValues" dxfId="473" priority="258"/>
    <cfRule type="duplicateValues" dxfId="472" priority="257"/>
    <cfRule type="duplicateValues" dxfId="471" priority="256"/>
    <cfRule type="duplicateValues" dxfId="470" priority="255"/>
    <cfRule type="duplicateValues" dxfId="469" priority="254"/>
    <cfRule type="duplicateValues" dxfId="468" priority="253"/>
    <cfRule type="duplicateValues" dxfId="467" priority="252"/>
    <cfRule type="duplicateValues" dxfId="466" priority="251"/>
    <cfRule type="duplicateValues" dxfId="465" priority="250"/>
    <cfRule type="duplicateValues" dxfId="464" priority="249"/>
    <cfRule type="duplicateValues" dxfId="463" priority="248"/>
    <cfRule type="duplicateValues" dxfId="462" priority="247"/>
    <cfRule type="duplicateValues" dxfId="461" priority="246"/>
    <cfRule type="duplicateValues" dxfId="460" priority="245"/>
    <cfRule type="duplicateValues" dxfId="459" priority="244"/>
    <cfRule type="duplicateValues" dxfId="458" priority="243"/>
    <cfRule type="duplicateValues" dxfId="457" priority="242"/>
    <cfRule type="duplicateValues" dxfId="456" priority="241"/>
    <cfRule type="duplicateValues" dxfId="455" priority="240"/>
    <cfRule type="duplicateValues" dxfId="454" priority="239"/>
    <cfRule type="duplicateValues" dxfId="453" priority="238"/>
    <cfRule type="duplicateValues" dxfId="452" priority="237"/>
    <cfRule type="duplicateValues" dxfId="451" priority="236"/>
    <cfRule type="duplicateValues" dxfId="450" priority="235"/>
    <cfRule type="duplicateValues" dxfId="449" priority="234"/>
    <cfRule type="duplicateValues" dxfId="448" priority="233"/>
    <cfRule type="duplicateValues" dxfId="447" priority="232"/>
    <cfRule type="duplicateValues" dxfId="446" priority="231"/>
    <cfRule type="duplicateValues" dxfId="445" priority="230"/>
    <cfRule type="duplicateValues" dxfId="444" priority="229"/>
    <cfRule type="duplicateValues" dxfId="443" priority="228"/>
    <cfRule type="duplicateValues" dxfId="442" priority="227"/>
    <cfRule type="duplicateValues" dxfId="441" priority="226"/>
    <cfRule type="duplicateValues" dxfId="440" priority="225"/>
    <cfRule type="duplicateValues" dxfId="439" priority="224"/>
    <cfRule type="duplicateValues" dxfId="438" priority="223"/>
    <cfRule type="duplicateValues" dxfId="437" priority="222"/>
    <cfRule type="duplicateValues" dxfId="436" priority="221"/>
    <cfRule type="duplicateValues" dxfId="435" priority="216"/>
    <cfRule type="duplicateValues" dxfId="434" priority="217"/>
    <cfRule type="duplicateValues" dxfId="433" priority="218"/>
    <cfRule type="duplicateValues" dxfId="432" priority="219"/>
    <cfRule type="duplicateValues" dxfId="431" priority="211"/>
    <cfRule type="duplicateValues" dxfId="430" priority="212"/>
    <cfRule type="duplicateValues" dxfId="429" priority="213"/>
    <cfRule type="duplicateValues" dxfId="428" priority="214"/>
    <cfRule type="duplicateValues" dxfId="427" priority="220"/>
    <cfRule type="duplicateValues" dxfId="426" priority="210"/>
  </conditionalFormatting>
  <conditionalFormatting sqref="B89:B106 B58 B12:B16 B3:B10">
    <cfRule type="duplicateValues" dxfId="425" priority="2162"/>
    <cfRule type="duplicateValues" dxfId="424" priority="2164"/>
    <cfRule type="duplicateValues" dxfId="423" priority="2163"/>
  </conditionalFormatting>
  <conditionalFormatting sqref="B89:B106 B58">
    <cfRule type="duplicateValues" dxfId="422" priority="1358"/>
    <cfRule type="duplicateValues" dxfId="421" priority="1359"/>
    <cfRule type="duplicateValues" dxfId="420" priority="1360"/>
    <cfRule type="duplicateValues" dxfId="419" priority="1361"/>
    <cfRule type="duplicateValues" dxfId="418" priority="1362"/>
    <cfRule type="duplicateValues" dxfId="417" priority="1363"/>
    <cfRule type="duplicateValues" dxfId="416" priority="1364"/>
    <cfRule type="duplicateValues" dxfId="415" priority="1365"/>
    <cfRule type="duplicateValues" dxfId="414" priority="1366"/>
  </conditionalFormatting>
  <conditionalFormatting sqref="B99">
    <cfRule type="duplicateValues" dxfId="413" priority="137"/>
    <cfRule type="duplicateValues" dxfId="412" priority="136"/>
    <cfRule type="duplicateValues" dxfId="411" priority="135"/>
    <cfRule type="duplicateValues" dxfId="410" priority="197"/>
    <cfRule type="duplicateValues" dxfId="409" priority="134"/>
    <cfRule type="duplicateValues" dxfId="408" priority="133"/>
    <cfRule type="duplicateValues" dxfId="407" priority="132"/>
    <cfRule type="duplicateValues" dxfId="406" priority="131"/>
    <cfRule type="duplicateValues" dxfId="405" priority="130"/>
    <cfRule type="duplicateValues" dxfId="404" priority="129"/>
    <cfRule type="duplicateValues" dxfId="403" priority="209"/>
    <cfRule type="duplicateValues" dxfId="402" priority="208"/>
    <cfRule type="duplicateValues" dxfId="401" priority="207"/>
    <cfRule type="duplicateValues" dxfId="400" priority="206"/>
    <cfRule type="duplicateValues" dxfId="399" priority="205"/>
    <cfRule type="duplicateValues" dxfId="398" priority="204"/>
    <cfRule type="duplicateValues" dxfId="397" priority="203"/>
    <cfRule type="duplicateValues" dxfId="396" priority="202"/>
    <cfRule type="duplicateValues" dxfId="395" priority="201"/>
    <cfRule type="duplicateValues" dxfId="394" priority="200"/>
    <cfRule type="duplicateValues" dxfId="393" priority="199"/>
    <cfRule type="duplicateValues" dxfId="392" priority="198"/>
    <cfRule type="duplicateValues" dxfId="391" priority="196"/>
    <cfRule type="duplicateValues" dxfId="390" priority="195"/>
    <cfRule type="duplicateValues" dxfId="389" priority="194"/>
    <cfRule type="duplicateValues" dxfId="388" priority="193"/>
    <cfRule type="duplicateValues" dxfId="387" priority="192"/>
    <cfRule type="duplicateValues" dxfId="386" priority="191"/>
    <cfRule type="duplicateValues" dxfId="385" priority="190"/>
    <cfRule type="duplicateValues" dxfId="384" priority="189"/>
    <cfRule type="duplicateValues" dxfId="383" priority="188"/>
    <cfRule type="duplicateValues" dxfId="382" priority="187"/>
    <cfRule type="duplicateValues" dxfId="381" priority="186"/>
    <cfRule type="duplicateValues" dxfId="380" priority="185"/>
    <cfRule type="duplicateValues" dxfId="379" priority="184"/>
    <cfRule type="duplicateValues" dxfId="378" priority="183"/>
    <cfRule type="duplicateValues" dxfId="377" priority="182"/>
    <cfRule type="duplicateValues" dxfId="376" priority="181"/>
    <cfRule type="duplicateValues" dxfId="375" priority="180"/>
    <cfRule type="duplicateValues" dxfId="374" priority="179"/>
    <cfRule type="duplicateValues" dxfId="373" priority="178"/>
    <cfRule type="duplicateValues" dxfId="372" priority="177"/>
    <cfRule type="duplicateValues" dxfId="371" priority="176"/>
    <cfRule type="duplicateValues" dxfId="370" priority="175"/>
    <cfRule type="duplicateValues" dxfId="369" priority="174"/>
    <cfRule type="duplicateValues" dxfId="368" priority="173"/>
    <cfRule type="duplicateValues" dxfId="367" priority="172"/>
    <cfRule type="duplicateValues" dxfId="366" priority="171"/>
    <cfRule type="duplicateValues" dxfId="365" priority="170"/>
    <cfRule type="duplicateValues" dxfId="364" priority="169"/>
    <cfRule type="duplicateValues" dxfId="363" priority="168"/>
    <cfRule type="duplicateValues" dxfId="362" priority="167"/>
    <cfRule type="duplicateValues" dxfId="361" priority="166"/>
    <cfRule type="duplicateValues" dxfId="360" priority="165"/>
    <cfRule type="duplicateValues" dxfId="359" priority="164"/>
    <cfRule type="duplicateValues" dxfId="358" priority="163"/>
    <cfRule type="duplicateValues" dxfId="357" priority="162"/>
    <cfRule type="duplicateValues" dxfId="356" priority="161"/>
    <cfRule type="duplicateValues" dxfId="355" priority="160"/>
    <cfRule type="duplicateValues" dxfId="354" priority="159"/>
    <cfRule type="duplicateValues" dxfId="353" priority="158"/>
    <cfRule type="duplicateValues" dxfId="352" priority="157"/>
    <cfRule type="duplicateValues" dxfId="351" priority="156"/>
    <cfRule type="duplicateValues" dxfId="350" priority="155"/>
    <cfRule type="duplicateValues" dxfId="349" priority="154"/>
    <cfRule type="duplicateValues" dxfId="348" priority="153"/>
    <cfRule type="duplicateValues" dxfId="347" priority="152"/>
    <cfRule type="duplicateValues" dxfId="346" priority="151"/>
    <cfRule type="duplicateValues" dxfId="345" priority="150"/>
    <cfRule type="duplicateValues" dxfId="344" priority="149"/>
    <cfRule type="duplicateValues" dxfId="343" priority="148"/>
    <cfRule type="duplicateValues" dxfId="342" priority="147"/>
    <cfRule type="duplicateValues" dxfId="341" priority="146"/>
    <cfRule type="duplicateValues" dxfId="340" priority="145"/>
    <cfRule type="duplicateValues" dxfId="339" priority="144"/>
    <cfRule type="duplicateValues" dxfId="338" priority="143"/>
    <cfRule type="duplicateValues" dxfId="337" priority="142"/>
    <cfRule type="duplicateValues" dxfId="336" priority="141"/>
    <cfRule type="duplicateValues" dxfId="335" priority="140"/>
    <cfRule type="duplicateValues" dxfId="334" priority="139"/>
    <cfRule type="duplicateValues" dxfId="333" priority="138"/>
  </conditionalFormatting>
  <conditionalFormatting sqref="B100:B106">
    <cfRule type="duplicateValues" dxfId="332" priority="106"/>
    <cfRule type="duplicateValues" dxfId="331" priority="20"/>
    <cfRule type="duplicateValues" dxfId="330" priority="19"/>
    <cfRule type="duplicateValues" dxfId="329" priority="18"/>
    <cfRule type="duplicateValues" dxfId="328" priority="17"/>
    <cfRule type="duplicateValues" dxfId="327" priority="16"/>
    <cfRule type="duplicateValues" dxfId="326" priority="15"/>
    <cfRule type="duplicateValues" dxfId="325" priority="14"/>
    <cfRule type="duplicateValues" dxfId="324" priority="13"/>
    <cfRule type="duplicateValues" dxfId="323" priority="12"/>
    <cfRule type="duplicateValues" dxfId="322" priority="11"/>
    <cfRule type="duplicateValues" dxfId="321" priority="10"/>
    <cfRule type="duplicateValues" dxfId="320" priority="9"/>
    <cfRule type="duplicateValues" dxfId="319" priority="8"/>
    <cfRule type="duplicateValues" dxfId="318" priority="7"/>
    <cfRule type="duplicateValues" dxfId="317" priority="6"/>
    <cfRule type="duplicateValues" dxfId="316" priority="5"/>
    <cfRule type="duplicateValues" dxfId="315" priority="4"/>
    <cfRule type="duplicateValues" dxfId="314" priority="3"/>
    <cfRule type="duplicateValues" dxfId="313" priority="2"/>
    <cfRule type="duplicateValues" dxfId="312" priority="24"/>
    <cfRule type="duplicateValues" dxfId="311" priority="23"/>
    <cfRule type="duplicateValues" dxfId="310" priority="22"/>
    <cfRule type="duplicateValues" dxfId="309" priority="21"/>
    <cfRule type="duplicateValues" dxfId="308" priority="122"/>
    <cfRule type="duplicateValues" dxfId="307" priority="121"/>
    <cfRule type="duplicateValues" dxfId="306" priority="120"/>
    <cfRule type="duplicateValues" dxfId="305" priority="119"/>
    <cfRule type="duplicateValues" dxfId="304" priority="118"/>
    <cfRule type="duplicateValues" dxfId="303" priority="117"/>
    <cfRule type="duplicateValues" dxfId="302" priority="116"/>
    <cfRule type="duplicateValues" dxfId="301" priority="115"/>
    <cfRule type="duplicateValues" dxfId="300" priority="114"/>
    <cfRule type="duplicateValues" dxfId="299" priority="113"/>
    <cfRule type="duplicateValues" dxfId="298" priority="112"/>
    <cfRule type="duplicateValues" dxfId="297" priority="111"/>
    <cfRule type="duplicateValues" dxfId="296" priority="110"/>
    <cfRule type="duplicateValues" dxfId="295" priority="109"/>
    <cfRule type="duplicateValues" dxfId="294" priority="108"/>
    <cfRule type="duplicateValues" dxfId="293" priority="107"/>
    <cfRule type="duplicateValues" dxfId="292" priority="66"/>
    <cfRule type="duplicateValues" dxfId="291" priority="105"/>
    <cfRule type="duplicateValues" dxfId="290" priority="104"/>
    <cfRule type="duplicateValues" dxfId="289" priority="103"/>
    <cfRule type="duplicateValues" dxfId="288" priority="102"/>
    <cfRule type="duplicateValues" dxfId="287" priority="101"/>
    <cfRule type="duplicateValues" dxfId="286" priority="100"/>
    <cfRule type="duplicateValues" dxfId="285" priority="99"/>
    <cfRule type="duplicateValues" dxfId="284" priority="98"/>
    <cfRule type="duplicateValues" dxfId="283" priority="97"/>
    <cfRule type="duplicateValues" dxfId="282" priority="96"/>
    <cfRule type="duplicateValues" dxfId="281" priority="95"/>
    <cfRule type="duplicateValues" dxfId="280" priority="94"/>
    <cfRule type="duplicateValues" dxfId="279" priority="93"/>
    <cfRule type="duplicateValues" dxfId="278" priority="92"/>
    <cfRule type="duplicateValues" dxfId="277" priority="91"/>
    <cfRule type="duplicateValues" dxfId="276" priority="90"/>
    <cfRule type="duplicateValues" dxfId="275" priority="89"/>
    <cfRule type="duplicateValues" dxfId="274" priority="88"/>
    <cfRule type="duplicateValues" dxfId="273" priority="87"/>
    <cfRule type="duplicateValues" dxfId="272" priority="86"/>
    <cfRule type="duplicateValues" dxfId="271" priority="85"/>
    <cfRule type="duplicateValues" dxfId="270" priority="84"/>
    <cfRule type="duplicateValues" dxfId="269" priority="83"/>
    <cfRule type="duplicateValues" dxfId="268" priority="82"/>
    <cfRule type="duplicateValues" dxfId="267" priority="81"/>
    <cfRule type="duplicateValues" dxfId="266" priority="80"/>
    <cfRule type="duplicateValues" dxfId="265" priority="79"/>
    <cfRule type="duplicateValues" dxfId="264" priority="78"/>
    <cfRule type="duplicateValues" dxfId="263" priority="77"/>
    <cfRule type="duplicateValues" dxfId="262" priority="76"/>
    <cfRule type="duplicateValues" dxfId="261" priority="75"/>
    <cfRule type="duplicateValues" dxfId="260" priority="74"/>
    <cfRule type="duplicateValues" dxfId="259" priority="73"/>
    <cfRule type="duplicateValues" dxfId="258" priority="72"/>
    <cfRule type="duplicateValues" dxfId="257" priority="71"/>
    <cfRule type="duplicateValues" dxfId="256" priority="70"/>
    <cfRule type="duplicateValues" dxfId="255" priority="69"/>
    <cfRule type="duplicateValues" dxfId="254" priority="68"/>
    <cfRule type="duplicateValues" dxfId="253" priority="67"/>
    <cfRule type="duplicateValues" dxfId="252" priority="65"/>
    <cfRule type="duplicateValues" dxfId="251" priority="64"/>
    <cfRule type="duplicateValues" dxfId="250" priority="63"/>
    <cfRule type="duplicateValues" dxfId="249" priority="62"/>
    <cfRule type="duplicateValues" dxfId="248" priority="61"/>
    <cfRule type="duplicateValues" dxfId="247" priority="60"/>
    <cfRule type="duplicateValues" dxfId="246" priority="59"/>
    <cfRule type="duplicateValues" dxfId="245" priority="58"/>
    <cfRule type="duplicateValues" dxfId="244" priority="57"/>
    <cfRule type="duplicateValues" dxfId="243" priority="56"/>
    <cfRule type="duplicateValues" dxfId="242" priority="55"/>
    <cfRule type="duplicateValues" dxfId="241" priority="54"/>
    <cfRule type="duplicateValues" dxfId="240" priority="53"/>
    <cfRule type="duplicateValues" dxfId="239" priority="52"/>
    <cfRule type="duplicateValues" dxfId="238" priority="51"/>
    <cfRule type="duplicateValues" dxfId="237" priority="50"/>
    <cfRule type="duplicateValues" dxfId="236" priority="49"/>
    <cfRule type="duplicateValues" dxfId="235" priority="48"/>
    <cfRule type="duplicateValues" dxfId="234" priority="47"/>
    <cfRule type="duplicateValues" dxfId="233" priority="46"/>
    <cfRule type="duplicateValues" dxfId="232" priority="45"/>
    <cfRule type="duplicateValues" dxfId="231" priority="44"/>
    <cfRule type="duplicateValues" dxfId="230" priority="43"/>
    <cfRule type="duplicateValues" dxfId="229" priority="42"/>
    <cfRule type="duplicateValues" dxfId="228" priority="41"/>
    <cfRule type="duplicateValues" dxfId="227" priority="40"/>
    <cfRule type="duplicateValues" dxfId="226" priority="39"/>
    <cfRule type="duplicateValues" dxfId="225" priority="38"/>
    <cfRule type="duplicateValues" dxfId="224" priority="37"/>
    <cfRule type="duplicateValues" dxfId="223" priority="36"/>
    <cfRule type="duplicateValues" dxfId="222" priority="35"/>
    <cfRule type="duplicateValues" dxfId="221" priority="34"/>
    <cfRule type="duplicateValues" dxfId="220" priority="33"/>
    <cfRule type="duplicateValues" dxfId="219" priority="32"/>
    <cfRule type="duplicateValues" dxfId="218" priority="31"/>
    <cfRule type="duplicateValues" dxfId="217" priority="30"/>
    <cfRule type="duplicateValues" dxfId="216" priority="29"/>
    <cfRule type="duplicateValues" dxfId="215" priority="28"/>
    <cfRule type="duplicateValues" dxfId="214" priority="27"/>
    <cfRule type="duplicateValues" dxfId="213" priority="26"/>
    <cfRule type="duplicateValues" dxfId="212" priority="25"/>
  </conditionalFormatting>
  <conditionalFormatting sqref="B107:B157">
    <cfRule type="duplicateValues" dxfId="211" priority="6692"/>
  </conditionalFormatting>
  <conditionalFormatting sqref="B158:B1048576">
    <cfRule type="duplicateValues" dxfId="210" priority="9829"/>
  </conditionalFormatting>
  <conditionalFormatting sqref="B107:C157">
    <cfRule type="duplicateValues" dxfId="209" priority="6693"/>
  </conditionalFormatting>
  <conditionalFormatting sqref="C1:K1">
    <cfRule type="duplicateValues" dxfId="208" priority="2314"/>
    <cfRule type="duplicateValues" dxfId="207" priority="2313"/>
    <cfRule type="duplicateValues" dxfId="206" priority="2315"/>
    <cfRule type="duplicateValues" dxfId="205" priority="2318"/>
    <cfRule type="duplicateValues" dxfId="204" priority="2317"/>
    <cfRule type="duplicateValues" dxfId="203" priority="2316"/>
  </conditionalFormatting>
  <conditionalFormatting sqref="N1">
    <cfRule type="duplicateValues" dxfId="202" priority="2281"/>
    <cfRule type="duplicateValues" dxfId="201" priority="2282"/>
    <cfRule type="duplicateValues" dxfId="200" priority="2283"/>
    <cfRule type="duplicateValues" dxfId="199" priority="2284"/>
    <cfRule type="duplicateValues" dxfId="198" priority="2285"/>
    <cfRule type="duplicateValues" dxfId="197" priority="2286"/>
    <cfRule type="duplicateValues" dxfId="196" priority="2287"/>
    <cfRule type="duplicateValues" dxfId="195" priority="2288"/>
    <cfRule type="duplicateValues" dxfId="194" priority="2289"/>
    <cfRule type="duplicateValues" dxfId="193" priority="2290"/>
    <cfRule type="duplicateValues" dxfId="192" priority="2291"/>
    <cfRule type="duplicateValues" dxfId="191" priority="2292"/>
    <cfRule type="duplicateValues" dxfId="190" priority="2293"/>
    <cfRule type="duplicateValues" dxfId="189" priority="2294"/>
    <cfRule type="duplicateValues" dxfId="188" priority="2295"/>
    <cfRule type="duplicateValues" dxfId="187" priority="2296"/>
    <cfRule type="duplicateValues" dxfId="186" priority="2297"/>
    <cfRule type="duplicateValues" dxfId="185" priority="2298"/>
    <cfRule type="duplicateValues" dxfId="184" priority="2299"/>
    <cfRule type="duplicateValues" dxfId="183" priority="2300"/>
    <cfRule type="duplicateValues" dxfId="182" priority="2301"/>
    <cfRule type="duplicateValues" dxfId="181" priority="2302"/>
    <cfRule type="duplicateValues" dxfId="180" priority="2303"/>
    <cfRule type="duplicateValues" dxfId="179" priority="2304"/>
    <cfRule type="duplicateValues" dxfId="178" priority="2305"/>
    <cfRule type="duplicateValues" dxfId="177" priority="2306"/>
    <cfRule type="duplicateValues" dxfId="176" priority="2307"/>
    <cfRule type="duplicateValues" dxfId="175" priority="2308"/>
    <cfRule type="duplicateValues" dxfId="174" priority="2309"/>
    <cfRule type="duplicateValues" dxfId="173" priority="2310"/>
    <cfRule type="duplicateValues" dxfId="172" priority="2311"/>
    <cfRule type="duplicateValues" dxfId="171" priority="2312"/>
    <cfRule type="duplicateValues" dxfId="170" priority="2269"/>
    <cfRule type="duplicateValues" dxfId="169" priority="2270"/>
    <cfRule type="duplicateValues" dxfId="168" priority="2271"/>
    <cfRule type="duplicateValues" dxfId="167" priority="2272"/>
    <cfRule type="duplicateValues" dxfId="166" priority="2273"/>
    <cfRule type="duplicateValues" dxfId="165" priority="2274"/>
    <cfRule type="duplicateValues" dxfId="164" priority="2275"/>
    <cfRule type="duplicateValues" dxfId="163" priority="2276"/>
    <cfRule type="duplicateValues" dxfId="162" priority="2277"/>
    <cfRule type="duplicateValues" dxfId="161" priority="2278"/>
    <cfRule type="duplicateValues" dxfId="160" priority="2279"/>
    <cfRule type="duplicateValues" dxfId="159" priority="2280"/>
  </conditionalFormatting>
  <conditionalFormatting sqref="N3">
    <cfRule type="duplicateValues" dxfId="158" priority="2159"/>
    <cfRule type="duplicateValues" dxfId="157" priority="2161"/>
    <cfRule type="duplicateValues" dxfId="156" priority="2160"/>
  </conditionalFormatting>
  <conditionalFormatting sqref="N3:N19 N22:N25 N40:N58 N70:N79 N87:N106">
    <cfRule type="duplicateValues" dxfId="155" priority="2133"/>
    <cfRule type="duplicateValues" dxfId="154" priority="2119"/>
    <cfRule type="duplicateValues" dxfId="153" priority="2131"/>
    <cfRule type="duplicateValues" dxfId="152" priority="2132"/>
    <cfRule type="duplicateValues" dxfId="151" priority="2134"/>
    <cfRule type="duplicateValues" dxfId="150" priority="2135"/>
    <cfRule type="duplicateValues" dxfId="149" priority="2139"/>
    <cfRule type="duplicateValues" dxfId="148" priority="2114"/>
    <cfRule type="duplicateValues" dxfId="147" priority="2116"/>
    <cfRule type="duplicateValues" dxfId="146" priority="2140"/>
    <cfRule type="duplicateValues" dxfId="145" priority="2141"/>
    <cfRule type="duplicateValues" dxfId="144" priority="2142"/>
    <cfRule type="duplicateValues" dxfId="143" priority="2143"/>
    <cfRule type="duplicateValues" dxfId="142" priority="2145"/>
    <cfRule type="duplicateValues" dxfId="141" priority="2115"/>
    <cfRule type="duplicateValues" dxfId="140" priority="2144"/>
    <cfRule type="duplicateValues" dxfId="139" priority="2138"/>
    <cfRule type="duplicateValues" dxfId="138" priority="2118"/>
    <cfRule type="duplicateValues" dxfId="137" priority="2117"/>
  </conditionalFormatting>
  <conditionalFormatting sqref="N10">
    <cfRule type="duplicateValues" dxfId="136" priority="1947"/>
    <cfRule type="duplicateValues" dxfId="135" priority="1948"/>
    <cfRule type="duplicateValues" dxfId="134" priority="1949"/>
  </conditionalFormatting>
  <conditionalFormatting sqref="N11">
    <cfRule type="duplicateValues" dxfId="133" priority="1944"/>
    <cfRule type="duplicateValues" dxfId="132" priority="1945"/>
    <cfRule type="duplicateValues" dxfId="131" priority="1946"/>
  </conditionalFormatting>
  <conditionalFormatting sqref="N12:N17">
    <cfRule type="duplicateValues" dxfId="130" priority="1858"/>
    <cfRule type="duplicateValues" dxfId="129" priority="1860"/>
    <cfRule type="duplicateValues" dxfId="128" priority="1859"/>
  </conditionalFormatting>
  <conditionalFormatting sqref="N18">
    <cfRule type="duplicateValues" dxfId="127" priority="1842"/>
    <cfRule type="duplicateValues" dxfId="126" priority="1843"/>
    <cfRule type="duplicateValues" dxfId="125" priority="1844"/>
    <cfRule type="duplicateValues" dxfId="124" priority="1855"/>
    <cfRule type="duplicateValues" dxfId="123" priority="1857"/>
    <cfRule type="duplicateValues" dxfId="122" priority="1850"/>
    <cfRule type="duplicateValues" dxfId="121" priority="1854"/>
    <cfRule type="duplicateValues" dxfId="120" priority="1853"/>
    <cfRule type="duplicateValues" dxfId="119" priority="1852"/>
    <cfRule type="duplicateValues" dxfId="118" priority="1851"/>
    <cfRule type="duplicateValues" dxfId="117" priority="1849"/>
    <cfRule type="duplicateValues" dxfId="116" priority="1848"/>
    <cfRule type="duplicateValues" dxfId="115" priority="1847"/>
    <cfRule type="duplicateValues" dxfId="114" priority="1846"/>
    <cfRule type="duplicateValues" dxfId="113" priority="1845"/>
    <cfRule type="duplicateValues" dxfId="112" priority="1856"/>
    <cfRule type="duplicateValues" dxfId="111" priority="1840"/>
    <cfRule type="duplicateValues" dxfId="110" priority="1841"/>
  </conditionalFormatting>
  <conditionalFormatting sqref="N19 N3:N17 N22:N25 N40:N58 N70:N79 N87:N106">
    <cfRule type="duplicateValues" dxfId="109" priority="2120"/>
  </conditionalFormatting>
  <conditionalFormatting sqref="N19">
    <cfRule type="duplicateValues" dxfId="108" priority="1759"/>
    <cfRule type="duplicateValues" dxfId="107" priority="1758"/>
    <cfRule type="duplicateValues" dxfId="106" priority="1757"/>
  </conditionalFormatting>
  <conditionalFormatting sqref="N22:N23">
    <cfRule type="duplicateValues" dxfId="105" priority="1632"/>
    <cfRule type="duplicateValues" dxfId="104" priority="1631"/>
    <cfRule type="duplicateValues" dxfId="103" priority="1630"/>
  </conditionalFormatting>
  <conditionalFormatting sqref="N24:N25">
    <cfRule type="duplicateValues" dxfId="102" priority="1454"/>
    <cfRule type="duplicateValues" dxfId="101" priority="1451"/>
    <cfRule type="duplicateValues" dxfId="100" priority="1455"/>
    <cfRule type="duplicateValues" dxfId="99" priority="1456"/>
    <cfRule type="duplicateValues" dxfId="98" priority="1448"/>
    <cfRule type="duplicateValues" dxfId="97" priority="1457"/>
    <cfRule type="duplicateValues" dxfId="96" priority="1458"/>
    <cfRule type="duplicateValues" dxfId="95" priority="1459"/>
    <cfRule type="duplicateValues" dxfId="94" priority="1460"/>
    <cfRule type="duplicateValues" dxfId="93" priority="1461"/>
    <cfRule type="duplicateValues" dxfId="92" priority="1462"/>
    <cfRule type="duplicateValues" dxfId="91" priority="1463"/>
    <cfRule type="duplicateValues" dxfId="90" priority="1464"/>
    <cfRule type="duplicateValues" dxfId="89" priority="1450"/>
    <cfRule type="duplicateValues" dxfId="88" priority="1452"/>
    <cfRule type="duplicateValues" dxfId="87" priority="1453"/>
    <cfRule type="duplicateValues" dxfId="86" priority="1449"/>
  </conditionalFormatting>
  <conditionalFormatting sqref="N40:N56">
    <cfRule type="duplicateValues" dxfId="85" priority="1195"/>
    <cfRule type="duplicateValues" dxfId="84" priority="1194"/>
    <cfRule type="duplicateValues" dxfId="83" priority="1196"/>
  </conditionalFormatting>
  <conditionalFormatting sqref="N40:N58 N19 N3:N17 N22:N23 N70:N79 N87:N106">
    <cfRule type="duplicateValues" dxfId="82" priority="2126"/>
    <cfRule type="duplicateValues" dxfId="81" priority="2121"/>
    <cfRule type="duplicateValues" dxfId="80" priority="2122"/>
    <cfRule type="duplicateValues" dxfId="79" priority="2125"/>
  </conditionalFormatting>
  <conditionalFormatting sqref="N40:N58 N19 N3:N17 N70:N79 N87:N106">
    <cfRule type="duplicateValues" dxfId="78" priority="2123"/>
    <cfRule type="duplicateValues" dxfId="77" priority="2124"/>
    <cfRule type="duplicateValues" dxfId="76" priority="2127"/>
    <cfRule type="duplicateValues" dxfId="75" priority="2128"/>
    <cfRule type="duplicateValues" dxfId="74" priority="2129"/>
    <cfRule type="duplicateValues" dxfId="73" priority="2130"/>
    <cfRule type="duplicateValues" dxfId="72" priority="2136"/>
    <cfRule type="duplicateValues" dxfId="71" priority="2137"/>
  </conditionalFormatting>
  <conditionalFormatting sqref="N57">
    <cfRule type="duplicateValues" dxfId="70" priority="1193"/>
    <cfRule type="duplicateValues" dxfId="69" priority="1191"/>
    <cfRule type="duplicateValues" dxfId="68" priority="1192"/>
  </conditionalFormatting>
  <conditionalFormatting sqref="N58">
    <cfRule type="duplicateValues" dxfId="67" priority="1357"/>
  </conditionalFormatting>
  <conditionalFormatting sqref="N70:N79">
    <cfRule type="duplicateValues" dxfId="66" priority="539"/>
    <cfRule type="duplicateValues" dxfId="65" priority="541"/>
    <cfRule type="duplicateValues" dxfId="64" priority="540"/>
  </conditionalFormatting>
  <conditionalFormatting sqref="N87:N88">
    <cfRule type="duplicateValues" dxfId="63" priority="293"/>
    <cfRule type="duplicateValues" dxfId="62" priority="292"/>
    <cfRule type="duplicateValues" dxfId="61" priority="291"/>
  </conditionalFormatting>
  <conditionalFormatting sqref="N89:N98 N58 N3:N9">
    <cfRule type="duplicateValues" dxfId="60" priority="2156"/>
    <cfRule type="duplicateValues" dxfId="59" priority="2157"/>
    <cfRule type="duplicateValues" dxfId="58" priority="2158"/>
  </conditionalFormatting>
  <conditionalFormatting sqref="N89:N98 N58 N11 N3:N9">
    <cfRule type="duplicateValues" dxfId="57" priority="2152"/>
    <cfRule type="duplicateValues" dxfId="56" priority="2154"/>
    <cfRule type="duplicateValues" dxfId="55" priority="2155"/>
    <cfRule type="duplicateValues" dxfId="54" priority="2150"/>
    <cfRule type="duplicateValues" dxfId="53" priority="2153"/>
  </conditionalFormatting>
  <conditionalFormatting sqref="N89:N98 N58 N19 N11 N3:N9">
    <cfRule type="duplicateValues" dxfId="52" priority="2151"/>
    <cfRule type="duplicateValues" dxfId="51" priority="2148"/>
    <cfRule type="duplicateValues" dxfId="50" priority="2146"/>
    <cfRule type="duplicateValues" dxfId="49" priority="2147"/>
    <cfRule type="duplicateValues" dxfId="48" priority="2149"/>
  </conditionalFormatting>
  <conditionalFormatting sqref="N89:N106 N58 N70:N79">
    <cfRule type="duplicateValues" dxfId="47" priority="1029"/>
  </conditionalFormatting>
  <conditionalFormatting sqref="N99">
    <cfRule type="duplicateValues" dxfId="46" priority="127"/>
    <cfRule type="duplicateValues" dxfId="45" priority="126"/>
    <cfRule type="duplicateValues" dxfId="44" priority="128"/>
  </conditionalFormatting>
  <conditionalFormatting sqref="N100:N106">
    <cfRule type="duplicateValues" dxfId="43" priority="123"/>
    <cfRule type="duplicateValues" dxfId="42" priority="124"/>
    <cfRule type="duplicateValues" dxfId="41" priority="125"/>
  </conditionalFormatting>
  <conditionalFormatting sqref="P7">
    <cfRule type="containsText" dxfId="40" priority="2026" operator="containsText" text="PENDIENTES">
      <formula>NOT(ISERROR(SEARCH("PENDIENTES",P7)))</formula>
    </cfRule>
    <cfRule type="containsText" dxfId="39" priority="2025" operator="containsText" text="TODO OK">
      <formula>NOT(ISERROR(SEARCH("TODO OK",P7)))</formula>
    </cfRule>
    <cfRule type="containsText" dxfId="38" priority="2027" operator="containsText" text="VERIFICADO">
      <formula>NOT(ISERROR(SEARCH("VERIFICADO",P7)))</formula>
    </cfRule>
  </conditionalFormatting>
  <conditionalFormatting sqref="P11">
    <cfRule type="containsText" dxfId="37" priority="1943" operator="containsText" text="VERIFICADO">
      <formula>NOT(ISERROR(SEARCH("VERIFICADO",P11)))</formula>
    </cfRule>
    <cfRule type="containsText" dxfId="36" priority="1942" operator="containsText" text="PENDIENTES">
      <formula>NOT(ISERROR(SEARCH("PENDIENTES",P11)))</formula>
    </cfRule>
    <cfRule type="containsText" dxfId="35" priority="1941" operator="containsText" text="TODO OK">
      <formula>NOT(ISERROR(SEARCH("TODO OK",P11)))</formula>
    </cfRule>
  </conditionalFormatting>
  <conditionalFormatting sqref="P89:P98">
    <cfRule type="containsText" dxfId="34" priority="665" operator="containsText" text="VERIFICADO">
      <formula>NOT(ISERROR(SEARCH("VERIFICADO",P89)))</formula>
    </cfRule>
    <cfRule type="containsText" dxfId="33" priority="664" operator="containsText" text="PENDIENTES">
      <formula>NOT(ISERROR(SEARCH("PENDIENTES",P89)))</formula>
    </cfRule>
    <cfRule type="containsText" dxfId="32" priority="663" operator="containsText" text="TODO OK">
      <formula>NOT(ISERROR(SEARCH("TODO OK",P89)))</formula>
    </cfRule>
  </conditionalFormatting>
  <conditionalFormatting sqref="Q1">
    <cfRule type="containsText" dxfId="31" priority="2261" operator="containsText" text="VERIFICADO">
      <formula>NOT(ISERROR(SEARCH("VERIFICADO",Q1)))</formula>
    </cfRule>
    <cfRule type="containsText" dxfId="30" priority="2262" operator="containsText" text="PENDIENTE">
      <formula>NOT(ISERROR(SEARCH("PENDIENTE",Q1)))</formula>
    </cfRule>
    <cfRule type="containsText" dxfId="29" priority="2263" operator="containsText" text="SEND">
      <formula>NOT(ISERROR(SEARCH("SEND",Q1)))</formula>
    </cfRule>
    <cfRule type="containsText" dxfId="28" priority="2264" operator="containsText" text="ENVIADO">
      <formula>NOT(ISERROR(SEARCH("ENVIADO",Q1)))</formula>
    </cfRule>
    <cfRule type="containsText" dxfId="27" priority="2265" operator="containsText" text="POR ENVIAR">
      <formula>NOT(ISERROR(SEARCH("POR ENVIAR",Q1)))</formula>
    </cfRule>
    <cfRule type="containsText" dxfId="26" priority="2266" operator="containsText" text="EMAIL">
      <formula>NOT(ISERROR(SEARCH("EMAIL",Q1)))</formula>
    </cfRule>
    <cfRule type="containsText" dxfId="25" priority="2267" operator="containsText" text="SIN">
      <formula>NOT(ISERROR(SEARCH("SIN",Q1)))</formula>
    </cfRule>
    <cfRule type="containsText" dxfId="24" priority="2268" operator="containsText" text="ENVIADO">
      <formula>NOT(ISERROR(SEARCH("ENVIADO",Q1)))</formula>
    </cfRule>
    <cfRule type="containsText" dxfId="23" priority="2260" operator="containsText" text="VERIFICADO">
      <formula>NOT(ISERROR(SEARCH("VERIFICADO",Q1)))</formula>
    </cfRule>
  </conditionalFormatting>
  <conditionalFormatting sqref="Q87:Q106 Q2:Q79">
    <cfRule type="containsText" dxfId="22" priority="2107" operator="containsText" text="ENVIADO">
      <formula>NOT(ISERROR(SEARCH("ENVIADO",Q2)))</formula>
    </cfRule>
    <cfRule type="containsText" dxfId="21" priority="2108" operator="containsText" text="ENVIADO">
      <formula>NOT(ISERROR(SEARCH("ENVIADO",Q2)))</formula>
    </cfRule>
    <cfRule type="containsText" dxfId="20" priority="2109" operator="containsText" text="VERIFICADO">
      <formula>NOT(ISERROR(SEARCH("VERIFICADO",Q2)))</formula>
    </cfRule>
    <cfRule type="containsText" dxfId="19" priority="2110" operator="containsText" text="PENDIENTE">
      <formula>NOT(ISERROR(SEARCH("PENDIENTE",Q2)))</formula>
    </cfRule>
    <cfRule type="containsText" dxfId="18" priority="2111" operator="containsText" text="SEND">
      <formula>NOT(ISERROR(SEARCH("SEND",Q2)))</formula>
    </cfRule>
    <cfRule type="containsText" dxfId="17" priority="2112" operator="containsText" text="ENVIADO">
      <formula>NOT(ISERROR(SEARCH("ENVIADO",Q2)))</formula>
    </cfRule>
    <cfRule type="containsText" dxfId="16" priority="2113" operator="containsText" text="POR ENVIAR">
      <formula>NOT(ISERROR(SEARCH("POR ENVIAR",Q2)))</formula>
    </cfRule>
  </conditionalFormatting>
  <conditionalFormatting sqref="R1:R79 R87:R106">
    <cfRule type="containsText" dxfId="15" priority="2106" operator="containsText" text="VIGENTE">
      <formula>NOT(ISERROR(SEARCH("VIGENTE",R1)))</formula>
    </cfRule>
    <cfRule type="containsText" dxfId="14" priority="2104" operator="containsText" text="N/A">
      <formula>NOT(ISERROR(SEARCH("N/A",R1)))</formula>
    </cfRule>
    <cfRule type="containsText" dxfId="13" priority="2105" operator="containsText" text="VENCIDO">
      <formula>NOT(ISERROR(SEARCH("VENCIDO",R1)))</formula>
    </cfRule>
  </conditionalFormatting>
  <conditionalFormatting sqref="S1">
    <cfRule type="containsText" dxfId="12" priority="2102" operator="containsText" text="FIRMADO">
      <formula>NOT(ISERROR(SEARCH("FIRMADO",S1)))</formula>
    </cfRule>
    <cfRule type="containsText" dxfId="11" priority="2103" operator="containsText" text="PENDIENTE">
      <formula>NOT(ISERROR(SEARCH("PENDIENTE",S1)))</formula>
    </cfRule>
  </conditionalFormatting>
  <dataValidations count="1">
    <dataValidation type="list" allowBlank="1" showInputMessage="1" showErrorMessage="1" sqref="R3:R19 R22:R25 R40:R58 R70:R79 R87:R99" xr:uid="{EB0EC011-A2A5-4888-AA39-1C089DD18441}">
      <formula1>"N/A, VIGENTE, VENCIDO"</formula1>
    </dataValidation>
  </dataValidations>
  <hyperlinks>
    <hyperlink ref="J20" r:id="rId1" xr:uid="{86E898CD-8950-4BFD-94EA-D067D0FF88B6}"/>
    <hyperlink ref="J19" r:id="rId2" xr:uid="{C834E97E-924C-4261-9770-751B998F079C}"/>
    <hyperlink ref="J21" r:id="rId3" xr:uid="{8CB37944-F1AC-4444-B449-F8A254519B24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3647-C9F4-4469-97CD-ACE9A18994C8}">
  <sheetPr codeName="Hoja2">
    <tabColor theme="9" tint="-0.249977111117893"/>
  </sheetPr>
  <dimension ref="A1:DC64"/>
  <sheetViews>
    <sheetView showGridLines="0" zoomScale="40" zoomScaleNormal="40" workbookViewId="0">
      <pane ySplit="18" topLeftCell="A19" activePane="bottomLeft" state="frozen"/>
      <selection pane="bottomLeft" activeCell="P49" sqref="P49"/>
    </sheetView>
  </sheetViews>
  <sheetFormatPr baseColWidth="10" defaultRowHeight="15" x14ac:dyDescent="0.25"/>
  <cols>
    <col min="1" max="1" width="16" style="11" customWidth="1"/>
    <col min="2" max="2" width="53.42578125" style="11" customWidth="1"/>
    <col min="3" max="3" width="94.28515625" style="11" customWidth="1"/>
    <col min="4" max="4" width="23.42578125" style="11" customWidth="1"/>
    <col min="5" max="5" width="57.7109375" style="11" customWidth="1"/>
    <col min="6" max="6" width="23.42578125" style="11" customWidth="1"/>
    <col min="7" max="7" width="38.28515625" style="11" customWidth="1"/>
    <col min="8" max="8" width="23.42578125" style="11" customWidth="1"/>
    <col min="9" max="9" width="33.85546875" style="11" customWidth="1"/>
    <col min="10" max="10" width="25.7109375" style="11" customWidth="1"/>
    <col min="11" max="11" width="37.85546875" style="11" customWidth="1"/>
    <col min="12" max="12" width="25.7109375" style="11" hidden="1" customWidth="1"/>
    <col min="13" max="13" width="34.28515625" style="11" hidden="1" customWidth="1"/>
    <col min="14" max="14" width="25.7109375" style="11" hidden="1" customWidth="1"/>
    <col min="15" max="15" width="33.28515625" style="11" hidden="1" customWidth="1"/>
    <col min="16" max="17" width="25.7109375" style="11" customWidth="1"/>
    <col min="18" max="18" width="35.42578125" style="11" customWidth="1"/>
    <col min="19" max="19" width="36" style="11" customWidth="1"/>
    <col min="20" max="21" width="41.85546875" style="11" customWidth="1"/>
    <col min="22" max="22" width="38.85546875" style="11" customWidth="1"/>
    <col min="23" max="23" width="35.7109375" style="11" customWidth="1"/>
    <col min="24" max="24" width="32.7109375" style="7" customWidth="1"/>
    <col min="25" max="25" width="19.42578125" style="7" bestFit="1" customWidth="1"/>
    <col min="26" max="26" width="30.85546875" style="7" bestFit="1" customWidth="1"/>
    <col min="27" max="27" width="15.5703125" style="7" bestFit="1" customWidth="1"/>
    <col min="28" max="28" width="24.85546875" style="7" bestFit="1" customWidth="1"/>
    <col min="29" max="107" width="11.42578125" style="7"/>
    <col min="108" max="16384" width="11.42578125" style="10"/>
  </cols>
  <sheetData>
    <row r="1" spans="1:28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42"/>
      <c r="W1" s="42"/>
    </row>
    <row r="2" spans="1:2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2"/>
      <c r="W2" s="42"/>
    </row>
    <row r="3" spans="1:2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2" t="s">
        <v>37</v>
      </c>
      <c r="W3" s="42" t="s">
        <v>39</v>
      </c>
    </row>
    <row r="4" spans="1:2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42" t="s">
        <v>38</v>
      </c>
      <c r="W4" s="42" t="s">
        <v>40</v>
      </c>
    </row>
    <row r="5" spans="1:2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42"/>
      <c r="W5" s="42"/>
    </row>
    <row r="6" spans="1:2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42"/>
      <c r="W6" s="42"/>
    </row>
    <row r="7" spans="1:2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42"/>
      <c r="W7" s="42"/>
    </row>
    <row r="8" spans="1:2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8" ht="16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8" ht="57" customHeight="1" x14ac:dyDescent="0.35">
      <c r="A16" s="6"/>
      <c r="B16" s="6"/>
      <c r="C16" s="28" t="s">
        <v>18</v>
      </c>
      <c r="D16" s="145" t="s">
        <v>114</v>
      </c>
      <c r="E16" s="145"/>
      <c r="F16" s="14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1"/>
      <c r="AA16" s="6"/>
      <c r="AB16" s="72"/>
    </row>
    <row r="17" spans="1:107" ht="30" customHeight="1" thickBo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AA17" s="6"/>
      <c r="AB17" s="72"/>
    </row>
    <row r="18" spans="1:107" ht="64.5" customHeight="1" thickBot="1" x14ac:dyDescent="0.4">
      <c r="A18" s="6"/>
      <c r="B18" s="122" t="s">
        <v>33</v>
      </c>
      <c r="C18" s="123" t="s">
        <v>27</v>
      </c>
      <c r="D18" s="146" t="s">
        <v>19</v>
      </c>
      <c r="E18" s="146"/>
      <c r="F18" s="147" t="s">
        <v>20</v>
      </c>
      <c r="G18" s="147"/>
      <c r="H18" s="148" t="s">
        <v>42</v>
      </c>
      <c r="I18" s="148"/>
      <c r="J18" s="149" t="s">
        <v>43</v>
      </c>
      <c r="K18" s="149"/>
      <c r="L18" s="150" t="s">
        <v>100</v>
      </c>
      <c r="M18" s="150"/>
      <c r="N18" s="151" t="s">
        <v>101</v>
      </c>
      <c r="O18" s="151"/>
      <c r="P18" s="152" t="s">
        <v>102</v>
      </c>
      <c r="Q18" s="153"/>
      <c r="R18" s="39" t="s">
        <v>15</v>
      </c>
      <c r="S18" s="40" t="s">
        <v>21</v>
      </c>
      <c r="T18" s="41" t="s">
        <v>22</v>
      </c>
      <c r="U18" s="82" t="s">
        <v>39</v>
      </c>
      <c r="V18" s="82" t="s">
        <v>40</v>
      </c>
      <c r="W18" s="73" t="s">
        <v>7</v>
      </c>
      <c r="X18" s="81" t="s">
        <v>23</v>
      </c>
      <c r="Y18" s="142" t="s">
        <v>73</v>
      </c>
      <c r="Z18" s="143"/>
      <c r="AA18" s="144"/>
      <c r="AB18" s="74" t="s">
        <v>12</v>
      </c>
      <c r="AC18" s="72"/>
    </row>
    <row r="19" spans="1:107" s="9" customFormat="1" ht="64.5" customHeight="1" x14ac:dyDescent="0.2">
      <c r="A19" s="26" t="s">
        <v>24</v>
      </c>
      <c r="B19" s="124" t="s">
        <v>33</v>
      </c>
      <c r="C19" s="125" t="s">
        <v>27</v>
      </c>
      <c r="D19" s="43" t="s">
        <v>29</v>
      </c>
      <c r="E19" s="44" t="s">
        <v>9</v>
      </c>
      <c r="F19" s="45" t="s">
        <v>34</v>
      </c>
      <c r="G19" s="46" t="s">
        <v>31</v>
      </c>
      <c r="H19" s="47" t="s">
        <v>41</v>
      </c>
      <c r="I19" s="48" t="s">
        <v>30</v>
      </c>
      <c r="J19" s="49" t="s">
        <v>35</v>
      </c>
      <c r="K19" s="50" t="s">
        <v>32</v>
      </c>
      <c r="L19" s="126" t="s">
        <v>103</v>
      </c>
      <c r="M19" s="127" t="s">
        <v>99</v>
      </c>
      <c r="N19" s="128" t="s">
        <v>104</v>
      </c>
      <c r="O19" s="129" t="s">
        <v>105</v>
      </c>
      <c r="P19" s="130" t="s">
        <v>106</v>
      </c>
      <c r="Q19" s="131" t="s">
        <v>107</v>
      </c>
      <c r="R19" s="20" t="s">
        <v>15</v>
      </c>
      <c r="S19" s="21" t="s">
        <v>21</v>
      </c>
      <c r="T19" s="22" t="s">
        <v>22</v>
      </c>
      <c r="U19" s="22" t="s">
        <v>75</v>
      </c>
      <c r="V19" s="22" t="s">
        <v>76</v>
      </c>
      <c r="W19" s="75" t="s">
        <v>7</v>
      </c>
      <c r="X19" s="76" t="s">
        <v>23</v>
      </c>
      <c r="Y19" s="77" t="s">
        <v>74</v>
      </c>
      <c r="Z19" s="77" t="s">
        <v>39</v>
      </c>
      <c r="AA19" s="77" t="s">
        <v>40</v>
      </c>
      <c r="AB19" s="78" t="s">
        <v>77</v>
      </c>
      <c r="AC19" s="79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</row>
    <row r="20" spans="1:107" ht="31.5" x14ac:dyDescent="0.5">
      <c r="A20" s="69">
        <v>1</v>
      </c>
      <c r="B20" s="116">
        <v>1116435707</v>
      </c>
      <c r="C20" s="118" t="s">
        <v>116</v>
      </c>
      <c r="D20" s="117">
        <v>3</v>
      </c>
      <c r="E20" s="52">
        <f>(Tabla3[[#This Row],[CANT]]*5000000)</f>
        <v>15000000</v>
      </c>
      <c r="F20" s="117"/>
      <c r="G20" s="52"/>
      <c r="H20" s="117">
        <v>1</v>
      </c>
      <c r="I20" s="52">
        <f>(Tabla3[[#This Row],[CANT3]]*7500000)</f>
        <v>7500000</v>
      </c>
      <c r="J20" s="68"/>
      <c r="K20" s="52"/>
      <c r="L20" s="68"/>
      <c r="M20" s="52"/>
      <c r="N20" s="68"/>
      <c r="O20" s="52"/>
      <c r="P20" s="68"/>
      <c r="Q20" s="52"/>
      <c r="R20" s="53">
        <f>(Tabla3[[#This Row],[MONTO]]+Tabla3[[#This Row],[MONTO2]]+Tabla3[[#This Row],[MONTO3]]+Tabla3[[#This Row],[MONTO4]]+Tabla3[[#This Row],[MONTO5]]+Tabla3[[#This Row],[MONTO6]]+Tabla3[[#This Row],[MONTO7]])</f>
        <v>22500000</v>
      </c>
      <c r="S20" s="54">
        <f t="shared" ref="S20:S28" si="0">R20-(R20*10%)</f>
        <v>20250000</v>
      </c>
      <c r="T20" s="55">
        <f t="shared" ref="T20:T28" si="1">(S20*1%)</f>
        <v>202500</v>
      </c>
      <c r="U20" s="55">
        <f>(Tabla3[[#This Row],[TOTAL -10%]]*Tabla3[[#This Row],[FIDUCIA]])</f>
        <v>0</v>
      </c>
      <c r="V20" s="55">
        <f>(Tabla3[[#This Row],[TOTAL -10%]]*Tabla3[[#This Row],[NUBE]])</f>
        <v>0</v>
      </c>
      <c r="W20" s="85" t="s">
        <v>37</v>
      </c>
      <c r="X20" s="83"/>
      <c r="Y20" s="84">
        <v>0.01</v>
      </c>
      <c r="Z20" s="84"/>
      <c r="AA20" s="84"/>
      <c r="AB20" s="86">
        <f t="shared" ref="AB20:AB29" si="2">SUM(Y20:AA20)</f>
        <v>0.01</v>
      </c>
      <c r="AC20" s="80" t="str">
        <f t="shared" ref="AC20:AC43" si="3">IF(AB20="","",IF(AB20=100%,"OK","ERROR"))</f>
        <v>ERROR</v>
      </c>
    </row>
    <row r="21" spans="1:107" ht="31.5" x14ac:dyDescent="0.5">
      <c r="A21" s="69">
        <f t="shared" ref="A21:A43" si="4">(A20+1)</f>
        <v>2</v>
      </c>
      <c r="B21" s="116">
        <v>1116433985</v>
      </c>
      <c r="C21" s="118" t="s">
        <v>123</v>
      </c>
      <c r="D21" s="117">
        <v>16</v>
      </c>
      <c r="E21" s="52">
        <f>(Tabla3[[#This Row],[CANT]]*5000000)</f>
        <v>80000000</v>
      </c>
      <c r="F21" s="117">
        <v>5</v>
      </c>
      <c r="G21" s="52">
        <f>(Tabla3[[#This Row],[CANT2]]*10000000)</f>
        <v>50000000</v>
      </c>
      <c r="H21" s="117">
        <v>4</v>
      </c>
      <c r="I21" s="52">
        <f>(Tabla3[[#This Row],[CANT3]]*7500000)</f>
        <v>30000000</v>
      </c>
      <c r="J21" s="68"/>
      <c r="K21" s="52"/>
      <c r="L21" s="68"/>
      <c r="M21" s="52"/>
      <c r="N21" s="68"/>
      <c r="O21" s="52"/>
      <c r="P21" s="68"/>
      <c r="Q21" s="52"/>
      <c r="R21" s="53">
        <f>(Tabla3[[#This Row],[MONTO]]+Tabla3[[#This Row],[MONTO2]]+Tabla3[[#This Row],[MONTO3]]+Tabla3[[#This Row],[MONTO4]]+Tabla3[[#This Row],[MONTO5]]+Tabla3[[#This Row],[MONTO6]]+Tabla3[[#This Row],[MONTO7]])</f>
        <v>160000000</v>
      </c>
      <c r="S21" s="54">
        <f t="shared" si="0"/>
        <v>144000000</v>
      </c>
      <c r="T21" s="55">
        <f t="shared" si="1"/>
        <v>1440000</v>
      </c>
      <c r="U21" s="55">
        <f>(Tabla3[[#This Row],[TOTAL -10%]]*Tabla3[[#This Row],[FIDUCIA]])</f>
        <v>0</v>
      </c>
      <c r="V21" s="55">
        <f>(Tabla3[[#This Row],[TOTAL -10%]]*Tabla3[[#This Row],[NUBE]])</f>
        <v>0</v>
      </c>
      <c r="W21" s="85" t="s">
        <v>37</v>
      </c>
      <c r="X21" s="83"/>
      <c r="Y21" s="84">
        <v>0.01</v>
      </c>
      <c r="Z21" s="84"/>
      <c r="AA21" s="84"/>
      <c r="AB21" s="86">
        <f t="shared" si="2"/>
        <v>0.01</v>
      </c>
      <c r="AC21" s="80" t="str">
        <f t="shared" si="3"/>
        <v>ERROR</v>
      </c>
    </row>
    <row r="22" spans="1:107" ht="31.5" x14ac:dyDescent="0.5">
      <c r="A22" s="69">
        <f t="shared" si="4"/>
        <v>3</v>
      </c>
      <c r="B22" s="116">
        <v>22233786</v>
      </c>
      <c r="C22" s="118" t="s">
        <v>134</v>
      </c>
      <c r="D22" s="117">
        <v>2</v>
      </c>
      <c r="E22" s="52">
        <f>(Tabla3[[#This Row],[CANT]]*5000000)</f>
        <v>10000000</v>
      </c>
      <c r="F22" s="117">
        <v>3</v>
      </c>
      <c r="G22" s="52">
        <f>(Tabla3[[#This Row],[CANT2]]*10000000)</f>
        <v>30000000</v>
      </c>
      <c r="H22" s="117"/>
      <c r="I22" s="52"/>
      <c r="J22" s="68"/>
      <c r="K22" s="52"/>
      <c r="L22" s="68"/>
      <c r="M22" s="52"/>
      <c r="N22" s="68"/>
      <c r="O22" s="52"/>
      <c r="P22" s="68"/>
      <c r="Q22" s="52"/>
      <c r="R22" s="53">
        <f>(Tabla3[[#This Row],[MONTO]]+Tabla3[[#This Row],[MONTO2]]+Tabla3[[#This Row],[MONTO3]]+Tabla3[[#This Row],[MONTO4]]+Tabla3[[#This Row],[MONTO5]]+Tabla3[[#This Row],[MONTO6]]+Tabla3[[#This Row],[MONTO7]])</f>
        <v>40000000</v>
      </c>
      <c r="S22" s="54">
        <f t="shared" si="0"/>
        <v>36000000</v>
      </c>
      <c r="T22" s="55">
        <f t="shared" si="1"/>
        <v>360000</v>
      </c>
      <c r="U22" s="55">
        <f>(Tabla3[[#This Row],[TOTAL -10%]]*Tabla3[[#This Row],[FIDUCIA]])</f>
        <v>0</v>
      </c>
      <c r="V22" s="55">
        <f>(Tabla3[[#This Row],[TOTAL -10%]]*Tabla3[[#This Row],[NUBE]])</f>
        <v>0</v>
      </c>
      <c r="W22" s="85" t="s">
        <v>37</v>
      </c>
      <c r="X22" s="83"/>
      <c r="Y22" s="84">
        <v>0.01</v>
      </c>
      <c r="Z22" s="84"/>
      <c r="AA22" s="84"/>
      <c r="AB22" s="86">
        <f t="shared" si="2"/>
        <v>0.01</v>
      </c>
      <c r="AC22" s="80" t="str">
        <f t="shared" si="3"/>
        <v>ERROR</v>
      </c>
    </row>
    <row r="23" spans="1:107" ht="31.5" x14ac:dyDescent="0.5">
      <c r="A23" s="69">
        <f t="shared" si="4"/>
        <v>4</v>
      </c>
      <c r="B23" s="116">
        <v>1088279595</v>
      </c>
      <c r="C23" s="118" t="s">
        <v>142</v>
      </c>
      <c r="D23" s="117">
        <v>1</v>
      </c>
      <c r="E23" s="52">
        <f>(Tabla3[[#This Row],[CANT]]*5000000)</f>
        <v>5000000</v>
      </c>
      <c r="F23" s="117"/>
      <c r="G23" s="52"/>
      <c r="H23" s="117"/>
      <c r="I23" s="52"/>
      <c r="J23" s="68"/>
      <c r="K23" s="52"/>
      <c r="L23" s="68"/>
      <c r="M23" s="52"/>
      <c r="N23" s="68"/>
      <c r="O23" s="52"/>
      <c r="P23" s="68"/>
      <c r="Q23" s="52"/>
      <c r="R23" s="53">
        <f>(Tabla3[[#This Row],[MONTO]]+Tabla3[[#This Row],[MONTO2]]+Tabla3[[#This Row],[MONTO3]]+Tabla3[[#This Row],[MONTO4]]+Tabla3[[#This Row],[MONTO5]]+Tabla3[[#This Row],[MONTO6]]+Tabla3[[#This Row],[MONTO7]])</f>
        <v>5000000</v>
      </c>
      <c r="S23" s="54">
        <f t="shared" si="0"/>
        <v>4500000</v>
      </c>
      <c r="T23" s="55">
        <f t="shared" si="1"/>
        <v>45000</v>
      </c>
      <c r="U23" s="55">
        <f>(Tabla3[[#This Row],[TOTAL -10%]]*Tabla3[[#This Row],[FIDUCIA]])</f>
        <v>0</v>
      </c>
      <c r="V23" s="55">
        <f>(Tabla3[[#This Row],[TOTAL -10%]]*Tabla3[[#This Row],[NUBE]])</f>
        <v>0</v>
      </c>
      <c r="W23" s="85" t="s">
        <v>37</v>
      </c>
      <c r="X23" s="83"/>
      <c r="Y23" s="84">
        <v>0.01</v>
      </c>
      <c r="Z23" s="84"/>
      <c r="AA23" s="84"/>
      <c r="AB23" s="86">
        <f t="shared" si="2"/>
        <v>0.01</v>
      </c>
      <c r="AC23" s="80" t="str">
        <f t="shared" si="3"/>
        <v>ERROR</v>
      </c>
    </row>
    <row r="24" spans="1:107" ht="31.5" x14ac:dyDescent="0.5">
      <c r="A24" s="69">
        <f t="shared" si="4"/>
        <v>5</v>
      </c>
      <c r="B24" s="116">
        <v>25181068</v>
      </c>
      <c r="C24" s="118" t="s">
        <v>148</v>
      </c>
      <c r="D24" s="117">
        <v>13</v>
      </c>
      <c r="E24" s="52">
        <f>(Tabla3[[#This Row],[CANT]]*5000000)</f>
        <v>65000000</v>
      </c>
      <c r="F24" s="117"/>
      <c r="G24" s="52"/>
      <c r="H24" s="117">
        <v>12</v>
      </c>
      <c r="I24" s="52">
        <f>(Tabla3[[#This Row],[CANT3]]*7500000)</f>
        <v>90000000</v>
      </c>
      <c r="J24" s="68"/>
      <c r="K24" s="52"/>
      <c r="L24" s="68"/>
      <c r="M24" s="52"/>
      <c r="N24" s="68"/>
      <c r="O24" s="52"/>
      <c r="P24" s="68" t="s">
        <v>155</v>
      </c>
      <c r="Q24" s="52"/>
      <c r="R24" s="53">
        <f>(Tabla3[[#This Row],[MONTO]]+Tabla3[[#This Row],[MONTO2]]+Tabla3[[#This Row],[MONTO3]]+Tabla3[[#This Row],[MONTO4]]+Tabla3[[#This Row],[MONTO5]]+Tabla3[[#This Row],[MONTO6]]+Tabla3[[#This Row],[MONTO7]])</f>
        <v>155000000</v>
      </c>
      <c r="S24" s="54">
        <f t="shared" si="0"/>
        <v>139500000</v>
      </c>
      <c r="T24" s="55">
        <f t="shared" si="1"/>
        <v>1395000</v>
      </c>
      <c r="U24" s="55">
        <f>(Tabla3[[#This Row],[TOTAL -10%]]*Tabla3[[#This Row],[FIDUCIA]])</f>
        <v>0</v>
      </c>
      <c r="V24" s="55">
        <f>(Tabla3[[#This Row],[TOTAL -10%]]*Tabla3[[#This Row],[NUBE]])</f>
        <v>0</v>
      </c>
      <c r="W24" s="85" t="s">
        <v>37</v>
      </c>
      <c r="X24" s="83"/>
      <c r="Y24" s="84">
        <v>0.01</v>
      </c>
      <c r="Z24" s="84"/>
      <c r="AA24" s="84"/>
      <c r="AB24" s="86">
        <f t="shared" si="2"/>
        <v>0.01</v>
      </c>
      <c r="AC24" s="80" t="str">
        <f t="shared" si="3"/>
        <v>ERROR</v>
      </c>
    </row>
    <row r="25" spans="1:107" ht="31.5" x14ac:dyDescent="0.5">
      <c r="A25" s="69">
        <f t="shared" si="4"/>
        <v>6</v>
      </c>
      <c r="B25" s="116">
        <v>10013866</v>
      </c>
      <c r="C25" s="118" t="s">
        <v>160</v>
      </c>
      <c r="D25" s="117">
        <v>4</v>
      </c>
      <c r="E25" s="52">
        <f>(Tabla3[[#This Row],[CANT]]*5000000)</f>
        <v>20000000</v>
      </c>
      <c r="F25" s="117">
        <v>6</v>
      </c>
      <c r="G25" s="52">
        <f>(Tabla3[[#This Row],[CANT2]]*10000000)</f>
        <v>60000000</v>
      </c>
      <c r="H25" s="117">
        <v>4</v>
      </c>
      <c r="I25" s="52">
        <f>(Tabla3[[#This Row],[CANT3]]*7500000)</f>
        <v>30000000</v>
      </c>
      <c r="J25" s="68"/>
      <c r="K25" s="52"/>
      <c r="L25" s="68"/>
      <c r="M25" s="52"/>
      <c r="N25" s="68"/>
      <c r="O25" s="52"/>
      <c r="P25" s="68"/>
      <c r="Q25" s="52"/>
      <c r="R25" s="53">
        <f>(Tabla3[[#This Row],[MONTO]]+Tabla3[[#This Row],[MONTO2]]+Tabla3[[#This Row],[MONTO3]]+Tabla3[[#This Row],[MONTO4]]+Tabla3[[#This Row],[MONTO5]]+Tabla3[[#This Row],[MONTO6]]+Tabla3[[#This Row],[MONTO7]])</f>
        <v>110000000</v>
      </c>
      <c r="S25" s="54">
        <f t="shared" si="0"/>
        <v>99000000</v>
      </c>
      <c r="T25" s="55">
        <f t="shared" si="1"/>
        <v>990000</v>
      </c>
      <c r="U25" s="55">
        <f>(Tabla3[[#This Row],[TOTAL -10%]]*Tabla3[[#This Row],[FIDUCIA]])</f>
        <v>0</v>
      </c>
      <c r="V25" s="55">
        <f>(Tabla3[[#This Row],[TOTAL -10%]]*Tabla3[[#This Row],[NUBE]])</f>
        <v>0</v>
      </c>
      <c r="W25" s="85" t="s">
        <v>37</v>
      </c>
      <c r="X25" s="83"/>
      <c r="Y25" s="84">
        <v>0.01</v>
      </c>
      <c r="Z25" s="84"/>
      <c r="AA25" s="84"/>
      <c r="AB25" s="86">
        <f t="shared" si="2"/>
        <v>0.01</v>
      </c>
      <c r="AC25" s="80" t="str">
        <f t="shared" si="3"/>
        <v>ERROR</v>
      </c>
    </row>
    <row r="26" spans="1:107" ht="31.5" x14ac:dyDescent="0.5">
      <c r="A26" s="69">
        <f t="shared" si="4"/>
        <v>7</v>
      </c>
      <c r="B26" s="116">
        <v>3572523</v>
      </c>
      <c r="C26" s="118" t="s">
        <v>167</v>
      </c>
      <c r="D26" s="117">
        <v>2</v>
      </c>
      <c r="E26" s="52">
        <f>(Tabla3[[#This Row],[CANT]]*5000000)</f>
        <v>10000000</v>
      </c>
      <c r="F26" s="117">
        <v>3</v>
      </c>
      <c r="G26" s="52">
        <f>(Tabla3[[#This Row],[CANT2]]*10000000)</f>
        <v>30000000</v>
      </c>
      <c r="H26" s="117">
        <v>2</v>
      </c>
      <c r="I26" s="52">
        <f>(Tabla3[[#This Row],[CANT3]]*7500000)</f>
        <v>15000000</v>
      </c>
      <c r="J26" s="68"/>
      <c r="K26" s="52"/>
      <c r="L26" s="68"/>
      <c r="M26" s="52"/>
      <c r="N26" s="68"/>
      <c r="O26" s="52"/>
      <c r="P26" s="68"/>
      <c r="Q26" s="52"/>
      <c r="R26" s="53">
        <f>(Tabla3[[#This Row],[MONTO]]+Tabla3[[#This Row],[MONTO2]]+Tabla3[[#This Row],[MONTO3]]+Tabla3[[#This Row],[MONTO4]]+Tabla3[[#This Row],[MONTO5]]+Tabla3[[#This Row],[MONTO6]]+Tabla3[[#This Row],[MONTO7]])</f>
        <v>55000000</v>
      </c>
      <c r="S26" s="54">
        <f t="shared" si="0"/>
        <v>49500000</v>
      </c>
      <c r="T26" s="55">
        <f t="shared" si="1"/>
        <v>495000</v>
      </c>
      <c r="U26" s="55">
        <f>(Tabla3[[#This Row],[TOTAL -10%]]*Tabla3[[#This Row],[FIDUCIA]])</f>
        <v>0</v>
      </c>
      <c r="V26" s="55">
        <f>(Tabla3[[#This Row],[TOTAL -10%]]*Tabla3[[#This Row],[NUBE]])</f>
        <v>0</v>
      </c>
      <c r="W26" s="85" t="s">
        <v>37</v>
      </c>
      <c r="X26" s="83"/>
      <c r="Y26" s="84">
        <v>0.01</v>
      </c>
      <c r="Z26" s="84"/>
      <c r="AA26" s="84"/>
      <c r="AB26" s="86">
        <f t="shared" si="2"/>
        <v>0.01</v>
      </c>
      <c r="AC26" s="80" t="str">
        <f t="shared" si="3"/>
        <v>ERROR</v>
      </c>
    </row>
    <row r="27" spans="1:107" ht="31.5" x14ac:dyDescent="0.5">
      <c r="A27" s="69">
        <f t="shared" si="4"/>
        <v>8</v>
      </c>
      <c r="B27" s="116">
        <v>1088248624</v>
      </c>
      <c r="C27" s="118" t="s">
        <v>173</v>
      </c>
      <c r="D27" s="117">
        <v>4</v>
      </c>
      <c r="E27" s="52">
        <f>(Tabla3[[#This Row],[CANT]]*5000000)</f>
        <v>20000000</v>
      </c>
      <c r="F27" s="117">
        <v>6</v>
      </c>
      <c r="G27" s="52">
        <f>(Tabla3[[#This Row],[CANT2]]*10000000)</f>
        <v>60000000</v>
      </c>
      <c r="H27" s="117">
        <v>4</v>
      </c>
      <c r="I27" s="52">
        <f>(Tabla3[[#This Row],[CANT3]]*7500000)</f>
        <v>30000000</v>
      </c>
      <c r="J27" s="68"/>
      <c r="K27" s="52"/>
      <c r="L27" s="68"/>
      <c r="M27" s="52"/>
      <c r="N27" s="68"/>
      <c r="O27" s="52"/>
      <c r="P27" s="68"/>
      <c r="Q27" s="52"/>
      <c r="R27" s="53">
        <f>(Tabla3[[#This Row],[MONTO]]+Tabla3[[#This Row],[MONTO2]]+Tabla3[[#This Row],[MONTO3]]+Tabla3[[#This Row],[MONTO4]]+Tabla3[[#This Row],[MONTO5]]+Tabla3[[#This Row],[MONTO6]]+Tabla3[[#This Row],[MONTO7]])</f>
        <v>110000000</v>
      </c>
      <c r="S27" s="54">
        <f t="shared" si="0"/>
        <v>99000000</v>
      </c>
      <c r="T27" s="55">
        <f t="shared" si="1"/>
        <v>990000</v>
      </c>
      <c r="U27" s="55">
        <f>(Tabla3[[#This Row],[TOTAL -10%]]*Tabla3[[#This Row],[FIDUCIA]])</f>
        <v>0</v>
      </c>
      <c r="V27" s="55">
        <f>(Tabla3[[#This Row],[TOTAL -10%]]*Tabla3[[#This Row],[NUBE]])</f>
        <v>0</v>
      </c>
      <c r="W27" s="85" t="s">
        <v>37</v>
      </c>
      <c r="X27" s="83"/>
      <c r="Y27" s="84">
        <v>0.01</v>
      </c>
      <c r="Z27" s="84"/>
      <c r="AA27" s="84"/>
      <c r="AB27" s="86">
        <f t="shared" si="2"/>
        <v>0.01</v>
      </c>
      <c r="AC27" s="80" t="str">
        <f t="shared" si="3"/>
        <v>ERROR</v>
      </c>
    </row>
    <row r="28" spans="1:107" ht="31.5" x14ac:dyDescent="0.5">
      <c r="A28" s="69">
        <f t="shared" si="4"/>
        <v>9</v>
      </c>
      <c r="B28" s="116">
        <v>27956147</v>
      </c>
      <c r="C28" s="118" t="s">
        <v>180</v>
      </c>
      <c r="D28" s="117">
        <v>4</v>
      </c>
      <c r="E28" s="52">
        <f>(Tabla3[[#This Row],[CANT]]*5000000)</f>
        <v>20000000</v>
      </c>
      <c r="F28" s="117"/>
      <c r="G28" s="52"/>
      <c r="H28" s="117"/>
      <c r="I28" s="52"/>
      <c r="J28" s="68"/>
      <c r="K28" s="52"/>
      <c r="L28" s="68"/>
      <c r="M28" s="52"/>
      <c r="N28" s="68"/>
      <c r="O28" s="52"/>
      <c r="P28" s="68"/>
      <c r="Q28" s="52"/>
      <c r="R28" s="53">
        <f>(Tabla3[[#This Row],[MONTO]]+Tabla3[[#This Row],[MONTO2]]+Tabla3[[#This Row],[MONTO3]]+Tabla3[[#This Row],[MONTO4]]+Tabla3[[#This Row],[MONTO5]]+Tabla3[[#This Row],[MONTO6]]+Tabla3[[#This Row],[MONTO7]])</f>
        <v>20000000</v>
      </c>
      <c r="S28" s="54">
        <f t="shared" si="0"/>
        <v>18000000</v>
      </c>
      <c r="T28" s="55">
        <f t="shared" si="1"/>
        <v>180000</v>
      </c>
      <c r="U28" s="55">
        <f>(Tabla3[[#This Row],[TOTAL -10%]]*Tabla3[[#This Row],[FIDUCIA]])</f>
        <v>0</v>
      </c>
      <c r="V28" s="55">
        <f>(Tabla3[[#This Row],[TOTAL -10%]]*Tabla3[[#This Row],[NUBE]])</f>
        <v>0</v>
      </c>
      <c r="W28" s="85" t="s">
        <v>37</v>
      </c>
      <c r="X28" s="83"/>
      <c r="Y28" s="84">
        <v>0.01</v>
      </c>
      <c r="Z28" s="84"/>
      <c r="AA28" s="84"/>
      <c r="AB28" s="86">
        <f t="shared" si="2"/>
        <v>0.01</v>
      </c>
      <c r="AC28" s="80" t="str">
        <f t="shared" si="3"/>
        <v>ERROR</v>
      </c>
    </row>
    <row r="29" spans="1:107" ht="31.5" x14ac:dyDescent="0.5">
      <c r="A29" s="69">
        <f t="shared" si="4"/>
        <v>10</v>
      </c>
      <c r="B29" s="116">
        <v>34555821</v>
      </c>
      <c r="C29" s="118" t="s">
        <v>187</v>
      </c>
      <c r="D29" s="117">
        <v>10</v>
      </c>
      <c r="E29" s="52">
        <f>(Tabla3[[#This Row],[CANT]]*5000000)</f>
        <v>50000000</v>
      </c>
      <c r="F29" s="117"/>
      <c r="G29" s="52"/>
      <c r="H29" s="117"/>
      <c r="I29" s="52"/>
      <c r="J29" s="68"/>
      <c r="K29" s="52"/>
      <c r="L29" s="68"/>
      <c r="M29" s="52"/>
      <c r="N29" s="68"/>
      <c r="O29" s="52"/>
      <c r="P29" s="68"/>
      <c r="Q29" s="52"/>
      <c r="R29" s="53">
        <f>(Tabla3[[#This Row],[MONTO]]+Tabla3[[#This Row],[MONTO2]]+Tabla3[[#This Row],[MONTO3]]+Tabla3[[#This Row],[MONTO4]]+Tabla3[[#This Row],[MONTO5]]+Tabla3[[#This Row],[MONTO6]]+Tabla3[[#This Row],[MONTO7]])</f>
        <v>50000000</v>
      </c>
      <c r="S29" s="67">
        <f t="shared" ref="S29" si="5">R29-(R29*10%)</f>
        <v>45000000</v>
      </c>
      <c r="T29" s="55">
        <f t="shared" ref="T29" si="6">(S29*1%)</f>
        <v>450000</v>
      </c>
      <c r="U29" s="55">
        <f>(Tabla3[[#This Row],[TOTAL -10%]]*Tabla3[[#This Row],[FIDUCIA]])</f>
        <v>0</v>
      </c>
      <c r="V29" s="55">
        <f>(Tabla3[[#This Row],[TOTAL -10%]]*Tabla3[[#This Row],[NUBE]])</f>
        <v>0</v>
      </c>
      <c r="W29" s="85" t="s">
        <v>37</v>
      </c>
      <c r="X29" s="83"/>
      <c r="Y29" s="84">
        <v>0.01</v>
      </c>
      <c r="Z29" s="84"/>
      <c r="AA29" s="84"/>
      <c r="AB29" s="86">
        <f t="shared" si="2"/>
        <v>0.01</v>
      </c>
      <c r="AC29" s="80" t="str">
        <f t="shared" si="3"/>
        <v>ERROR</v>
      </c>
    </row>
    <row r="30" spans="1:107" ht="31.5" x14ac:dyDescent="0.5">
      <c r="A30" s="69">
        <f t="shared" si="4"/>
        <v>11</v>
      </c>
      <c r="B30" s="116">
        <v>1193371494</v>
      </c>
      <c r="C30" s="118" t="s">
        <v>194</v>
      </c>
      <c r="D30" s="117">
        <v>5</v>
      </c>
      <c r="E30" s="52">
        <f>(Tabla3[[#This Row],[CANT]]*5000000)</f>
        <v>25000000</v>
      </c>
      <c r="F30" s="117"/>
      <c r="G30" s="52"/>
      <c r="H30" s="117"/>
      <c r="I30" s="52"/>
      <c r="J30" s="68"/>
      <c r="K30" s="52"/>
      <c r="L30" s="68"/>
      <c r="M30" s="52"/>
      <c r="N30" s="68"/>
      <c r="O30" s="52"/>
      <c r="P30" s="68"/>
      <c r="Q30" s="52"/>
      <c r="R30" s="53">
        <f>(Tabla3[[#This Row],[MONTO]]+Tabla3[[#This Row],[MONTO2]]+Tabla3[[#This Row],[MONTO3]]+Tabla3[[#This Row],[MONTO4]]+Tabla3[[#This Row],[MONTO5]]+Tabla3[[#This Row],[MONTO6]]+Tabla3[[#This Row],[MONTO7]])</f>
        <v>25000000</v>
      </c>
      <c r="S30" s="67">
        <f t="shared" ref="S30:S43" si="7">R30-(R30*10%)</f>
        <v>22500000</v>
      </c>
      <c r="T30" s="55">
        <f t="shared" ref="T30:T43" si="8">(S30*1%)</f>
        <v>225000</v>
      </c>
      <c r="U30" s="55">
        <f>(Tabla3[[#This Row],[TOTAL -10%]]*Tabla3[[#This Row],[FIDUCIA]])</f>
        <v>0</v>
      </c>
      <c r="V30" s="55">
        <f>(Tabla3[[#This Row],[TOTAL -10%]]*Tabla3[[#This Row],[NUBE]])</f>
        <v>0</v>
      </c>
      <c r="W30" s="85" t="s">
        <v>37</v>
      </c>
      <c r="X30" s="119"/>
      <c r="Y30" s="84">
        <v>0.01</v>
      </c>
      <c r="Z30" s="84"/>
      <c r="AA30" s="120"/>
      <c r="AB30" s="121">
        <f t="shared" ref="AB30:AB43" si="9">SUM(Y30:AA30)</f>
        <v>0.01</v>
      </c>
      <c r="AC30" s="80" t="str">
        <f t="shared" si="3"/>
        <v>ERROR</v>
      </c>
    </row>
    <row r="31" spans="1:107" ht="31.5" x14ac:dyDescent="0.5">
      <c r="A31" s="69">
        <f t="shared" si="4"/>
        <v>12</v>
      </c>
      <c r="B31" s="116">
        <v>36182704</v>
      </c>
      <c r="C31" s="118" t="s">
        <v>199</v>
      </c>
      <c r="D31" s="117">
        <v>8</v>
      </c>
      <c r="E31" s="52">
        <f>(Tabla3[[#This Row],[CANT]]*5000000)</f>
        <v>40000000</v>
      </c>
      <c r="F31" s="117">
        <v>3</v>
      </c>
      <c r="G31" s="52">
        <f>(Tabla3[[#This Row],[CANT2]]*10000000)</f>
        <v>30000000</v>
      </c>
      <c r="H31" s="117">
        <v>5</v>
      </c>
      <c r="I31" s="52">
        <f>(Tabla3[[#This Row],[CANT3]]*7500000)</f>
        <v>37500000</v>
      </c>
      <c r="J31" s="68">
        <v>1</v>
      </c>
      <c r="K31" s="52">
        <f>(Tabla3[[#This Row],[CANT4]]*500000)</f>
        <v>500000</v>
      </c>
      <c r="L31" s="68"/>
      <c r="M31" s="52"/>
      <c r="N31" s="68"/>
      <c r="O31" s="52"/>
      <c r="P31" s="68"/>
      <c r="Q31" s="52"/>
      <c r="R31" s="53">
        <f>(Tabla3[[#This Row],[MONTO]]+Tabla3[[#This Row],[MONTO2]]+Tabla3[[#This Row],[MONTO3]]+Tabla3[[#This Row],[MONTO4]]+Tabla3[[#This Row],[MONTO5]]+Tabla3[[#This Row],[MONTO6]]+Tabla3[[#This Row],[MONTO7]])</f>
        <v>108000000</v>
      </c>
      <c r="S31" s="67">
        <f t="shared" si="7"/>
        <v>97200000</v>
      </c>
      <c r="T31" s="55">
        <f t="shared" si="8"/>
        <v>972000</v>
      </c>
      <c r="U31" s="132">
        <f>(Tabla3[[#This Row],[TOTAL -10%]]*Tabla3[[#This Row],[FIDUCIA]])</f>
        <v>0</v>
      </c>
      <c r="V31" s="132">
        <f>(Tabla3[[#This Row],[TOTAL -10%]]*Tabla3[[#This Row],[NUBE]])</f>
        <v>0</v>
      </c>
      <c r="W31" s="85" t="s">
        <v>37</v>
      </c>
      <c r="X31" s="119"/>
      <c r="Y31" s="84">
        <v>0.01</v>
      </c>
      <c r="Z31" s="84"/>
      <c r="AA31" s="120"/>
      <c r="AB31" s="121">
        <f t="shared" si="9"/>
        <v>0.01</v>
      </c>
      <c r="AC31" s="80" t="str">
        <f t="shared" si="3"/>
        <v>ERROR</v>
      </c>
    </row>
    <row r="32" spans="1:107" ht="31.5" x14ac:dyDescent="0.5">
      <c r="A32" s="69">
        <f t="shared" si="4"/>
        <v>13</v>
      </c>
      <c r="B32" s="116">
        <v>42489734</v>
      </c>
      <c r="C32" s="118" t="s">
        <v>205</v>
      </c>
      <c r="D32" s="117">
        <v>15</v>
      </c>
      <c r="E32" s="52">
        <f>(Tabla3[[#This Row],[CANT]]*5000000)</f>
        <v>75000000</v>
      </c>
      <c r="F32" s="117">
        <v>2</v>
      </c>
      <c r="G32" s="52">
        <f>(Tabla3[[#This Row],[CANT2]]*10000000)</f>
        <v>20000000</v>
      </c>
      <c r="H32" s="117">
        <v>1</v>
      </c>
      <c r="I32" s="52">
        <f>(Tabla3[[#This Row],[CANT3]]*7500000)</f>
        <v>7500000</v>
      </c>
      <c r="J32" s="68"/>
      <c r="K32" s="52"/>
      <c r="L32" s="68"/>
      <c r="M32" s="52"/>
      <c r="N32" s="68"/>
      <c r="O32" s="52"/>
      <c r="P32" s="68"/>
      <c r="Q32" s="52"/>
      <c r="R32" s="53">
        <f>(Tabla3[[#This Row],[MONTO]]+Tabla3[[#This Row],[MONTO2]]+Tabla3[[#This Row],[MONTO3]]+Tabla3[[#This Row],[MONTO4]]+Tabla3[[#This Row],[MONTO5]]+Tabla3[[#This Row],[MONTO6]]+Tabla3[[#This Row],[MONTO7]])</f>
        <v>102500000</v>
      </c>
      <c r="S32" s="67">
        <f t="shared" si="7"/>
        <v>92250000</v>
      </c>
      <c r="T32" s="55">
        <f t="shared" si="8"/>
        <v>922500</v>
      </c>
      <c r="U32" s="132">
        <f>(Tabla3[[#This Row],[TOTAL -10%]]*Tabla3[[#This Row],[FIDUCIA]])</f>
        <v>0</v>
      </c>
      <c r="V32" s="132">
        <f>(Tabla3[[#This Row],[TOTAL -10%]]*Tabla3[[#This Row],[NUBE]])</f>
        <v>0</v>
      </c>
      <c r="W32" s="85" t="s">
        <v>37</v>
      </c>
      <c r="X32" s="119"/>
      <c r="Y32" s="84">
        <v>0.01</v>
      </c>
      <c r="Z32" s="120"/>
      <c r="AA32" s="84"/>
      <c r="AB32" s="121">
        <f t="shared" si="9"/>
        <v>0.01</v>
      </c>
      <c r="AC32" s="80" t="str">
        <f t="shared" si="3"/>
        <v>ERROR</v>
      </c>
    </row>
    <row r="33" spans="1:29" ht="31.5" x14ac:dyDescent="0.5">
      <c r="A33" s="69">
        <f t="shared" si="4"/>
        <v>14</v>
      </c>
      <c r="B33" s="116">
        <v>42009416</v>
      </c>
      <c r="C33" s="118" t="s">
        <v>212</v>
      </c>
      <c r="D33" s="117">
        <v>4</v>
      </c>
      <c r="E33" s="52">
        <f>(Tabla3[[#This Row],[CANT]]*5000000)</f>
        <v>20000000</v>
      </c>
      <c r="F33" s="117">
        <v>10</v>
      </c>
      <c r="G33" s="52">
        <f>(Tabla3[[#This Row],[CANT2]]*10000000)</f>
        <v>100000000</v>
      </c>
      <c r="H33" s="117">
        <v>5</v>
      </c>
      <c r="I33" s="52">
        <f>(Tabla3[[#This Row],[CANT3]]*7500000)</f>
        <v>37500000</v>
      </c>
      <c r="J33" s="68"/>
      <c r="K33" s="52"/>
      <c r="L33" s="68"/>
      <c r="M33" s="52"/>
      <c r="N33" s="68"/>
      <c r="O33" s="52"/>
      <c r="P33" s="68"/>
      <c r="Q33" s="52"/>
      <c r="R33" s="53">
        <f>(Tabla3[[#This Row],[MONTO]]+Tabla3[[#This Row],[MONTO2]]+Tabla3[[#This Row],[MONTO3]]+Tabla3[[#This Row],[MONTO4]]+Tabla3[[#This Row],[MONTO5]]+Tabla3[[#This Row],[MONTO6]]+Tabla3[[#This Row],[MONTO7]])</f>
        <v>157500000</v>
      </c>
      <c r="S33" s="67">
        <f t="shared" si="7"/>
        <v>141750000</v>
      </c>
      <c r="T33" s="55">
        <f t="shared" si="8"/>
        <v>1417500</v>
      </c>
      <c r="U33" s="132">
        <f>(Tabla3[[#This Row],[TOTAL -10%]]*Tabla3[[#This Row],[FIDUCIA]])</f>
        <v>0</v>
      </c>
      <c r="V33" s="132">
        <f>(Tabla3[[#This Row],[TOTAL -10%]]*Tabla3[[#This Row],[NUBE]])</f>
        <v>0</v>
      </c>
      <c r="W33" s="85" t="s">
        <v>37</v>
      </c>
      <c r="X33" s="119"/>
      <c r="Y33" s="84">
        <v>0.01</v>
      </c>
      <c r="Z33" s="120"/>
      <c r="AA33" s="84"/>
      <c r="AB33" s="121">
        <f t="shared" si="9"/>
        <v>0.01</v>
      </c>
      <c r="AC33" s="80" t="str">
        <f t="shared" si="3"/>
        <v>ERROR</v>
      </c>
    </row>
    <row r="34" spans="1:29" ht="31.5" x14ac:dyDescent="0.5">
      <c r="A34" s="69">
        <f t="shared" si="4"/>
        <v>15</v>
      </c>
      <c r="B34" s="116">
        <v>31968693</v>
      </c>
      <c r="C34" s="118" t="s">
        <v>221</v>
      </c>
      <c r="D34" s="117">
        <v>5</v>
      </c>
      <c r="E34" s="52">
        <f>(Tabla3[[#This Row],[CANT]]*5000000)</f>
        <v>25000000</v>
      </c>
      <c r="F34" s="117"/>
      <c r="G34" s="52"/>
      <c r="H34" s="117"/>
      <c r="I34" s="52"/>
      <c r="J34" s="68"/>
      <c r="K34" s="52"/>
      <c r="L34" s="68"/>
      <c r="M34" s="52"/>
      <c r="N34" s="68"/>
      <c r="O34" s="52"/>
      <c r="P34" s="68"/>
      <c r="Q34" s="52"/>
      <c r="R34" s="53">
        <f>(Tabla3[[#This Row],[MONTO]]+Tabla3[[#This Row],[MONTO2]]+Tabla3[[#This Row],[MONTO3]]+Tabla3[[#This Row],[MONTO4]]+Tabla3[[#This Row],[MONTO5]]+Tabla3[[#This Row],[MONTO6]]+Tabla3[[#This Row],[MONTO7]])</f>
        <v>25000000</v>
      </c>
      <c r="S34" s="67">
        <f t="shared" si="7"/>
        <v>22500000</v>
      </c>
      <c r="T34" s="55">
        <f t="shared" si="8"/>
        <v>225000</v>
      </c>
      <c r="U34" s="132">
        <f>(Tabla3[[#This Row],[TOTAL -10%]]*Tabla3[[#This Row],[FIDUCIA]])</f>
        <v>0</v>
      </c>
      <c r="V34" s="132">
        <f>(Tabla3[[#This Row],[TOTAL -10%]]*Tabla3[[#This Row],[NUBE]])</f>
        <v>0</v>
      </c>
      <c r="W34" s="85" t="s">
        <v>37</v>
      </c>
      <c r="X34" s="119"/>
      <c r="Y34" s="84">
        <v>0.01</v>
      </c>
      <c r="Z34" s="120"/>
      <c r="AA34" s="84"/>
      <c r="AB34" s="121">
        <f t="shared" si="9"/>
        <v>0.01</v>
      </c>
      <c r="AC34" s="80" t="str">
        <f t="shared" si="3"/>
        <v>ERROR</v>
      </c>
    </row>
    <row r="35" spans="1:29" ht="31.5" x14ac:dyDescent="0.5">
      <c r="A35" s="69">
        <f t="shared" si="4"/>
        <v>16</v>
      </c>
      <c r="B35" s="116">
        <v>31249079</v>
      </c>
      <c r="C35" s="118" t="s">
        <v>228</v>
      </c>
      <c r="D35" s="117">
        <v>5</v>
      </c>
      <c r="E35" s="52">
        <f>(Tabla3[[#This Row],[CANT]]*5000000)</f>
        <v>25000000</v>
      </c>
      <c r="F35" s="117"/>
      <c r="G35" s="52"/>
      <c r="H35" s="117"/>
      <c r="I35" s="52"/>
      <c r="J35" s="68"/>
      <c r="K35" s="52"/>
      <c r="L35" s="68"/>
      <c r="M35" s="52"/>
      <c r="N35" s="68"/>
      <c r="O35" s="52"/>
      <c r="P35" s="68"/>
      <c r="Q35" s="52"/>
      <c r="R35" s="53">
        <f>(Tabla3[[#This Row],[MONTO]]+Tabla3[[#This Row],[MONTO2]]+Tabla3[[#This Row],[MONTO3]]+Tabla3[[#This Row],[MONTO4]]+Tabla3[[#This Row],[MONTO5]]+Tabla3[[#This Row],[MONTO6]]+Tabla3[[#This Row],[MONTO7]])</f>
        <v>25000000</v>
      </c>
      <c r="S35" s="67">
        <f t="shared" si="7"/>
        <v>22500000</v>
      </c>
      <c r="T35" s="55">
        <f t="shared" si="8"/>
        <v>225000</v>
      </c>
      <c r="U35" s="132">
        <f>(Tabla3[[#This Row],[TOTAL -10%]]*Tabla3[[#This Row],[FIDUCIA]])</f>
        <v>0</v>
      </c>
      <c r="V35" s="132">
        <f>(Tabla3[[#This Row],[TOTAL -10%]]*Tabla3[[#This Row],[NUBE]])</f>
        <v>0</v>
      </c>
      <c r="W35" s="85" t="s">
        <v>37</v>
      </c>
      <c r="X35" s="119"/>
      <c r="Y35" s="84">
        <v>0.01</v>
      </c>
      <c r="Z35" s="84"/>
      <c r="AA35" s="120"/>
      <c r="AB35" s="121">
        <f t="shared" si="9"/>
        <v>0.01</v>
      </c>
      <c r="AC35" s="80" t="str">
        <f t="shared" si="3"/>
        <v>ERROR</v>
      </c>
    </row>
    <row r="36" spans="1:29" ht="31.5" x14ac:dyDescent="0.5">
      <c r="A36" s="69">
        <f t="shared" si="4"/>
        <v>17</v>
      </c>
      <c r="B36" s="116">
        <v>66729608</v>
      </c>
      <c r="C36" s="118" t="s">
        <v>233</v>
      </c>
      <c r="D36" s="117">
        <v>10</v>
      </c>
      <c r="E36" s="52">
        <f>(Tabla3[[#This Row],[CANT]]*5000000)</f>
        <v>50000000</v>
      </c>
      <c r="F36" s="117"/>
      <c r="G36" s="52"/>
      <c r="H36" s="117"/>
      <c r="I36" s="52"/>
      <c r="J36" s="68"/>
      <c r="K36" s="52"/>
      <c r="L36" s="68"/>
      <c r="M36" s="52"/>
      <c r="N36" s="68"/>
      <c r="O36" s="52"/>
      <c r="P36" s="68"/>
      <c r="Q36" s="52"/>
      <c r="R36" s="53">
        <f>(Tabla3[[#This Row],[MONTO]]+Tabla3[[#This Row],[MONTO2]]+Tabla3[[#This Row],[MONTO3]]+Tabla3[[#This Row],[MONTO4]]+Tabla3[[#This Row],[MONTO5]]+Tabla3[[#This Row],[MONTO6]]+Tabla3[[#This Row],[MONTO7]])</f>
        <v>50000000</v>
      </c>
      <c r="S36" s="67">
        <f t="shared" si="7"/>
        <v>45000000</v>
      </c>
      <c r="T36" s="55">
        <f t="shared" si="8"/>
        <v>450000</v>
      </c>
      <c r="U36" s="132">
        <f>(Tabla3[[#This Row],[TOTAL -10%]]*Tabla3[[#This Row],[FIDUCIA]])</f>
        <v>0</v>
      </c>
      <c r="V36" s="132">
        <f>(Tabla3[[#This Row],[TOTAL -10%]]*Tabla3[[#This Row],[NUBE]])</f>
        <v>0</v>
      </c>
      <c r="W36" s="85" t="s">
        <v>37</v>
      </c>
      <c r="X36" s="119"/>
      <c r="Y36" s="84">
        <v>0.01</v>
      </c>
      <c r="Z36" s="120"/>
      <c r="AA36" s="84"/>
      <c r="AB36" s="121">
        <f t="shared" si="9"/>
        <v>0.01</v>
      </c>
      <c r="AC36" s="80" t="str">
        <f t="shared" si="3"/>
        <v>ERROR</v>
      </c>
    </row>
    <row r="37" spans="1:29" ht="31.5" x14ac:dyDescent="0.5">
      <c r="A37" s="69">
        <f t="shared" si="4"/>
        <v>18</v>
      </c>
      <c r="B37" s="116">
        <v>31925587</v>
      </c>
      <c r="C37" s="118" t="s">
        <v>239</v>
      </c>
      <c r="D37" s="117">
        <v>2</v>
      </c>
      <c r="E37" s="52">
        <f>(Tabla3[[#This Row],[CANT]]*5000000)</f>
        <v>10000000</v>
      </c>
      <c r="F37" s="117"/>
      <c r="G37" s="52"/>
      <c r="H37" s="117"/>
      <c r="I37" s="52"/>
      <c r="J37" s="68"/>
      <c r="K37" s="52"/>
      <c r="L37" s="68"/>
      <c r="M37" s="52"/>
      <c r="N37" s="68"/>
      <c r="O37" s="52"/>
      <c r="P37" s="68"/>
      <c r="Q37" s="52"/>
      <c r="R37" s="53">
        <f>(Tabla3[[#This Row],[MONTO]]+Tabla3[[#This Row],[MONTO2]]+Tabla3[[#This Row],[MONTO3]]+Tabla3[[#This Row],[MONTO4]]+Tabla3[[#This Row],[MONTO5]]+Tabla3[[#This Row],[MONTO6]]+Tabla3[[#This Row],[MONTO7]])</f>
        <v>10000000</v>
      </c>
      <c r="S37" s="67">
        <f t="shared" si="7"/>
        <v>9000000</v>
      </c>
      <c r="T37" s="55">
        <f t="shared" si="8"/>
        <v>90000</v>
      </c>
      <c r="U37" s="132">
        <f>(Tabla3[[#This Row],[TOTAL -10%]]*Tabla3[[#This Row],[FIDUCIA]])</f>
        <v>0</v>
      </c>
      <c r="V37" s="132">
        <f>(Tabla3[[#This Row],[TOTAL -10%]]*Tabla3[[#This Row],[NUBE]])</f>
        <v>0</v>
      </c>
      <c r="W37" s="85" t="s">
        <v>37</v>
      </c>
      <c r="X37" s="119"/>
      <c r="Y37" s="84">
        <v>0.01</v>
      </c>
      <c r="Z37" s="120"/>
      <c r="AA37" s="84"/>
      <c r="AB37" s="121">
        <f t="shared" si="9"/>
        <v>0.01</v>
      </c>
      <c r="AC37" s="80" t="str">
        <f t="shared" si="3"/>
        <v>ERROR</v>
      </c>
    </row>
    <row r="38" spans="1:29" ht="31.5" x14ac:dyDescent="0.5">
      <c r="A38" s="69">
        <f t="shared" si="4"/>
        <v>19</v>
      </c>
      <c r="B38" s="116">
        <v>79634354</v>
      </c>
      <c r="C38" s="118" t="s">
        <v>245</v>
      </c>
      <c r="D38" s="117">
        <v>41</v>
      </c>
      <c r="E38" s="52">
        <f>(Tabla3[[#This Row],[CANT]]*5000000)</f>
        <v>205000000</v>
      </c>
      <c r="F38" s="117">
        <v>47</v>
      </c>
      <c r="G38" s="52">
        <f>(Tabla3[[#This Row],[CANT2]]*10000000)</f>
        <v>470000000</v>
      </c>
      <c r="H38" s="117">
        <v>42</v>
      </c>
      <c r="I38" s="52">
        <f>(Tabla3[[#This Row],[CANT3]]*7500000)</f>
        <v>315000000</v>
      </c>
      <c r="J38" s="68"/>
      <c r="K38" s="52"/>
      <c r="L38" s="68"/>
      <c r="M38" s="52"/>
      <c r="N38" s="68"/>
      <c r="O38" s="52"/>
      <c r="P38" s="68"/>
      <c r="Q38" s="52"/>
      <c r="R38" s="53">
        <f>(Tabla3[[#This Row],[MONTO]]+Tabla3[[#This Row],[MONTO2]]+Tabla3[[#This Row],[MONTO3]]+Tabla3[[#This Row],[MONTO4]]+Tabla3[[#This Row],[MONTO5]]+Tabla3[[#This Row],[MONTO6]]+Tabla3[[#This Row],[MONTO7]])</f>
        <v>990000000</v>
      </c>
      <c r="S38" s="67">
        <f t="shared" si="7"/>
        <v>891000000</v>
      </c>
      <c r="T38" s="55">
        <f t="shared" si="8"/>
        <v>8910000</v>
      </c>
      <c r="U38" s="132">
        <f>(Tabla3[[#This Row],[TOTAL -10%]]*Tabla3[[#This Row],[FIDUCIA]])</f>
        <v>0</v>
      </c>
      <c r="V38" s="132">
        <f>(Tabla3[[#This Row],[TOTAL -10%]]*Tabla3[[#This Row],[NUBE]])</f>
        <v>0</v>
      </c>
      <c r="W38" s="85" t="s">
        <v>37</v>
      </c>
      <c r="X38" s="119"/>
      <c r="Y38" s="84">
        <v>0.01</v>
      </c>
      <c r="Z38" s="120"/>
      <c r="AA38" s="84"/>
      <c r="AB38" s="121">
        <f t="shared" si="9"/>
        <v>0.01</v>
      </c>
      <c r="AC38" s="80" t="str">
        <f t="shared" si="3"/>
        <v>ERROR</v>
      </c>
    </row>
    <row r="39" spans="1:29" ht="31.5" x14ac:dyDescent="0.5">
      <c r="A39" s="69">
        <f t="shared" si="4"/>
        <v>20</v>
      </c>
      <c r="B39" s="116">
        <v>4213526</v>
      </c>
      <c r="C39" s="118" t="s">
        <v>265</v>
      </c>
      <c r="D39" s="117">
        <v>2</v>
      </c>
      <c r="E39" s="52">
        <f>(Tabla3[[#This Row],[CANT]]*5000000)</f>
        <v>10000000</v>
      </c>
      <c r="F39" s="117"/>
      <c r="G39" s="52"/>
      <c r="H39" s="117"/>
      <c r="I39" s="52"/>
      <c r="J39" s="68"/>
      <c r="K39" s="52"/>
      <c r="L39" s="68"/>
      <c r="M39" s="52"/>
      <c r="N39" s="68"/>
      <c r="O39" s="52"/>
      <c r="P39" s="68"/>
      <c r="Q39" s="52"/>
      <c r="R39" s="53">
        <f>(Tabla3[[#This Row],[MONTO]]+Tabla3[[#This Row],[MONTO2]]+Tabla3[[#This Row],[MONTO3]]+Tabla3[[#This Row],[MONTO4]]+Tabla3[[#This Row],[MONTO5]]+Tabla3[[#This Row],[MONTO6]]+Tabla3[[#This Row],[MONTO7]])</f>
        <v>10000000</v>
      </c>
      <c r="S39" s="67">
        <f t="shared" si="7"/>
        <v>9000000</v>
      </c>
      <c r="T39" s="55">
        <f t="shared" si="8"/>
        <v>90000</v>
      </c>
      <c r="U39" s="132">
        <f>(Tabla3[[#This Row],[TOTAL -10%]]*Tabla3[[#This Row],[FIDUCIA]])</f>
        <v>0</v>
      </c>
      <c r="V39" s="132">
        <f>(Tabla3[[#This Row],[TOTAL -10%]]*Tabla3[[#This Row],[NUBE]])</f>
        <v>0</v>
      </c>
      <c r="W39" s="85" t="s">
        <v>37</v>
      </c>
      <c r="X39" s="119"/>
      <c r="Y39" s="84">
        <v>0.01</v>
      </c>
      <c r="Z39" s="84"/>
      <c r="AA39" s="120"/>
      <c r="AB39" s="121">
        <f t="shared" si="9"/>
        <v>0.01</v>
      </c>
      <c r="AC39" s="80" t="str">
        <f t="shared" si="3"/>
        <v>ERROR</v>
      </c>
    </row>
    <row r="40" spans="1:29" ht="31.5" x14ac:dyDescent="0.5">
      <c r="A40" s="69">
        <f t="shared" si="4"/>
        <v>21</v>
      </c>
      <c r="B40" s="116">
        <v>1042094373</v>
      </c>
      <c r="C40" s="118" t="s">
        <v>271</v>
      </c>
      <c r="D40" s="117">
        <v>2</v>
      </c>
      <c r="E40" s="52">
        <f>(Tabla3[[#This Row],[CANT]]*5000000)</f>
        <v>10000000</v>
      </c>
      <c r="F40" s="117">
        <v>3</v>
      </c>
      <c r="G40" s="52">
        <f>(Tabla3[[#This Row],[CANT2]]*10000000)</f>
        <v>30000000</v>
      </c>
      <c r="H40" s="117"/>
      <c r="I40" s="52"/>
      <c r="J40" s="68"/>
      <c r="K40" s="52"/>
      <c r="L40" s="68"/>
      <c r="M40" s="52"/>
      <c r="N40" s="68"/>
      <c r="O40" s="52"/>
      <c r="P40" s="68"/>
      <c r="Q40" s="52"/>
      <c r="R40" s="53">
        <f>(Tabla3[[#This Row],[MONTO]]+Tabla3[[#This Row],[MONTO2]]+Tabla3[[#This Row],[MONTO3]]+Tabla3[[#This Row],[MONTO4]]+Tabla3[[#This Row],[MONTO5]]+Tabla3[[#This Row],[MONTO6]]+Tabla3[[#This Row],[MONTO7]])</f>
        <v>40000000</v>
      </c>
      <c r="S40" s="67">
        <f t="shared" si="7"/>
        <v>36000000</v>
      </c>
      <c r="T40" s="55">
        <f t="shared" si="8"/>
        <v>360000</v>
      </c>
      <c r="U40" s="132">
        <f>(Tabla3[[#This Row],[TOTAL -10%]]*Tabla3[[#This Row],[FIDUCIA]])</f>
        <v>0</v>
      </c>
      <c r="V40" s="132">
        <f>(Tabla3[[#This Row],[TOTAL -10%]]*Tabla3[[#This Row],[NUBE]])</f>
        <v>0</v>
      </c>
      <c r="W40" s="85" t="s">
        <v>37</v>
      </c>
      <c r="X40" s="119"/>
      <c r="Y40" s="84">
        <v>0.01</v>
      </c>
      <c r="Z40" s="84"/>
      <c r="AA40" s="120"/>
      <c r="AB40" s="121">
        <f t="shared" si="9"/>
        <v>0.01</v>
      </c>
      <c r="AC40" s="80" t="str">
        <f t="shared" si="3"/>
        <v>ERROR</v>
      </c>
    </row>
    <row r="41" spans="1:29" ht="31.5" x14ac:dyDescent="0.5">
      <c r="A41" s="69">
        <f t="shared" si="4"/>
        <v>22</v>
      </c>
      <c r="B41" s="116">
        <v>94373901</v>
      </c>
      <c r="C41" s="118" t="s">
        <v>276</v>
      </c>
      <c r="D41" s="117">
        <v>42</v>
      </c>
      <c r="E41" s="52">
        <f>(Tabla3[[#This Row],[CANT]]*5000000)</f>
        <v>210000000</v>
      </c>
      <c r="F41" s="117">
        <v>29</v>
      </c>
      <c r="G41" s="52">
        <f>(Tabla3[[#This Row],[CANT2]]*10000000)</f>
        <v>290000000</v>
      </c>
      <c r="H41" s="117">
        <v>10</v>
      </c>
      <c r="I41" s="52">
        <f>(Tabla3[[#This Row],[CANT3]]*7500000)</f>
        <v>75000000</v>
      </c>
      <c r="J41" s="68"/>
      <c r="K41" s="52"/>
      <c r="L41" s="68"/>
      <c r="M41" s="52"/>
      <c r="N41" s="68"/>
      <c r="O41" s="52"/>
      <c r="P41" s="68"/>
      <c r="Q41" s="52"/>
      <c r="R41" s="53">
        <f>(Tabla3[[#This Row],[MONTO]]+Tabla3[[#This Row],[MONTO2]]+Tabla3[[#This Row],[MONTO3]]+Tabla3[[#This Row],[MONTO4]]+Tabla3[[#This Row],[MONTO5]]+Tabla3[[#This Row],[MONTO6]]+Tabla3[[#This Row],[MONTO7]])</f>
        <v>575000000</v>
      </c>
      <c r="S41" s="67">
        <f t="shared" si="7"/>
        <v>517500000</v>
      </c>
      <c r="T41" s="55">
        <f t="shared" si="8"/>
        <v>5175000</v>
      </c>
      <c r="U41" s="132">
        <f>(Tabla3[[#This Row],[TOTAL -10%]]*Tabla3[[#This Row],[FIDUCIA]])</f>
        <v>0</v>
      </c>
      <c r="V41" s="132">
        <f>(Tabla3[[#This Row],[TOTAL -10%]]*Tabla3[[#This Row],[NUBE]])</f>
        <v>0</v>
      </c>
      <c r="W41" s="85" t="s">
        <v>37</v>
      </c>
      <c r="X41" s="119"/>
      <c r="Y41" s="84">
        <v>0.01</v>
      </c>
      <c r="Z41" s="120"/>
      <c r="AA41" s="84"/>
      <c r="AB41" s="121">
        <f t="shared" si="9"/>
        <v>0.01</v>
      </c>
      <c r="AC41" s="80" t="str">
        <f t="shared" si="3"/>
        <v>ERROR</v>
      </c>
    </row>
    <row r="42" spans="1:29" ht="31.5" x14ac:dyDescent="0.5">
      <c r="A42" s="69">
        <f t="shared" si="4"/>
        <v>23</v>
      </c>
      <c r="B42" s="116">
        <v>10129309</v>
      </c>
      <c r="C42" s="118" t="s">
        <v>289</v>
      </c>
      <c r="D42" s="117">
        <v>5</v>
      </c>
      <c r="E42" s="52">
        <f>(Tabla3[[#This Row],[CANT]]*5000000)</f>
        <v>25000000</v>
      </c>
      <c r="F42" s="117"/>
      <c r="G42" s="52"/>
      <c r="H42" s="117"/>
      <c r="I42" s="52"/>
      <c r="J42" s="68"/>
      <c r="K42" s="52"/>
      <c r="L42" s="68"/>
      <c r="M42" s="52"/>
      <c r="N42" s="68"/>
      <c r="O42" s="52"/>
      <c r="P42" s="68"/>
      <c r="Q42" s="52"/>
      <c r="R42" s="53">
        <f>(Tabla3[[#This Row],[MONTO]]+Tabla3[[#This Row],[MONTO2]]+Tabla3[[#This Row],[MONTO3]]+Tabla3[[#This Row],[MONTO4]]+Tabla3[[#This Row],[MONTO5]]+Tabla3[[#This Row],[MONTO6]]+Tabla3[[#This Row],[MONTO7]])</f>
        <v>25000000</v>
      </c>
      <c r="S42" s="67">
        <f t="shared" si="7"/>
        <v>22500000</v>
      </c>
      <c r="T42" s="55">
        <f t="shared" si="8"/>
        <v>225000</v>
      </c>
      <c r="U42" s="132">
        <f>(Tabla3[[#This Row],[TOTAL -10%]]*Tabla3[[#This Row],[FIDUCIA]])</f>
        <v>0</v>
      </c>
      <c r="V42" s="132">
        <f>(Tabla3[[#This Row],[TOTAL -10%]]*Tabla3[[#This Row],[NUBE]])</f>
        <v>0</v>
      </c>
      <c r="W42" s="85" t="s">
        <v>37</v>
      </c>
      <c r="X42" s="119"/>
      <c r="Y42" s="84">
        <v>0.01</v>
      </c>
      <c r="Z42" s="120"/>
      <c r="AA42" s="84"/>
      <c r="AB42" s="121">
        <f t="shared" si="9"/>
        <v>0.01</v>
      </c>
      <c r="AC42" s="80" t="str">
        <f t="shared" si="3"/>
        <v>ERROR</v>
      </c>
    </row>
    <row r="43" spans="1:29" ht="31.5" x14ac:dyDescent="0.5">
      <c r="A43" s="69">
        <f t="shared" si="4"/>
        <v>24</v>
      </c>
      <c r="B43" s="116">
        <v>21945693</v>
      </c>
      <c r="C43" s="118" t="s">
        <v>295</v>
      </c>
      <c r="D43" s="117">
        <v>17</v>
      </c>
      <c r="E43" s="52">
        <f>(Tabla3[[#This Row],[CANT]]*5000000)</f>
        <v>85000000</v>
      </c>
      <c r="F43" s="117">
        <v>14</v>
      </c>
      <c r="G43" s="52">
        <f>(Tabla3[[#This Row],[CANT2]]*10000000)</f>
        <v>140000000</v>
      </c>
      <c r="H43" s="117">
        <v>9</v>
      </c>
      <c r="I43" s="52">
        <f>(Tabla3[[#This Row],[CANT3]]*7500000)</f>
        <v>67500000</v>
      </c>
      <c r="J43" s="68"/>
      <c r="K43" s="52"/>
      <c r="L43" s="68"/>
      <c r="M43" s="52"/>
      <c r="N43" s="68"/>
      <c r="O43" s="52"/>
      <c r="P43" s="68"/>
      <c r="Q43" s="52"/>
      <c r="R43" s="53">
        <f>(Tabla3[[#This Row],[MONTO]]+Tabla3[[#This Row],[MONTO2]]+Tabla3[[#This Row],[MONTO3]]+Tabla3[[#This Row],[MONTO4]]+Tabla3[[#This Row],[MONTO5]]+Tabla3[[#This Row],[MONTO6]]+Tabla3[[#This Row],[MONTO7]])</f>
        <v>292500000</v>
      </c>
      <c r="S43" s="67">
        <f t="shared" si="7"/>
        <v>263250000</v>
      </c>
      <c r="T43" s="55">
        <f t="shared" si="8"/>
        <v>2632500</v>
      </c>
      <c r="U43" s="132">
        <f>(Tabla3[[#This Row],[TOTAL -10%]]*Tabla3[[#This Row],[FIDUCIA]])</f>
        <v>0</v>
      </c>
      <c r="V43" s="132">
        <f>(Tabla3[[#This Row],[TOTAL -10%]]*Tabla3[[#This Row],[NUBE]])</f>
        <v>0</v>
      </c>
      <c r="W43" s="85" t="s">
        <v>37</v>
      </c>
      <c r="X43" s="119"/>
      <c r="Y43" s="84">
        <v>0.01</v>
      </c>
      <c r="Z43" s="120"/>
      <c r="AA43" s="84"/>
      <c r="AB43" s="121">
        <f t="shared" si="9"/>
        <v>0.01</v>
      </c>
      <c r="AC43" s="80" t="str">
        <f t="shared" si="3"/>
        <v>ERROR</v>
      </c>
    </row>
    <row r="44" spans="1:29" x14ac:dyDescent="0.25">
      <c r="X44" s="19"/>
      <c r="Y44" s="19"/>
      <c r="Z44" s="19"/>
      <c r="AA44" s="19"/>
      <c r="AB44" s="19"/>
    </row>
    <row r="45" spans="1:29" x14ac:dyDescent="0.25">
      <c r="X45" s="11"/>
    </row>
    <row r="46" spans="1:29" x14ac:dyDescent="0.25">
      <c r="X46" s="11"/>
    </row>
    <row r="47" spans="1:29" x14ac:dyDescent="0.25">
      <c r="X47" s="11"/>
    </row>
    <row r="48" spans="1:29" x14ac:dyDescent="0.25">
      <c r="X48" s="11"/>
    </row>
    <row r="49" spans="24:24" x14ac:dyDescent="0.25">
      <c r="X49" s="11"/>
    </row>
    <row r="50" spans="24:24" x14ac:dyDescent="0.25">
      <c r="X50" s="11"/>
    </row>
    <row r="51" spans="24:24" x14ac:dyDescent="0.25">
      <c r="X51" s="11"/>
    </row>
    <row r="52" spans="24:24" x14ac:dyDescent="0.25">
      <c r="X52" s="11"/>
    </row>
    <row r="53" spans="24:24" x14ac:dyDescent="0.25">
      <c r="X53" s="11"/>
    </row>
    <row r="54" spans="24:24" x14ac:dyDescent="0.25">
      <c r="X54" s="11"/>
    </row>
    <row r="55" spans="24:24" x14ac:dyDescent="0.25">
      <c r="X55" s="11"/>
    </row>
    <row r="56" spans="24:24" x14ac:dyDescent="0.25">
      <c r="X56" s="11"/>
    </row>
    <row r="57" spans="24:24" x14ac:dyDescent="0.25">
      <c r="X57" s="11"/>
    </row>
    <row r="58" spans="24:24" x14ac:dyDescent="0.25">
      <c r="X58" s="11"/>
    </row>
    <row r="59" spans="24:24" x14ac:dyDescent="0.25">
      <c r="X59" s="11"/>
    </row>
    <row r="60" spans="24:24" x14ac:dyDescent="0.25">
      <c r="X60" s="11"/>
    </row>
    <row r="61" spans="24:24" x14ac:dyDescent="0.25">
      <c r="X61" s="11"/>
    </row>
    <row r="62" spans="24:24" x14ac:dyDescent="0.25">
      <c r="X62" s="11"/>
    </row>
    <row r="63" spans="24:24" x14ac:dyDescent="0.25">
      <c r="X63" s="11"/>
    </row>
    <row r="64" spans="24:24" x14ac:dyDescent="0.25">
      <c r="X64" s="11"/>
    </row>
  </sheetData>
  <mergeCells count="9">
    <mergeCell ref="Y18:AA18"/>
    <mergeCell ref="D16:F16"/>
    <mergeCell ref="D18:E18"/>
    <mergeCell ref="F18:G18"/>
    <mergeCell ref="H18:I18"/>
    <mergeCell ref="J18:K18"/>
    <mergeCell ref="L18:M18"/>
    <mergeCell ref="N18:O18"/>
    <mergeCell ref="P18:Q18"/>
  </mergeCells>
  <phoneticPr fontId="59" type="noConversion"/>
  <conditionalFormatting sqref="B18:B19 B44:B194">
    <cfRule type="containsText" dxfId="10" priority="214" operator="containsText" text="PENDIENTE">
      <formula>NOT(ISERROR(SEARCH("PENDIENTE",B18)))</formula>
    </cfRule>
  </conditionalFormatting>
  <conditionalFormatting sqref="B18:B194">
    <cfRule type="containsText" dxfId="9" priority="211" operator="containsText" text="PENDIENTE">
      <formula>NOT(ISERROR(SEARCH("PENDIENTE",B18)))</formula>
    </cfRule>
  </conditionalFormatting>
  <conditionalFormatting sqref="C20:C43">
    <cfRule type="duplicateValues" dxfId="8" priority="9909"/>
  </conditionalFormatting>
  <conditionalFormatting sqref="X16:X17 Y30:AB43">
    <cfRule type="containsText" dxfId="7" priority="454" operator="containsText" text="SI APLICA">
      <formula>NOT(ISERROR(SEARCH("SI APLICA",X16)))</formula>
    </cfRule>
  </conditionalFormatting>
  <conditionalFormatting sqref="Y30:AB43 X16:X17">
    <cfRule type="containsText" dxfId="6" priority="453" operator="containsText" text="NO APLICA">
      <formula>NOT(ISERROR(SEARCH("NO APLICA",X16)))</formula>
    </cfRule>
  </conditionalFormatting>
  <conditionalFormatting sqref="AA16:AA17">
    <cfRule type="containsText" dxfId="5" priority="451" operator="containsText" text="NO APLICA">
      <formula>NOT(ISERROR(SEARCH("NO APLICA",AA16)))</formula>
    </cfRule>
    <cfRule type="containsText" dxfId="4" priority="452" operator="containsText" text="SI APLICA">
      <formula>NOT(ISERROR(SEARCH("SI APLICA",AA16)))</formula>
    </cfRule>
  </conditionalFormatting>
  <conditionalFormatting sqref="AB16:AB17 AC18:AC43">
    <cfRule type="containsText" dxfId="3" priority="447" operator="containsText" text="ERROR">
      <formula>NOT(ISERROR(SEARCH("ERROR",AB16)))</formula>
    </cfRule>
    <cfRule type="containsText" dxfId="2" priority="448" operator="containsText" text="ERROR">
      <formula>NOT(ISERROR(SEARCH("ERROR",AB16)))</formula>
    </cfRule>
  </conditionalFormatting>
  <conditionalFormatting sqref="AB18:AB29 Y20:AA43">
    <cfRule type="containsText" dxfId="1" priority="431" operator="containsText" text="NO APLICA">
      <formula>NOT(ISERROR(SEARCH("NO APLICA",Y18)))</formula>
    </cfRule>
    <cfRule type="containsText" dxfId="0" priority="432" operator="containsText" text="SI APLICA">
      <formula>NOT(ISERROR(SEARCH("SI APLICA",Y18)))</formula>
    </cfRule>
  </conditionalFormatting>
  <dataValidations count="2">
    <dataValidation type="list" allowBlank="1" showInputMessage="1" showErrorMessage="1" sqref="X20:X43" xr:uid="{7F6ADCEB-924F-41E6-A19F-40129A6BAA3D}">
      <formula1>"FIDUCIA/NUBE, FIDUCIA, NUBE"</formula1>
    </dataValidation>
    <dataValidation type="list" allowBlank="1" showInputMessage="1" showErrorMessage="1" sqref="W20:W43" xr:uid="{D8F9D9F6-1A76-4FEF-96A6-1B5EE97DDCA1}">
      <formula1>$W$3:$W$4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5ACE-3E5A-4449-8957-9EE3A4E170B6}">
  <sheetPr codeName="Hoja3"/>
  <dimension ref="A1:R31"/>
  <sheetViews>
    <sheetView showGridLines="0" topLeftCell="C1" zoomScale="70" zoomScaleNormal="70" workbookViewId="0">
      <selection activeCell="M18" sqref="M18"/>
    </sheetView>
  </sheetViews>
  <sheetFormatPr baseColWidth="10" defaultRowHeight="12.75" x14ac:dyDescent="0.2"/>
  <cols>
    <col min="4" max="4" width="3.5703125" customWidth="1"/>
    <col min="5" max="5" width="35.7109375" bestFit="1" customWidth="1"/>
    <col min="6" max="6" width="17" customWidth="1"/>
    <col min="7" max="7" width="63.28515625" customWidth="1"/>
    <col min="8" max="8" width="2.42578125" customWidth="1"/>
    <col min="9" max="9" width="36.5703125" customWidth="1"/>
    <col min="10" max="10" width="3" customWidth="1"/>
    <col min="12" max="12" width="14" bestFit="1" customWidth="1"/>
    <col min="13" max="13" width="11.5703125" customWidth="1"/>
    <col min="14" max="14" width="10.140625" customWidth="1"/>
    <col min="15" max="15" width="29.140625" customWidth="1"/>
    <col min="16" max="16" width="22" customWidth="1"/>
    <col min="17" max="17" width="19.5703125" customWidth="1"/>
    <col min="18" max="18" width="12.140625" customWidth="1"/>
    <col min="19" max="19" width="11.28515625" customWidth="1"/>
  </cols>
  <sheetData>
    <row r="1" spans="1:18" x14ac:dyDescent="0.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8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8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166" t="s">
        <v>11</v>
      </c>
      <c r="P3" s="166"/>
    </row>
    <row r="4" spans="1:18" ht="15.75" x14ac:dyDescent="0.25">
      <c r="A4" s="27"/>
      <c r="B4" s="27"/>
      <c r="C4" s="27"/>
      <c r="D4" s="6"/>
      <c r="E4" s="6"/>
      <c r="F4" s="6"/>
      <c r="G4" s="6"/>
      <c r="H4" s="6"/>
      <c r="I4" s="6"/>
      <c r="J4" s="6"/>
      <c r="K4" s="6"/>
      <c r="L4" s="27"/>
      <c r="M4" s="27"/>
      <c r="N4" s="27"/>
      <c r="O4" s="165">
        <f ca="1">TODAY()</f>
        <v>46287</v>
      </c>
      <c r="P4" s="165"/>
    </row>
    <row r="5" spans="1:18" ht="34.5" customHeight="1" thickBot="1" x14ac:dyDescent="0.3">
      <c r="A5" s="27"/>
      <c r="B5" s="27"/>
      <c r="C5" s="27"/>
      <c r="D5" s="6"/>
      <c r="E5" s="28" t="s">
        <v>18</v>
      </c>
      <c r="F5" s="167" t="str">
        <f>('MATRIZ LISTADO'!D16)</f>
        <v>EMILY ZULUAGA</v>
      </c>
      <c r="G5" s="167"/>
      <c r="H5" s="167"/>
      <c r="I5" s="6"/>
      <c r="J5" s="6"/>
      <c r="K5" s="6"/>
      <c r="L5" s="3"/>
      <c r="M5" s="3"/>
      <c r="N5" s="3"/>
      <c r="O5" s="171" t="s">
        <v>80</v>
      </c>
      <c r="P5" s="171"/>
      <c r="Q5" s="102" t="s">
        <v>79</v>
      </c>
      <c r="R5" s="3"/>
    </row>
    <row r="6" spans="1:18" ht="27" thickBot="1" x14ac:dyDescent="0.35">
      <c r="A6" s="27"/>
      <c r="B6" s="27"/>
      <c r="C6" s="27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106">
        <v>3144.14</v>
      </c>
      <c r="P6" s="5"/>
      <c r="Q6" s="3"/>
      <c r="R6" s="3"/>
    </row>
    <row r="7" spans="1:18" ht="36" x14ac:dyDescent="0.55000000000000004">
      <c r="A7" s="27"/>
      <c r="B7" s="27"/>
      <c r="C7" s="27"/>
      <c r="D7" s="6"/>
      <c r="E7" s="24" t="s">
        <v>27</v>
      </c>
      <c r="F7" s="168" t="str">
        <f>IFERROR(VLOOKUP(F8,'MATRIZ LISTADO'!B19:C43,2,0),"")</f>
        <v>JULIANA GALVEZ ZAPATA</v>
      </c>
      <c r="G7" s="169"/>
      <c r="H7" s="169"/>
      <c r="I7" s="61"/>
      <c r="J7" s="61"/>
      <c r="K7" s="6"/>
      <c r="L7" s="172" t="str">
        <f>('RESUMEN INDIVIDUAL'!F7)</f>
        <v>JULIANA GALVEZ ZAPATA</v>
      </c>
      <c r="M7" s="172"/>
      <c r="N7" s="172"/>
      <c r="O7" s="172"/>
      <c r="P7" s="172"/>
      <c r="Q7" s="172"/>
      <c r="R7" s="3"/>
    </row>
    <row r="8" spans="1:18" ht="34.5" thickBot="1" x14ac:dyDescent="0.55000000000000004">
      <c r="A8" s="27"/>
      <c r="B8" s="27"/>
      <c r="C8" s="27"/>
      <c r="D8" s="6"/>
      <c r="E8" s="25" t="s">
        <v>28</v>
      </c>
      <c r="F8" s="170">
        <v>1088248624</v>
      </c>
      <c r="G8" s="170"/>
      <c r="H8" s="170"/>
      <c r="I8" s="19"/>
      <c r="J8" s="19"/>
      <c r="K8" s="6"/>
      <c r="L8" s="174" t="s">
        <v>82</v>
      </c>
      <c r="M8" s="174"/>
      <c r="N8" s="174"/>
      <c r="O8" s="174"/>
      <c r="P8" s="173" t="s">
        <v>16</v>
      </c>
      <c r="Q8" s="173"/>
      <c r="R8" s="173"/>
    </row>
    <row r="9" spans="1:18" ht="28.5" customHeight="1" x14ac:dyDescent="0.55000000000000004">
      <c r="A9" s="27"/>
      <c r="B9" s="27"/>
      <c r="C9" s="27"/>
      <c r="D9" s="6"/>
      <c r="E9" s="25"/>
      <c r="F9" s="38"/>
      <c r="G9" s="38"/>
      <c r="H9" s="19"/>
      <c r="I9" s="19"/>
      <c r="J9" s="19"/>
      <c r="K9" s="6"/>
      <c r="L9" s="155" t="s">
        <v>17</v>
      </c>
      <c r="M9" s="155"/>
      <c r="N9" s="155"/>
      <c r="O9" s="103">
        <v>-0.1</v>
      </c>
      <c r="P9" s="162">
        <f>(G28*O6)</f>
        <v>311269860000</v>
      </c>
      <c r="Q9" s="163"/>
      <c r="R9" s="164"/>
    </row>
    <row r="10" spans="1:18" ht="30" customHeight="1" x14ac:dyDescent="0.5">
      <c r="A10" s="27"/>
      <c r="B10" s="27"/>
      <c r="C10" s="27"/>
      <c r="D10" s="29"/>
      <c r="E10" s="17"/>
      <c r="F10" s="18"/>
      <c r="G10" s="18"/>
      <c r="H10" s="18"/>
      <c r="I10" s="18"/>
      <c r="J10" s="23"/>
      <c r="K10" s="6"/>
      <c r="L10" s="154">
        <v>0.01</v>
      </c>
      <c r="M10" s="154"/>
      <c r="N10" s="154"/>
      <c r="O10" s="104" t="s">
        <v>74</v>
      </c>
      <c r="P10" s="159">
        <f>(I14*O6)</f>
        <v>3112698600</v>
      </c>
      <c r="Q10" s="160"/>
      <c r="R10" s="161"/>
    </row>
    <row r="11" spans="1:18" ht="33.75" x14ac:dyDescent="0.5">
      <c r="A11" s="27"/>
      <c r="B11" s="27"/>
      <c r="C11" s="27"/>
      <c r="D11" s="29"/>
      <c r="E11" s="17"/>
      <c r="F11" s="99" t="s">
        <v>29</v>
      </c>
      <c r="G11" s="99" t="s">
        <v>36</v>
      </c>
      <c r="H11" s="23"/>
      <c r="I11" s="93" t="s">
        <v>78</v>
      </c>
      <c r="J11" s="23"/>
      <c r="K11" s="6"/>
      <c r="L11" s="154">
        <f>IFERROR(VLOOKUP(F8,'MATRIZ LISTADO'!B19:AB43,25,0),"")</f>
        <v>0</v>
      </c>
      <c r="M11" s="154"/>
      <c r="N11" s="154"/>
      <c r="O11" s="104" t="s">
        <v>39</v>
      </c>
      <c r="P11" s="159">
        <f>(I18*O6)</f>
        <v>0</v>
      </c>
      <c r="Q11" s="160"/>
      <c r="R11" s="161"/>
    </row>
    <row r="12" spans="1:18" ht="34.5" thickBot="1" x14ac:dyDescent="0.55000000000000004">
      <c r="A12" s="27"/>
      <c r="B12" s="27"/>
      <c r="C12" s="27"/>
      <c r="D12" s="29"/>
      <c r="E12" s="35" t="s">
        <v>13</v>
      </c>
      <c r="F12" s="31">
        <f>IFERROR(VLOOKUP($F$8,Tabla3[[#All],[CC-ID-DNI]:[CANT]],3,0),"")</f>
        <v>4</v>
      </c>
      <c r="G12" s="32">
        <f>IFERROR(VLOOKUP($F$8,Tabla3[[#All],[CC-ID-DNI]:[1% PAGO INICIAL]],4,0),"")</f>
        <v>20000000</v>
      </c>
      <c r="H12" s="23"/>
      <c r="I12" s="100" t="s">
        <v>81</v>
      </c>
      <c r="J12" s="23"/>
      <c r="K12" s="6"/>
      <c r="L12" s="154">
        <f>IFERROR(VLOOKUP(F8,'MATRIZ LISTADO'!B19:AB43,26,0),"")</f>
        <v>0</v>
      </c>
      <c r="M12" s="154"/>
      <c r="N12" s="154"/>
      <c r="O12" s="105" t="s">
        <v>40</v>
      </c>
      <c r="P12" s="156">
        <f>(I22*O6)</f>
        <v>0</v>
      </c>
      <c r="Q12" s="157"/>
      <c r="R12" s="158"/>
    </row>
    <row r="13" spans="1:18" ht="9.75" customHeight="1" thickBot="1" x14ac:dyDescent="0.3">
      <c r="A13" s="27"/>
      <c r="B13" s="27"/>
      <c r="C13" s="27"/>
      <c r="D13" s="29"/>
      <c r="E13" s="36"/>
      <c r="F13" s="30"/>
      <c r="G13" s="18"/>
      <c r="H13" s="23"/>
      <c r="I13" s="23"/>
      <c r="J13" s="23"/>
      <c r="K13" s="6"/>
      <c r="L13" s="27"/>
      <c r="M13" s="27"/>
      <c r="N13" s="27"/>
      <c r="O13" s="27"/>
    </row>
    <row r="14" spans="1:18" ht="34.5" thickBot="1" x14ac:dyDescent="0.55000000000000004">
      <c r="A14" s="27"/>
      <c r="B14" s="27"/>
      <c r="C14" s="27"/>
      <c r="D14" s="29"/>
      <c r="E14" s="35" t="s">
        <v>25</v>
      </c>
      <c r="F14" s="31">
        <f>IFERROR(VLOOKUP($F$8,Tabla3[[CC-ID-DNI]:[1% PAGO INICIAL]],5,0),"")</f>
        <v>6</v>
      </c>
      <c r="G14" s="32">
        <f>IFERROR(VLOOKUP($F$8,Tabla3[[#All],[CC-ID-DNI]:[1% PAGO INICIAL]],6,0),"")</f>
        <v>60000000</v>
      </c>
      <c r="H14" s="23"/>
      <c r="I14" s="87">
        <f>(G28*1%)</f>
        <v>990000</v>
      </c>
      <c r="J14" s="23"/>
      <c r="K14" s="6"/>
      <c r="L14" s="27"/>
      <c r="M14" s="27"/>
      <c r="N14" s="27"/>
      <c r="O14" s="27"/>
    </row>
    <row r="15" spans="1:18" ht="9.75" customHeight="1" x14ac:dyDescent="0.25">
      <c r="A15" s="27"/>
      <c r="B15" s="27"/>
      <c r="C15" s="27"/>
      <c r="D15" s="29"/>
      <c r="E15" s="36"/>
      <c r="F15" s="30"/>
      <c r="G15" s="18"/>
      <c r="H15" s="23"/>
      <c r="I15" s="18"/>
      <c r="J15" s="23"/>
      <c r="K15" s="6"/>
      <c r="L15" s="27"/>
      <c r="M15" s="27"/>
      <c r="N15" s="27"/>
      <c r="O15" s="27"/>
    </row>
    <row r="16" spans="1:18" ht="31.5" x14ac:dyDescent="0.5">
      <c r="A16" s="27"/>
      <c r="B16" s="27"/>
      <c r="C16" s="27"/>
      <c r="D16" s="29"/>
      <c r="E16" s="35" t="s">
        <v>14</v>
      </c>
      <c r="F16" s="31">
        <f>IFERROR(VLOOKUP($F$8,Tabla3[[CC-ID-DNI]:[1% PAGO INICIAL]],7,0),"")</f>
        <v>4</v>
      </c>
      <c r="G16" s="32">
        <f>IFERROR(VLOOKUP($F$8,Tabla3[[#All],[CC-ID-DNI]:[1% PAGO INICIAL]],8,0),"")</f>
        <v>30000000</v>
      </c>
      <c r="H16" s="23"/>
      <c r="I16" s="101" t="s">
        <v>39</v>
      </c>
      <c r="J16" s="23"/>
      <c r="K16" s="6"/>
      <c r="L16" s="27"/>
      <c r="M16" s="27"/>
      <c r="N16" s="27"/>
      <c r="O16" s="27"/>
    </row>
    <row r="17" spans="1:15" ht="9.75" customHeight="1" thickBot="1" x14ac:dyDescent="0.4">
      <c r="A17" s="27"/>
      <c r="B17" s="27"/>
      <c r="C17" s="27"/>
      <c r="D17" s="29"/>
      <c r="E17" s="36"/>
      <c r="F17" s="30"/>
      <c r="G17" s="18"/>
      <c r="H17" s="23"/>
      <c r="I17" s="33"/>
      <c r="J17" s="23"/>
      <c r="K17" s="6"/>
      <c r="L17" s="27"/>
      <c r="M17" s="27"/>
      <c r="N17" s="27"/>
      <c r="O17" s="27"/>
    </row>
    <row r="18" spans="1:15" ht="32.25" thickBot="1" x14ac:dyDescent="0.55000000000000004">
      <c r="A18" s="27"/>
      <c r="B18" s="27"/>
      <c r="C18" s="27"/>
      <c r="D18" s="29"/>
      <c r="E18" s="35" t="s">
        <v>26</v>
      </c>
      <c r="F18" s="31">
        <f>IFERROR(VLOOKUP($F$8,Tabla3[[CC-ID-DNI]:[1% PAGO INICIAL]],9,0),"")</f>
        <v>0</v>
      </c>
      <c r="G18" s="32">
        <f>IFERROR(VLOOKUP($F$8,Tabla3[[#All],[CC-ID-DNI]:[1% PAGO INICIAL]],10,0),"")</f>
        <v>0</v>
      </c>
      <c r="H18" s="23"/>
      <c r="I18" s="88">
        <f>IFERROR(VLOOKUP(F8,Tabla3[[#All],[CC-ID-DNI]:[% NUBE]],20,0),"")</f>
        <v>0</v>
      </c>
      <c r="J18" s="23"/>
      <c r="K18" s="6"/>
      <c r="L18" s="27"/>
      <c r="M18" s="27"/>
      <c r="N18" s="27"/>
      <c r="O18" s="27"/>
    </row>
    <row r="19" spans="1:15" ht="9.75" customHeight="1" x14ac:dyDescent="0.45">
      <c r="A19" s="27"/>
      <c r="B19" s="27"/>
      <c r="C19" s="27"/>
      <c r="D19" s="29"/>
      <c r="E19" s="36"/>
      <c r="F19" s="30"/>
      <c r="G19" s="18"/>
      <c r="H19" s="34"/>
      <c r="I19" s="29"/>
      <c r="J19" s="23"/>
      <c r="K19" s="6"/>
      <c r="L19" s="27"/>
      <c r="M19" s="27"/>
      <c r="N19" s="27"/>
      <c r="O19" s="27"/>
    </row>
    <row r="20" spans="1:15" ht="31.5" x14ac:dyDescent="0.5">
      <c r="A20" s="27"/>
      <c r="B20" s="27"/>
      <c r="C20" s="27"/>
      <c r="D20" s="29"/>
      <c r="E20" s="35" t="s">
        <v>108</v>
      </c>
      <c r="F20" s="31">
        <f>IFERROR(VLOOKUP($F$8,Tabla3[[CC-ID-DNI]:[1% PAGO INICIAL]],11,0),"")</f>
        <v>0</v>
      </c>
      <c r="G20" s="32">
        <f>IFERROR(VLOOKUP($F$8,Tabla3[[#All],[CC-ID-DNI]:[1% PAGO INICIAL]],12,0),"")</f>
        <v>0</v>
      </c>
      <c r="H20" s="18"/>
      <c r="I20" s="101" t="s">
        <v>40</v>
      </c>
      <c r="J20" s="23"/>
      <c r="K20" s="6"/>
      <c r="L20" s="27"/>
      <c r="M20" s="27"/>
      <c r="N20" s="27"/>
      <c r="O20" s="27"/>
    </row>
    <row r="21" spans="1:15" ht="9.75" customHeight="1" thickBot="1" x14ac:dyDescent="0.5">
      <c r="A21" s="27"/>
      <c r="B21" s="27"/>
      <c r="C21" s="27"/>
      <c r="D21" s="29"/>
      <c r="E21" s="36"/>
      <c r="F21" s="30"/>
      <c r="G21" s="18"/>
      <c r="H21" s="34"/>
      <c r="I21" s="33"/>
      <c r="J21" s="23"/>
      <c r="K21" s="6"/>
      <c r="L21" s="27"/>
      <c r="M21" s="27"/>
      <c r="N21" s="27"/>
      <c r="O21" s="27"/>
    </row>
    <row r="22" spans="1:15" ht="32.25" thickBot="1" x14ac:dyDescent="0.55000000000000004">
      <c r="A22" s="27"/>
      <c r="B22" s="27"/>
      <c r="C22" s="27"/>
      <c r="D22" s="29"/>
      <c r="E22" s="35" t="s">
        <v>109</v>
      </c>
      <c r="F22" s="31">
        <f>IFERROR(VLOOKUP($F$8,Tabla3[[CC-ID-DNI]:[1% PAGO INICIAL]],13,0),"")</f>
        <v>0</v>
      </c>
      <c r="G22" s="32">
        <f>IFERROR(VLOOKUP($F$8,Tabla3[[#All],[CC-ID-DNI]:[1% PAGO INICIAL]],14,0),"")</f>
        <v>0</v>
      </c>
      <c r="H22" s="18"/>
      <c r="I22" s="88">
        <f>IFERROR(VLOOKUP(F8,Tabla3[[#All],[CC-ID-DNI]:[% NUBE]],21,0),"")</f>
        <v>0</v>
      </c>
      <c r="J22" s="23"/>
      <c r="K22" s="6"/>
      <c r="L22" s="27"/>
      <c r="M22" s="27"/>
      <c r="N22" s="27"/>
      <c r="O22" s="27"/>
    </row>
    <row r="23" spans="1:15" ht="9.75" customHeight="1" x14ac:dyDescent="0.45">
      <c r="A23" s="27"/>
      <c r="B23" s="27"/>
      <c r="C23" s="27"/>
      <c r="D23" s="29"/>
      <c r="E23" s="36"/>
      <c r="F23" s="30"/>
      <c r="G23" s="18"/>
      <c r="H23" s="37"/>
      <c r="I23" s="23"/>
      <c r="J23" s="23"/>
      <c r="K23" s="6"/>
      <c r="L23" s="27"/>
      <c r="M23" s="27"/>
      <c r="N23" s="27"/>
      <c r="O23" s="27"/>
    </row>
    <row r="24" spans="1:15" ht="31.5" x14ac:dyDescent="0.5">
      <c r="A24" s="27"/>
      <c r="B24" s="27"/>
      <c r="C24" s="27"/>
      <c r="D24" s="29"/>
      <c r="E24" s="35" t="s">
        <v>110</v>
      </c>
      <c r="F24" s="31">
        <f>IFERROR(VLOOKUP($F$8,Tabla3[[CC-ID-DNI]:[1% PAGO INICIAL]],15,0),"")</f>
        <v>0</v>
      </c>
      <c r="G24" s="32">
        <f>IFERROR(VLOOKUP($F$8,Tabla3[[#All],[CC-ID-DNI]:[1% PAGO INICIAL]],16,0),"")</f>
        <v>0</v>
      </c>
      <c r="H24" s="29"/>
      <c r="I24" s="133"/>
      <c r="J24" s="23"/>
      <c r="K24" s="6"/>
      <c r="L24" s="27"/>
      <c r="M24" s="27"/>
      <c r="N24" s="27"/>
      <c r="O24" s="27"/>
    </row>
    <row r="25" spans="1:15" ht="9.75" customHeight="1" thickBot="1" x14ac:dyDescent="0.3">
      <c r="A25" s="27"/>
      <c r="B25" s="27"/>
      <c r="C25" s="27"/>
      <c r="D25" s="29"/>
      <c r="E25" s="133"/>
      <c r="F25" s="133"/>
      <c r="G25" s="133"/>
      <c r="H25" s="29"/>
      <c r="I25" s="133"/>
      <c r="J25" s="23"/>
      <c r="K25" s="6"/>
      <c r="L25" s="27"/>
      <c r="M25" s="27"/>
      <c r="N25" s="27"/>
      <c r="O25" s="27"/>
    </row>
    <row r="26" spans="1:15" ht="35.25" customHeight="1" x14ac:dyDescent="0.5">
      <c r="A26" s="27"/>
      <c r="B26" s="27"/>
      <c r="C26" s="27"/>
      <c r="D26" s="29"/>
      <c r="E26" s="94" t="s">
        <v>12</v>
      </c>
      <c r="F26" s="70"/>
      <c r="G26" s="97" t="s">
        <v>21</v>
      </c>
      <c r="H26" s="134"/>
      <c r="I26" s="133"/>
      <c r="J26" s="134"/>
      <c r="K26" s="6"/>
      <c r="L26" s="27"/>
      <c r="M26" s="27"/>
      <c r="N26" s="27"/>
      <c r="O26" s="27"/>
    </row>
    <row r="27" spans="1:15" ht="12.75" customHeight="1" x14ac:dyDescent="0.25">
      <c r="A27" s="27"/>
      <c r="B27" s="27"/>
      <c r="C27" s="27"/>
      <c r="D27" s="133"/>
      <c r="E27" s="23"/>
      <c r="F27" s="89"/>
      <c r="G27" s="95"/>
      <c r="H27" s="134"/>
      <c r="I27" s="134"/>
      <c r="J27" s="134"/>
      <c r="K27" s="27"/>
      <c r="L27" s="27"/>
      <c r="M27" s="27"/>
      <c r="N27" s="27"/>
      <c r="O27" s="27"/>
    </row>
    <row r="28" spans="1:15" ht="36" customHeight="1" thickBot="1" x14ac:dyDescent="0.55000000000000004">
      <c r="A28" s="27"/>
      <c r="B28" s="27"/>
      <c r="C28" s="27"/>
      <c r="D28" s="133"/>
      <c r="E28" s="96">
        <f>SUM(G12:G24)</f>
        <v>110000000</v>
      </c>
      <c r="F28" s="70"/>
      <c r="G28" s="98">
        <f>E28-(E28*10%)</f>
        <v>99000000</v>
      </c>
      <c r="H28" s="134"/>
      <c r="I28" s="133"/>
      <c r="J28" s="134"/>
      <c r="K28" s="27"/>
      <c r="L28" s="27"/>
      <c r="M28" s="27"/>
      <c r="N28" s="27"/>
      <c r="O28" s="27"/>
    </row>
    <row r="29" spans="1:15" ht="12.75" customHeight="1" x14ac:dyDescent="0.25">
      <c r="D29" s="133"/>
      <c r="E29" s="133"/>
      <c r="F29" s="133"/>
      <c r="G29" s="133"/>
      <c r="H29" s="134"/>
      <c r="I29" s="133"/>
      <c r="J29" s="134"/>
      <c r="K29" s="27"/>
      <c r="L29" s="27"/>
      <c r="M29" s="27"/>
      <c r="N29" s="27"/>
      <c r="O29" s="27"/>
    </row>
    <row r="30" spans="1:15" ht="30.75" customHeight="1" x14ac:dyDescent="0.25">
      <c r="E30" s="92"/>
      <c r="F30" s="92"/>
      <c r="G30" s="92"/>
      <c r="H30" s="92"/>
      <c r="I30" s="91"/>
      <c r="J30" s="92"/>
    </row>
    <row r="31" spans="1:15" ht="26.25" customHeight="1" x14ac:dyDescent="0.5">
      <c r="E31" s="92"/>
      <c r="F31" s="92"/>
      <c r="G31" s="92"/>
      <c r="H31" s="92"/>
      <c r="I31" s="90"/>
      <c r="J31" s="92"/>
    </row>
  </sheetData>
  <mergeCells count="17">
    <mergeCell ref="O4:P4"/>
    <mergeCell ref="O3:P3"/>
    <mergeCell ref="F5:H5"/>
    <mergeCell ref="F7:H7"/>
    <mergeCell ref="F8:H8"/>
    <mergeCell ref="O5:P5"/>
    <mergeCell ref="L7:Q7"/>
    <mergeCell ref="P8:R8"/>
    <mergeCell ref="L8:O8"/>
    <mergeCell ref="L11:N11"/>
    <mergeCell ref="L9:N9"/>
    <mergeCell ref="L12:N12"/>
    <mergeCell ref="L10:N10"/>
    <mergeCell ref="P12:R12"/>
    <mergeCell ref="P11:R11"/>
    <mergeCell ref="P10:R10"/>
    <mergeCell ref="P9:R9"/>
  </mergeCells>
  <hyperlinks>
    <hyperlink ref="Q5" r:id="rId1" xr:uid="{A581DF91-83CF-4D86-861B-B025E71568D8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CEC89-E83F-4A8F-99C8-96C19943B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MATRIZ LISTADO</vt:lpstr>
      <vt:lpstr>RESUMEN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Carolina Diaz Suarez</cp:lastModifiedBy>
  <dcterms:created xsi:type="dcterms:W3CDTF">2026-02-10T00:01:49Z</dcterms:created>
  <dcterms:modified xsi:type="dcterms:W3CDTF">2026-09-22T23:55:44Z</dcterms:modified>
</cp:coreProperties>
</file>