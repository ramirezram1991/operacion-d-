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Usuario\Documents\1. NEGOCIOS\2. OPERACION DRAGON\2. GESTIÓN DOCUMENTAL\1. GRUPO 1\MATRICES\"/>
    </mc:Choice>
  </mc:AlternateContent>
  <xr:revisionPtr revIDLastSave="0" documentId="13_ncr:1_{F91FFE2E-9B9B-48C1-8CBE-2BC03AF0C08B}" xr6:coauthVersionLast="47" xr6:coauthVersionMax="47" xr10:uidLastSave="{00000000-0000-0000-0000-000000000000}"/>
  <bookViews>
    <workbookView xWindow="-120" yWindow="-120" windowWidth="29040" windowHeight="15720" xr2:uid="{48824FEC-42D6-4632-9118-8ADC756F6732}"/>
  </bookViews>
  <sheets>
    <sheet name="DATOS GENERALES" sheetId="1" r:id="rId1"/>
    <sheet name="MATRIZ LISTADO" sheetId="3" r:id="rId2"/>
    <sheet name="RESUMEN INDIVIDUAL" sheetId="4" r:id="rId3"/>
  </sheets>
  <definedNames>
    <definedName name="_xlnm._FilterDatabase" localSheetId="0" hidden="1">'DATOS GENERALES'!$A$1:$T$193</definedName>
    <definedName name="_xlnm._FilterDatabase" localSheetId="1" hidden="1">'MATRIZ LISTADO'!$A$19:$DC$19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C26" i="3" l="1"/>
  <c r="A25" i="3"/>
  <c r="A26" i="3"/>
  <c r="A27" i="3"/>
  <c r="A28" i="3"/>
  <c r="A29" i="3"/>
  <c r="A30" i="3"/>
  <c r="A31" i="3"/>
  <c r="A32" i="3"/>
  <c r="A33" i="3"/>
  <c r="A34" i="3"/>
  <c r="A35" i="3"/>
  <c r="A36" i="3"/>
  <c r="A37" i="3" s="1"/>
  <c r="A38" i="3" s="1"/>
  <c r="A39" i="3" s="1"/>
  <c r="A40" i="3" s="1"/>
  <c r="A41" i="3" s="1"/>
  <c r="A42" i="3" s="1"/>
  <c r="A43" i="3" s="1"/>
  <c r="A44" i="3" s="1"/>
  <c r="A45" i="3" s="1"/>
  <c r="A46" i="3" s="1"/>
  <c r="A47" i="3" s="1"/>
  <c r="A48" i="3" s="1"/>
  <c r="A49" i="3" s="1"/>
  <c r="A50" i="3" s="1"/>
  <c r="A51" i="3" s="1"/>
  <c r="A52" i="3" s="1"/>
  <c r="A53" i="3" s="1"/>
  <c r="A54" i="3" s="1"/>
  <c r="A55" i="3" s="1"/>
  <c r="A56" i="3" s="1"/>
  <c r="A57" i="3" s="1"/>
  <c r="A58" i="3" s="1"/>
  <c r="A59" i="3" s="1"/>
  <c r="A60" i="3" s="1"/>
  <c r="A61" i="3" s="1"/>
  <c r="A62" i="3" s="1"/>
  <c r="A63" i="3" s="1"/>
  <c r="A64" i="3" s="1"/>
  <c r="A65" i="3" s="1"/>
  <c r="A66" i="3" s="1"/>
  <c r="A67" i="3" s="1"/>
  <c r="A68" i="3" s="1"/>
  <c r="A69" i="3" s="1"/>
  <c r="A70" i="3" s="1"/>
  <c r="A71" i="3" s="1"/>
  <c r="A72" i="3" s="1"/>
  <c r="A73" i="3" s="1"/>
  <c r="A74" i="3" s="1"/>
  <c r="A75" i="3" s="1"/>
  <c r="E25" i="3"/>
  <c r="R25" i="3" s="1"/>
  <c r="S25" i="3" s="1"/>
  <c r="AB25" i="3"/>
  <c r="AC25" i="3" s="1"/>
  <c r="E26" i="3"/>
  <c r="R26" i="3" s="1"/>
  <c r="S26" i="3" s="1"/>
  <c r="AB26" i="3"/>
  <c r="F18" i="4"/>
  <c r="G18" i="4" s="1"/>
  <c r="T26" i="3" l="1"/>
  <c r="U26" i="3"/>
  <c r="V26" i="3"/>
  <c r="T25" i="3"/>
  <c r="U25" i="3"/>
  <c r="V25" i="3"/>
  <c r="R21" i="3"/>
  <c r="E73" i="3"/>
  <c r="AB73" i="3"/>
  <c r="R73" i="3" l="1"/>
  <c r="S73" i="3" s="1"/>
  <c r="O62" i="3"/>
  <c r="U73" i="3" l="1"/>
  <c r="V73" i="3"/>
  <c r="T73" i="3"/>
  <c r="O22" i="3"/>
  <c r="E22" i="3"/>
  <c r="E23" i="3"/>
  <c r="R23" i="3" s="1"/>
  <c r="E24" i="3"/>
  <c r="R24" i="3" s="1"/>
  <c r="E27" i="3"/>
  <c r="R27" i="3" s="1"/>
  <c r="E28" i="3"/>
  <c r="R28" i="3" s="1"/>
  <c r="E29" i="3"/>
  <c r="R29" i="3" s="1"/>
  <c r="E30" i="3"/>
  <c r="R30" i="3" s="1"/>
  <c r="E31" i="3"/>
  <c r="R31" i="3" s="1"/>
  <c r="E32" i="3"/>
  <c r="R32" i="3" s="1"/>
  <c r="E33" i="3"/>
  <c r="R33" i="3" s="1"/>
  <c r="E34" i="3"/>
  <c r="R34" i="3" s="1"/>
  <c r="E35" i="3"/>
  <c r="R35" i="3" s="1"/>
  <c r="E36" i="3"/>
  <c r="R36" i="3" s="1"/>
  <c r="E37" i="3"/>
  <c r="R37" i="3" s="1"/>
  <c r="E38" i="3"/>
  <c r="R38" i="3" s="1"/>
  <c r="E39" i="3"/>
  <c r="R39" i="3" s="1"/>
  <c r="E40" i="3"/>
  <c r="R40" i="3" s="1"/>
  <c r="E41" i="3"/>
  <c r="R41" i="3" s="1"/>
  <c r="E42" i="3"/>
  <c r="R42" i="3" s="1"/>
  <c r="E43" i="3"/>
  <c r="R43" i="3" s="1"/>
  <c r="E44" i="3"/>
  <c r="R44" i="3" s="1"/>
  <c r="E45" i="3"/>
  <c r="R45" i="3" s="1"/>
  <c r="E46" i="3"/>
  <c r="R46" i="3" s="1"/>
  <c r="E47" i="3"/>
  <c r="R47" i="3" s="1"/>
  <c r="E48" i="3"/>
  <c r="R48" i="3" s="1"/>
  <c r="E49" i="3"/>
  <c r="R49" i="3" s="1"/>
  <c r="E50" i="3"/>
  <c r="R50" i="3" s="1"/>
  <c r="E51" i="3"/>
  <c r="R51" i="3" s="1"/>
  <c r="E52" i="3"/>
  <c r="R52" i="3" s="1"/>
  <c r="E53" i="3"/>
  <c r="R53" i="3" s="1"/>
  <c r="E54" i="3"/>
  <c r="R54" i="3" s="1"/>
  <c r="E55" i="3"/>
  <c r="R55" i="3" s="1"/>
  <c r="E56" i="3"/>
  <c r="R56" i="3" s="1"/>
  <c r="E57" i="3"/>
  <c r="R57" i="3" s="1"/>
  <c r="E58" i="3"/>
  <c r="R58" i="3" s="1"/>
  <c r="E59" i="3"/>
  <c r="R59" i="3" s="1"/>
  <c r="E60" i="3"/>
  <c r="R60" i="3" s="1"/>
  <c r="E61" i="3"/>
  <c r="R61" i="3" s="1"/>
  <c r="E62" i="3"/>
  <c r="R62" i="3" s="1"/>
  <c r="E63" i="3"/>
  <c r="R63" i="3" s="1"/>
  <c r="E64" i="3"/>
  <c r="R64" i="3" s="1"/>
  <c r="E65" i="3"/>
  <c r="R65" i="3" s="1"/>
  <c r="E66" i="3"/>
  <c r="R66" i="3" s="1"/>
  <c r="E67" i="3"/>
  <c r="R67" i="3" s="1"/>
  <c r="E68" i="3"/>
  <c r="R68" i="3" s="1"/>
  <c r="E69" i="3"/>
  <c r="R69" i="3" s="1"/>
  <c r="E70" i="3"/>
  <c r="R70" i="3" s="1"/>
  <c r="E71" i="3"/>
  <c r="R71" i="3" s="1"/>
  <c r="E72" i="3"/>
  <c r="R72" i="3" s="1"/>
  <c r="E74" i="3"/>
  <c r="R74" i="3" s="1"/>
  <c r="E75" i="3"/>
  <c r="R75" i="3" s="1"/>
  <c r="E20" i="3"/>
  <c r="R20" i="3" s="1"/>
  <c r="R22" i="3" l="1"/>
  <c r="S48" i="3"/>
  <c r="S70" i="3"/>
  <c r="S36" i="3"/>
  <c r="O4" i="4"/>
  <c r="L12" i="4"/>
  <c r="L11" i="4"/>
  <c r="F20" i="4"/>
  <c r="G20" i="4" s="1"/>
  <c r="A21" i="3"/>
  <c r="A22" i="3" s="1"/>
  <c r="A23" i="3" s="1"/>
  <c r="A24" i="3" s="1"/>
  <c r="F7" i="4"/>
  <c r="AB36" i="3"/>
  <c r="AC36" i="3" s="1"/>
  <c r="AB37" i="3"/>
  <c r="AC37" i="3" s="1"/>
  <c r="AB38" i="3"/>
  <c r="AC38" i="3" s="1"/>
  <c r="AB39" i="3"/>
  <c r="AC39" i="3" s="1"/>
  <c r="AB40" i="3"/>
  <c r="AC40" i="3" s="1"/>
  <c r="AB41" i="3"/>
  <c r="AC41" i="3" s="1"/>
  <c r="AB42" i="3"/>
  <c r="AC42" i="3" s="1"/>
  <c r="AB43" i="3"/>
  <c r="AC43" i="3" s="1"/>
  <c r="AB44" i="3"/>
  <c r="AC44" i="3" s="1"/>
  <c r="AB45" i="3"/>
  <c r="AC45" i="3" s="1"/>
  <c r="AB46" i="3"/>
  <c r="AC46" i="3" s="1"/>
  <c r="AB47" i="3"/>
  <c r="AC47" i="3" s="1"/>
  <c r="AB48" i="3"/>
  <c r="AC48" i="3" s="1"/>
  <c r="AB49" i="3"/>
  <c r="AC49" i="3" s="1"/>
  <c r="AB50" i="3"/>
  <c r="AC50" i="3" s="1"/>
  <c r="AB51" i="3"/>
  <c r="AC51" i="3" s="1"/>
  <c r="AB52" i="3"/>
  <c r="AC52" i="3" s="1"/>
  <c r="AB53" i="3"/>
  <c r="AC53" i="3" s="1"/>
  <c r="AB54" i="3"/>
  <c r="AC54" i="3" s="1"/>
  <c r="AB55" i="3"/>
  <c r="AC55" i="3" s="1"/>
  <c r="AB56" i="3"/>
  <c r="AC56" i="3" s="1"/>
  <c r="AB57" i="3"/>
  <c r="AC57" i="3" s="1"/>
  <c r="AB58" i="3"/>
  <c r="AC58" i="3" s="1"/>
  <c r="AB59" i="3"/>
  <c r="AC59" i="3" s="1"/>
  <c r="AB60" i="3"/>
  <c r="AC60" i="3" s="1"/>
  <c r="AB61" i="3"/>
  <c r="AC61" i="3" s="1"/>
  <c r="AB62" i="3"/>
  <c r="AC62" i="3" s="1"/>
  <c r="AB63" i="3"/>
  <c r="AC63" i="3" s="1"/>
  <c r="AB64" i="3"/>
  <c r="AC64" i="3" s="1"/>
  <c r="AB65" i="3"/>
  <c r="AC65" i="3" s="1"/>
  <c r="AB66" i="3"/>
  <c r="AC66" i="3" s="1"/>
  <c r="AB67" i="3"/>
  <c r="AC67" i="3" s="1"/>
  <c r="AB68" i="3"/>
  <c r="AC68" i="3" s="1"/>
  <c r="AB69" i="3"/>
  <c r="AC69" i="3" s="1"/>
  <c r="AB70" i="3"/>
  <c r="AC70" i="3" s="1"/>
  <c r="AB71" i="3"/>
  <c r="AC71" i="3" s="1"/>
  <c r="AB72" i="3"/>
  <c r="AC72" i="3" s="1"/>
  <c r="AB74" i="3"/>
  <c r="AC74" i="3" s="1"/>
  <c r="AB75" i="3"/>
  <c r="AC75" i="3" s="1"/>
  <c r="S58" i="3" l="1"/>
  <c r="T58" i="3" s="1"/>
  <c r="S33" i="3"/>
  <c r="U33" i="3" s="1"/>
  <c r="S55" i="3"/>
  <c r="T55" i="3" s="1"/>
  <c r="S30" i="3"/>
  <c r="V30" i="3" s="1"/>
  <c r="S63" i="3"/>
  <c r="U63" i="3" s="1"/>
  <c r="S39" i="3"/>
  <c r="V39" i="3" s="1"/>
  <c r="S67" i="3"/>
  <c r="V67" i="3" s="1"/>
  <c r="S43" i="3"/>
  <c r="U43" i="3" s="1"/>
  <c r="S62" i="3"/>
  <c r="U62" i="3" s="1"/>
  <c r="S49" i="3"/>
  <c r="U49" i="3" s="1"/>
  <c r="S38" i="3"/>
  <c r="U38" i="3" s="1"/>
  <c r="S64" i="3"/>
  <c r="V64" i="3" s="1"/>
  <c r="S41" i="3"/>
  <c r="T41" i="3" s="1"/>
  <c r="S29" i="3"/>
  <c r="T29" i="3" s="1"/>
  <c r="S72" i="3"/>
  <c r="T72" i="3" s="1"/>
  <c r="S24" i="3"/>
  <c r="T24" i="3" s="1"/>
  <c r="S56" i="3"/>
  <c r="U56" i="3" s="1"/>
  <c r="S35" i="3"/>
  <c r="T35" i="3" s="1"/>
  <c r="S68" i="3"/>
  <c r="U68" i="3" s="1"/>
  <c r="S22" i="3"/>
  <c r="U22" i="3" s="1"/>
  <c r="S74" i="3"/>
  <c r="V74" i="3" s="1"/>
  <c r="S45" i="3"/>
  <c r="V45" i="3" s="1"/>
  <c r="S28" i="3"/>
  <c r="U28" i="3" s="1"/>
  <c r="S23" i="3"/>
  <c r="T23" i="3" s="1"/>
  <c r="S46" i="3"/>
  <c r="U46" i="3" s="1"/>
  <c r="S65" i="3"/>
  <c r="V65" i="3" s="1"/>
  <c r="S59" i="3"/>
  <c r="V59" i="3" s="1"/>
  <c r="S37" i="3"/>
  <c r="V37" i="3" s="1"/>
  <c r="S54" i="3"/>
  <c r="T54" i="3" s="1"/>
  <c r="S40" i="3"/>
  <c r="T40" i="3" s="1"/>
  <c r="S50" i="3"/>
  <c r="U50" i="3" s="1"/>
  <c r="S60" i="3"/>
  <c r="T60" i="3" s="1"/>
  <c r="S47" i="3"/>
  <c r="U47" i="3" s="1"/>
  <c r="S71" i="3"/>
  <c r="U71" i="3" s="1"/>
  <c r="S42" i="3"/>
  <c r="U42" i="3" s="1"/>
  <c r="S53" i="3"/>
  <c r="U53" i="3" s="1"/>
  <c r="S75" i="3"/>
  <c r="U75" i="3" s="1"/>
  <c r="S66" i="3"/>
  <c r="U66" i="3" s="1"/>
  <c r="S69" i="3"/>
  <c r="V69" i="3" s="1"/>
  <c r="S57" i="3"/>
  <c r="T57" i="3" s="1"/>
  <c r="S44" i="3"/>
  <c r="T44" i="3" s="1"/>
  <c r="S52" i="3"/>
  <c r="U52" i="3" s="1"/>
  <c r="S61" i="3"/>
  <c r="T61" i="3" s="1"/>
  <c r="S31" i="3"/>
  <c r="T31" i="3" s="1"/>
  <c r="S51" i="3"/>
  <c r="U51" i="3" s="1"/>
  <c r="S32" i="3"/>
  <c r="U32" i="3" s="1"/>
  <c r="S27" i="3"/>
  <c r="T27" i="3" s="1"/>
  <c r="S21" i="3"/>
  <c r="V21" i="3" s="1"/>
  <c r="V70" i="3"/>
  <c r="T70" i="3"/>
  <c r="U70" i="3"/>
  <c r="V48" i="3"/>
  <c r="T48" i="3"/>
  <c r="U48" i="3"/>
  <c r="V36" i="3"/>
  <c r="T36" i="3"/>
  <c r="U36" i="3"/>
  <c r="S20" i="3"/>
  <c r="V20" i="3" s="1"/>
  <c r="S34" i="3"/>
  <c r="U34" i="3" s="1"/>
  <c r="V58" i="3" l="1"/>
  <c r="U58" i="3"/>
  <c r="V63" i="3"/>
  <c r="T63" i="3"/>
  <c r="V55" i="3"/>
  <c r="T64" i="3"/>
  <c r="V49" i="3"/>
  <c r="U55" i="3"/>
  <c r="U64" i="3"/>
  <c r="T49" i="3"/>
  <c r="V38" i="3"/>
  <c r="U39" i="3"/>
  <c r="T38" i="3"/>
  <c r="U74" i="3"/>
  <c r="U41" i="3"/>
  <c r="V41" i="3"/>
  <c r="T56" i="3"/>
  <c r="T67" i="3"/>
  <c r="T43" i="3"/>
  <c r="U67" i="3"/>
  <c r="T39" i="3"/>
  <c r="V43" i="3"/>
  <c r="V56" i="3"/>
  <c r="U72" i="3"/>
  <c r="V62" i="3"/>
  <c r="V72" i="3"/>
  <c r="T62" i="3"/>
  <c r="T74" i="3"/>
  <c r="T65" i="3"/>
  <c r="T68" i="3"/>
  <c r="U45" i="3"/>
  <c r="V68" i="3"/>
  <c r="T45" i="3"/>
  <c r="U65" i="3"/>
  <c r="T59" i="3"/>
  <c r="U54" i="3"/>
  <c r="V46" i="3"/>
  <c r="U40" i="3"/>
  <c r="U59" i="3"/>
  <c r="T46" i="3"/>
  <c r="U37" i="3"/>
  <c r="T37" i="3"/>
  <c r="V53" i="3"/>
  <c r="T75" i="3"/>
  <c r="U60" i="3"/>
  <c r="V60" i="3"/>
  <c r="T42" i="3"/>
  <c r="V40" i="3"/>
  <c r="V54" i="3"/>
  <c r="T47" i="3"/>
  <c r="V47" i="3"/>
  <c r="T71" i="3"/>
  <c r="V24" i="3"/>
  <c r="V44" i="3"/>
  <c r="V57" i="3"/>
  <c r="U44" i="3"/>
  <c r="T50" i="3"/>
  <c r="T69" i="3"/>
  <c r="U69" i="3"/>
  <c r="V75" i="3"/>
  <c r="V42" i="3"/>
  <c r="T53" i="3"/>
  <c r="T66" i="3"/>
  <c r="V50" i="3"/>
  <c r="V66" i="3"/>
  <c r="V52" i="3"/>
  <c r="T52" i="3"/>
  <c r="U57" i="3"/>
  <c r="V71" i="3"/>
  <c r="U61" i="3"/>
  <c r="V61" i="3"/>
  <c r="I22" i="4" s="1"/>
  <c r="T51" i="3"/>
  <c r="U24" i="3"/>
  <c r="V51" i="3"/>
  <c r="U23" i="3"/>
  <c r="V23" i="3"/>
  <c r="T21" i="3"/>
  <c r="U20" i="3"/>
  <c r="T20" i="3"/>
  <c r="U35" i="3"/>
  <c r="V32" i="3"/>
  <c r="T32" i="3"/>
  <c r="V31" i="3"/>
  <c r="U31" i="3"/>
  <c r="V35" i="3"/>
  <c r="V29" i="3"/>
  <c r="U21" i="3"/>
  <c r="T33" i="3"/>
  <c r="T34" i="3"/>
  <c r="V34" i="3"/>
  <c r="V27" i="3"/>
  <c r="V22" i="3"/>
  <c r="U29" i="3"/>
  <c r="V33" i="3"/>
  <c r="T22" i="3"/>
  <c r="U30" i="3"/>
  <c r="T28" i="3"/>
  <c r="T30" i="3"/>
  <c r="V28" i="3"/>
  <c r="U27" i="3"/>
  <c r="I18" i="4" l="1"/>
  <c r="P11" i="4" s="1"/>
  <c r="P12" i="4"/>
  <c r="L7" i="4"/>
  <c r="AB35" i="3"/>
  <c r="AC35" i="3" s="1"/>
  <c r="AB34" i="3"/>
  <c r="AC34" i="3" s="1"/>
  <c r="AB33" i="3"/>
  <c r="AC33" i="3" s="1"/>
  <c r="AB32" i="3"/>
  <c r="AC32" i="3" s="1"/>
  <c r="AB31" i="3"/>
  <c r="AC31" i="3" s="1"/>
  <c r="AB30" i="3"/>
  <c r="AC30" i="3" s="1"/>
  <c r="AB29" i="3"/>
  <c r="AC29" i="3" s="1"/>
  <c r="AB28" i="3"/>
  <c r="AC28" i="3" s="1"/>
  <c r="AB27" i="3"/>
  <c r="AC27" i="3" s="1"/>
  <c r="AB24" i="3"/>
  <c r="AC24" i="3" s="1"/>
  <c r="AB23" i="3"/>
  <c r="AC23" i="3" s="1"/>
  <c r="AB22" i="3"/>
  <c r="AC22" i="3" s="1"/>
  <c r="AB21" i="3"/>
  <c r="AC21" i="3" s="1"/>
  <c r="AB20" i="3"/>
  <c r="AC20" i="3" s="1"/>
  <c r="F5" i="4" l="1"/>
  <c r="F16" i="4"/>
  <c r="G16" i="4" s="1"/>
  <c r="F14" i="4"/>
  <c r="G14" i="4" s="1"/>
  <c r="F12" i="4"/>
  <c r="G12" i="4" s="1"/>
  <c r="E26" i="4" l="1"/>
  <c r="G26" i="4" s="1"/>
  <c r="I14" i="4" s="1"/>
  <c r="P10" i="4" s="1"/>
  <c r="P9" i="4" l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3726A43-A817-49FD-8E53-B3A636B494F2}" keepAlive="1" name="Consulta - Tabla 1" description="Conexión a la consulta 'Tabla 1' en el libro." type="5" refreshedVersion="0" background="1">
    <dbPr connection="Provider=Microsoft.Mashup.OleDb.1;Data Source=$Workbook$;Location=&quot;Tabla 1&quot;;Extended Properties=&quot;&quot;" command="SELECT * FROM [Tabla 1]"/>
  </connection>
</connections>
</file>

<file path=xl/sharedStrings.xml><?xml version="1.0" encoding="utf-8"?>
<sst xmlns="http://schemas.openxmlformats.org/spreadsheetml/2006/main" count="3018" uniqueCount="508">
  <si>
    <t>ENVIADO</t>
  </si>
  <si>
    <t>BANCOLOMBIA</t>
  </si>
  <si>
    <t>2Q</t>
  </si>
  <si>
    <t>NEQUI</t>
  </si>
  <si>
    <t>10Q</t>
  </si>
  <si>
    <t>6Q</t>
  </si>
  <si>
    <t>1Q+1N+2V</t>
  </si>
  <si>
    <t>BOLD</t>
  </si>
  <si>
    <t>1Q</t>
  </si>
  <si>
    <t>SKR SI/NO</t>
  </si>
  <si>
    <t>LIDER</t>
  </si>
  <si>
    <t>MONTO</t>
  </si>
  <si>
    <t>NOMBRE COMPLETO</t>
  </si>
  <si>
    <t>FECHA</t>
  </si>
  <si>
    <t>TOTAL</t>
  </si>
  <si>
    <t>QUINTILLION</t>
  </si>
  <si>
    <t>VIGINTILLION</t>
  </si>
  <si>
    <t>USD</t>
  </si>
  <si>
    <t>PESOS COLOMBIANOS</t>
  </si>
  <si>
    <t>PAGO TOTAL</t>
  </si>
  <si>
    <t xml:space="preserve">LIDER: </t>
  </si>
  <si>
    <t>QUINTILLION 5M</t>
  </si>
  <si>
    <t>NONGENTILLION 10M</t>
  </si>
  <si>
    <t>TOTAL -10%</t>
  </si>
  <si>
    <t>1% PAGO INICIAL</t>
  </si>
  <si>
    <t>FIDUCIA/NUBE</t>
  </si>
  <si>
    <t>25 SEP - 4 NOV</t>
  </si>
  <si>
    <t>LISTA</t>
  </si>
  <si>
    <t>NONGENTILLION</t>
  </si>
  <si>
    <t>MONEDA DE ZIM</t>
  </si>
  <si>
    <t>NOMBRE</t>
  </si>
  <si>
    <t>CC/ID/DNI</t>
  </si>
  <si>
    <t>CANT</t>
  </si>
  <si>
    <t>MONTO3</t>
  </si>
  <si>
    <t>MONTO2</t>
  </si>
  <si>
    <t>MONTO4</t>
  </si>
  <si>
    <t>CC-ID-DNI</t>
  </si>
  <si>
    <t>CANT2</t>
  </si>
  <si>
    <t>CANT4</t>
  </si>
  <si>
    <t>PAGO</t>
  </si>
  <si>
    <t>SI</t>
  </si>
  <si>
    <t>NO</t>
  </si>
  <si>
    <t>FIDUCIA</t>
  </si>
  <si>
    <t>NUBE</t>
  </si>
  <si>
    <t>CANT3</t>
  </si>
  <si>
    <t>VIGINTILLION 7,5M</t>
  </si>
  <si>
    <t>MONEDA ZIMBABWE 500k</t>
  </si>
  <si>
    <t>5Q+2N</t>
  </si>
  <si>
    <t>3ZIMCOIN</t>
  </si>
  <si>
    <t>2V</t>
  </si>
  <si>
    <t>WOMPI</t>
  </si>
  <si>
    <t>ID/CC/DNI</t>
  </si>
  <si>
    <t>PASAPORTE</t>
  </si>
  <si>
    <t>PAIS</t>
  </si>
  <si>
    <t>ESTADO</t>
  </si>
  <si>
    <t>CIUDAD</t>
  </si>
  <si>
    <t>DIRECCION</t>
  </si>
  <si>
    <t>COD POSTAL</t>
  </si>
  <si>
    <t>CORREO</t>
  </si>
  <si>
    <t xml:space="preserve">TELEFONO </t>
  </si>
  <si>
    <t>REF</t>
  </si>
  <si>
    <t>COLOMBIA</t>
  </si>
  <si>
    <t>VALLE DEL CAUCA</t>
  </si>
  <si>
    <t>COMBO</t>
  </si>
  <si>
    <t>N/A</t>
  </si>
  <si>
    <t>CALI</t>
  </si>
  <si>
    <t>COFRE</t>
  </si>
  <si>
    <t>CUNDINAMARCA</t>
  </si>
  <si>
    <t>2N</t>
  </si>
  <si>
    <t>QUINDIO</t>
  </si>
  <si>
    <t>ARMENIA</t>
  </si>
  <si>
    <t>BANK</t>
  </si>
  <si>
    <t>VIGENTE</t>
  </si>
  <si>
    <t>1N</t>
  </si>
  <si>
    <t>REFERIDOS</t>
  </si>
  <si>
    <t>GIRO RULETA</t>
  </si>
  <si>
    <t>3N+3V</t>
  </si>
  <si>
    <t>1V</t>
  </si>
  <si>
    <t>1ZIMCOIN</t>
  </si>
  <si>
    <t>X VENTAS HASTA EL 7 ABRIL</t>
  </si>
  <si>
    <t>6Q+6N</t>
  </si>
  <si>
    <t xml:space="preserve">PORCENTAJES </t>
  </si>
  <si>
    <t>BANCO</t>
  </si>
  <si>
    <t>% FIDUCIA</t>
  </si>
  <si>
    <t>% NUBE</t>
  </si>
  <si>
    <t>100%</t>
  </si>
  <si>
    <t>ORDEN DE PAGOS</t>
  </si>
  <si>
    <t>https://www.dolar-colombia.com/</t>
  </si>
  <si>
    <t>Consulta  con el valor del dólar (TRM) Aquí</t>
  </si>
  <si>
    <t>1% PAGO BANCO</t>
  </si>
  <si>
    <t>PAGO CON DESCUENTOS</t>
  </si>
  <si>
    <t>HUILA</t>
  </si>
  <si>
    <t>NEIVA</t>
  </si>
  <si>
    <t>2Q+3N+2V</t>
  </si>
  <si>
    <t>5Q</t>
  </si>
  <si>
    <t>3Q+1V</t>
  </si>
  <si>
    <t>REDEBAN</t>
  </si>
  <si>
    <t>2Q+1V</t>
  </si>
  <si>
    <t>DAVIPLATA</t>
  </si>
  <si>
    <t>COMODIN</t>
  </si>
  <si>
    <t>2Q+5N+2V</t>
  </si>
  <si>
    <t>DAVIVIENDA</t>
  </si>
  <si>
    <t>COCTEL IMPERIAL</t>
  </si>
  <si>
    <t>12Q</t>
  </si>
  <si>
    <t>3Q+4N+3V</t>
  </si>
  <si>
    <t>TOLIMA</t>
  </si>
  <si>
    <t>FLORIDA</t>
  </si>
  <si>
    <t>//</t>
  </si>
  <si>
    <t>1Q+1N+1V</t>
  </si>
  <si>
    <t>VALLE DE TENZA</t>
  </si>
  <si>
    <t>MADRID</t>
  </si>
  <si>
    <t>MIAMI</t>
  </si>
  <si>
    <t>MONTO5</t>
  </si>
  <si>
    <t>BILLETE DE ZIMBABWE 12,5M</t>
  </si>
  <si>
    <t>AGROCHEQUE50M</t>
  </si>
  <si>
    <t xml:space="preserve">OTROS 
</t>
  </si>
  <si>
    <t>CANT5</t>
  </si>
  <si>
    <t>CANT6</t>
  </si>
  <si>
    <t>MONTO6</t>
  </si>
  <si>
    <t>CANT7</t>
  </si>
  <si>
    <t>MONTO7</t>
  </si>
  <si>
    <t>AGROCHEQUE ZIM</t>
  </si>
  <si>
    <t>ELIZABETH QUIROGA</t>
  </si>
  <si>
    <t>ANGELICA OSPINA IZQUIERDO</t>
  </si>
  <si>
    <t xml:space="preserve">AURA MARIA RODRIGUEZ BURGOS </t>
  </si>
  <si>
    <t>BLANCA ELIZABETH QUIROGA CASTIBLANCO</t>
  </si>
  <si>
    <t>CARLOS ERNESTO PAZ CABAL</t>
  </si>
  <si>
    <t>CONSUELO MONTEJO CASAS</t>
  </si>
  <si>
    <t>CRISTIAN CAMILO CALDERON CHARRY</t>
  </si>
  <si>
    <t>DILIA MARIA JAIMES RICHOUX</t>
  </si>
  <si>
    <t>DORA CECILIA HUERTAS PRIETO</t>
  </si>
  <si>
    <t>ELVIRA ROJAS RIVERA</t>
  </si>
  <si>
    <t>FERNANDO ALFONSO OVALLE GUTIERREZ</t>
  </si>
  <si>
    <t>GABRIEL HERNANDEZ MARTINEZ</t>
  </si>
  <si>
    <t xml:space="preserve">GERMAN MEDINA SARMIENTO </t>
  </si>
  <si>
    <t>GILBERTO DEVIA QUIÑONES</t>
  </si>
  <si>
    <t>GINA MILENA MORENO PERDOMO</t>
  </si>
  <si>
    <t>GRICELDA GUTIERREZ</t>
  </si>
  <si>
    <t>HARVEY NICOLÁS PARRA QUIROGA</t>
  </si>
  <si>
    <t>HORTENCIA NIÑO JUSTINICO</t>
  </si>
  <si>
    <t>JANETH BURITICA MEJIA</t>
  </si>
  <si>
    <t>JAVIER FERNANDO DE LA ROCHE GUTIERREZ</t>
  </si>
  <si>
    <t>JEYRON ERICK SANCHEZ DIAZ</t>
  </si>
  <si>
    <t>JHON JAIRO HERNANDEZ AYOLA</t>
  </si>
  <si>
    <t>JHON SANCHEZ MARTINEZ</t>
  </si>
  <si>
    <t>JOSE LUIS RIAÑO  OSPINA</t>
  </si>
  <si>
    <t>JOSE MAURICIO VELASQUEZ TRUJILLO</t>
  </si>
  <si>
    <t>JOSELITO OSPINA IZQUIERDO</t>
  </si>
  <si>
    <t>LAURA DANIELA PARRA QUIROGA</t>
  </si>
  <si>
    <t>LAURA TATIANA OSPINA SALAZAR</t>
  </si>
  <si>
    <t>LICETH ANDREA MARTINEZ HERNÁNDEZ</t>
  </si>
  <si>
    <t>LUCIA OSPINA IZQUIERDO</t>
  </si>
  <si>
    <t>LUIS EDGAR HERNANDEZ MARTÍNEZ</t>
  </si>
  <si>
    <t>LUIS EDUARDO BARRERA TORRES</t>
  </si>
  <si>
    <t>LUIS EDUARDO PEREZ LOZANO</t>
  </si>
  <si>
    <t>MANUEL STEBAN VARGAS UBAQUE</t>
  </si>
  <si>
    <t>MARCO FIDEL BARRERO GARCÍA</t>
  </si>
  <si>
    <t>MARIA LILIA LIEVANO ERAZO</t>
  </si>
  <si>
    <t>MARICELA MONCALEANO</t>
  </si>
  <si>
    <t>MARTHA ELIZABETH JIMENEZ</t>
  </si>
  <si>
    <t>MARTHA LUCIA CALDERON NIÑO</t>
  </si>
  <si>
    <t>MARTHA YANETH VELEZ CAMACHO</t>
  </si>
  <si>
    <t>MERCEDES RICHOUX GALINDO</t>
  </si>
  <si>
    <t>MIGUEL IGNACIO BERMUDEZ CORTES</t>
  </si>
  <si>
    <t>NELLY PILAR UBAQUE GUTIERREZ</t>
  </si>
  <si>
    <t>NICOLAS FELIPE VARGAS UBAQUE</t>
  </si>
  <si>
    <t>NORMA CONSTANZA PACHON BAQUERO</t>
  </si>
  <si>
    <t>OSCAR DAVID RODRIGUEZ CHARRY</t>
  </si>
  <si>
    <t>PAULA DANIELA VARGAS UBAQUE</t>
  </si>
  <si>
    <t>RODRIGO ARIEL CHAMORRO CARRIZOSA</t>
  </si>
  <si>
    <t>ROSMERY CASTILLO CORRALES</t>
  </si>
  <si>
    <t>SANDRA LISSET HERRERA OSORIO</t>
  </si>
  <si>
    <t>SARINA SERNA BURITICA</t>
  </si>
  <si>
    <t>STEPHANIE ALEXANDRA OVALLE CALDERON</t>
  </si>
  <si>
    <t>TERESA LIEVANO ERAZO</t>
  </si>
  <si>
    <t>VICTORIA RICHAUX GALINDO</t>
  </si>
  <si>
    <t>YULIANA OSPINA SALAZAR</t>
  </si>
  <si>
    <t>PRODUCTO / MATERIAL</t>
  </si>
  <si>
    <t xml:space="preserve">PASAPORTE + 3 MESES </t>
  </si>
  <si>
    <t>ESPINAL</t>
  </si>
  <si>
    <t>angelicaosiz25@gmail.com</t>
  </si>
  <si>
    <t>(+57) 3017857242</t>
  </si>
  <si>
    <t>AU450197</t>
  </si>
  <si>
    <t>RICAURTE</t>
  </si>
  <si>
    <t>CALLE 12 # 13 01 CONJUNTO CARIOTA LAS PALMAS APTO 608 TORRE3</t>
  </si>
  <si>
    <t>aurismarobu@gmail.com</t>
  </si>
  <si>
    <t>(+57) 3132752680</t>
  </si>
  <si>
    <t>54502780298271954924066534667064412</t>
  </si>
  <si>
    <t>NU BANK</t>
  </si>
  <si>
    <t>AY498421</t>
  </si>
  <si>
    <t>GIRARDOT</t>
  </si>
  <si>
    <t>CALLE 16 NO 2 45 ALTO DE LA CRUZ</t>
  </si>
  <si>
    <t>elizitaquiroga4@gmail.com</t>
  </si>
  <si>
    <t>(+57) 3015672778</t>
  </si>
  <si>
    <t>M15586657</t>
  </si>
  <si>
    <t>Colombia</t>
  </si>
  <si>
    <t>CALLE 16 No 2 45 ALTO DE LA CRUZ</t>
  </si>
  <si>
    <t xml:space="preserve">RECUPERACIÓN </t>
  </si>
  <si>
    <t>14V</t>
  </si>
  <si>
    <t>1AGRO+1N</t>
  </si>
  <si>
    <t>SORTEO</t>
  </si>
  <si>
    <t>PREMIO</t>
  </si>
  <si>
    <t>2ZIMCOIN</t>
  </si>
  <si>
    <t>M10315734</t>
  </si>
  <si>
    <t>FINCA DAMASCO VEREDA LA REVANCHA</t>
  </si>
  <si>
    <t>pazcabalcarlos@hotmail.com</t>
  </si>
  <si>
    <t>(+57) 3135845591</t>
  </si>
  <si>
    <t>M18847507</t>
  </si>
  <si>
    <t>AW960798</t>
  </si>
  <si>
    <t>KRA 19 No 6 118 ESQUINA BUENOS AIRES</t>
  </si>
  <si>
    <t>consuelo.montejo.qualitas@gmail.com</t>
  </si>
  <si>
    <t>(+57) 3142053804</t>
  </si>
  <si>
    <t>M14175625</t>
  </si>
  <si>
    <t>CARRERA 3 # 21A 60 SAN ANTONIO</t>
  </si>
  <si>
    <t>cristian1995@gmail.com</t>
  </si>
  <si>
    <t>(+57) 3023233584</t>
  </si>
  <si>
    <t>1YK8948DXH</t>
  </si>
  <si>
    <t>AR 294530</t>
  </si>
  <si>
    <t>401GOLDEN ISLES DR APT 513 HALLANDALE 33009-7515 BEACH FLORIDA</t>
  </si>
  <si>
    <t>dmjaimesr56@gmail.com</t>
  </si>
  <si>
    <t>(+1) 7868209437</t>
  </si>
  <si>
    <t>4Q</t>
  </si>
  <si>
    <t>M16436047</t>
  </si>
  <si>
    <t>M09298155</t>
  </si>
  <si>
    <t xml:space="preserve">2V </t>
  </si>
  <si>
    <t>doraprieto032@gmail.com</t>
  </si>
  <si>
    <t>(+57) 3213212471</t>
  </si>
  <si>
    <t>M11313089</t>
  </si>
  <si>
    <t>BE886607</t>
  </si>
  <si>
    <t>FLANDES</t>
  </si>
  <si>
    <t>VIA FLANDERS ESPINALKLM1 MANZ G CASA2-27 CASA 32 CONDOMINIO LOS MANGOS II</t>
  </si>
  <si>
    <t>elvirarojas1552@gmail.com</t>
  </si>
  <si>
    <t>(+57) 3124327792</t>
  </si>
  <si>
    <t>M21797085</t>
  </si>
  <si>
    <t>M24465603</t>
  </si>
  <si>
    <t>M20899682</t>
  </si>
  <si>
    <t>M20150899</t>
  </si>
  <si>
    <t>BG689137</t>
  </si>
  <si>
    <t>fernandoovalle13@hotmail.com</t>
  </si>
  <si>
    <t>(+57) 3232339799</t>
  </si>
  <si>
    <t>DOLLAR GOLD</t>
  </si>
  <si>
    <t>TRPLLnGbw9EC</t>
  </si>
  <si>
    <t>6N</t>
  </si>
  <si>
    <t>gaherma1669@gmail.com</t>
  </si>
  <si>
    <t>(+57) 3214191758</t>
  </si>
  <si>
    <t>M15370261</t>
  </si>
  <si>
    <t>medinasgerman@gmail.com</t>
  </si>
  <si>
    <t>(+57) 3163198485</t>
  </si>
  <si>
    <t>3Q+1N+1V</t>
  </si>
  <si>
    <t>M14982855</t>
  </si>
  <si>
    <t>M18602116</t>
  </si>
  <si>
    <t>M11905052</t>
  </si>
  <si>
    <t>BF168899</t>
  </si>
  <si>
    <t>CALLE 60 SUR # 71-50- / 77-01 BALMORAL TERCERA ETAPA</t>
  </si>
  <si>
    <t>gilbertodevia5@gmail.com</t>
  </si>
  <si>
    <t>(+57) 3122364080</t>
  </si>
  <si>
    <t>M23351394</t>
  </si>
  <si>
    <t>MANZANA E CASA 7 ASOBETANIA</t>
  </si>
  <si>
    <t>g_milena_mo@hotmail.com</t>
  </si>
  <si>
    <t>(+57) 3133075717</t>
  </si>
  <si>
    <t>M13925241</t>
  </si>
  <si>
    <t>FUSAGASUGA</t>
  </si>
  <si>
    <t>CARRERA 1B N 10A - 18</t>
  </si>
  <si>
    <t>griceldagutierrez2009@gmail.com</t>
  </si>
  <si>
    <t>f38df69e-f7a8-4201-84b1-583fcbf7e147</t>
  </si>
  <si>
    <t>AV227068</t>
  </si>
  <si>
    <t>hnicolas.parra@gmail.com</t>
  </si>
  <si>
    <t>(+57) 3005548572</t>
  </si>
  <si>
    <t>M14243030</t>
  </si>
  <si>
    <t>BI051653</t>
  </si>
  <si>
    <t>MANZANA M CASA 4 CIUDAD MONTES</t>
  </si>
  <si>
    <t>stephanieovalle2@outlook.com</t>
  </si>
  <si>
    <t>M18295502</t>
  </si>
  <si>
    <t>4Q+6N+4V</t>
  </si>
  <si>
    <t>RK22A3345V</t>
  </si>
  <si>
    <t>AY487670</t>
  </si>
  <si>
    <t>AGUA DE DIOS</t>
  </si>
  <si>
    <t>CARRERA 10 NO 16 46</t>
  </si>
  <si>
    <t>jabume1964@gmail.com</t>
  </si>
  <si>
    <t>(+57) 3118204970</t>
  </si>
  <si>
    <t>M35240610</t>
  </si>
  <si>
    <t>AW569726</t>
  </si>
  <si>
    <t>-</t>
  </si>
  <si>
    <t>CARRERA 10A No 39-21 EDIFICIO PORTAL DE SAN PABLO APT 603</t>
  </si>
  <si>
    <t>javierdelaroche05@gmail.com</t>
  </si>
  <si>
    <t>(+57) 3007082019</t>
  </si>
  <si>
    <t>CAPACITACIONES</t>
  </si>
  <si>
    <t>CARRERA 10A NO 39-21 EDIFICIO PORTAL DE SAN PABLO APT 603</t>
  </si>
  <si>
    <t>M6021743</t>
  </si>
  <si>
    <t>M03848370</t>
  </si>
  <si>
    <t>CONJUNTO CANOTASLAS PALMAS APTO 608 TORRE 3</t>
  </si>
  <si>
    <t>erickfoto@hotmail.com</t>
  </si>
  <si>
    <t>(+57) 3193258627</t>
  </si>
  <si>
    <t>BLJO1HJJRX</t>
  </si>
  <si>
    <t>CALLE 17 NO 2A 06 ALTOS DE FUSAGASUGA</t>
  </si>
  <si>
    <t>jhonjha@gmail.com</t>
  </si>
  <si>
    <t>(+57) 3222179831</t>
  </si>
  <si>
    <t>153391764092058401</t>
  </si>
  <si>
    <t>CALLE17 NO 8 10 CENTRO</t>
  </si>
  <si>
    <t>252430-252439</t>
  </si>
  <si>
    <t>martinez1963john1963@gmail.com</t>
  </si>
  <si>
    <t>(+57) 3148236349</t>
  </si>
  <si>
    <t>2Q+2N+2V</t>
  </si>
  <si>
    <t>M21608318</t>
  </si>
  <si>
    <t>M09975083</t>
  </si>
  <si>
    <t>M21356124</t>
  </si>
  <si>
    <t>M17291387</t>
  </si>
  <si>
    <t>M10604468</t>
  </si>
  <si>
    <t>VEREDA DINDALITO CENTRO COOP51701 ESPINAL</t>
  </si>
  <si>
    <t>ospinaizquierdojose11@gmail.com</t>
  </si>
  <si>
    <t>(+57) 3144092657</t>
  </si>
  <si>
    <t>M20203864</t>
  </si>
  <si>
    <t>BF109410</t>
  </si>
  <si>
    <t>MANZANA A CASA 35 VILLA MARINA</t>
  </si>
  <si>
    <t>mauro646@gmail.com</t>
  </si>
  <si>
    <t>(+57) 3103192893</t>
  </si>
  <si>
    <t>M05161604</t>
  </si>
  <si>
    <t>M07123645</t>
  </si>
  <si>
    <t>M11954662</t>
  </si>
  <si>
    <t>VEREDA DINDALITO CENTROCOO51701</t>
  </si>
  <si>
    <t>Joselito.ospina10 @gmail.com</t>
  </si>
  <si>
    <t>(+57) 3163678426</t>
  </si>
  <si>
    <t>M20269055</t>
  </si>
  <si>
    <t>3Q+3N+3V</t>
  </si>
  <si>
    <t>M20301546</t>
  </si>
  <si>
    <t>013404</t>
  </si>
  <si>
    <t>M09589667</t>
  </si>
  <si>
    <t>BG114056</t>
  </si>
  <si>
    <t>Laura.parraq@gmail.com</t>
  </si>
  <si>
    <t>(+57) 3004154621</t>
  </si>
  <si>
    <t>M07932817</t>
  </si>
  <si>
    <t>LARA 22 I NO 59A SUR 18 EL CHIRCAL SUR</t>
  </si>
  <si>
    <t>Lauraospi07@gmail.com</t>
  </si>
  <si>
    <t>(+57) 3175954171</t>
  </si>
  <si>
    <t>013403</t>
  </si>
  <si>
    <t>CALLE 36A NO 20 24 CONJUNTO VENTTO TORRE 2 APTO 503</t>
  </si>
  <si>
    <t>Andrea2014mar@gmail.com</t>
  </si>
  <si>
    <t>(+57)3108605245</t>
  </si>
  <si>
    <t>M24573851</t>
  </si>
  <si>
    <t>ALVARADO</t>
  </si>
  <si>
    <t>CALLE 5A No 1 74 CENTRO</t>
  </si>
  <si>
    <t>olucia18@yahoo.com</t>
  </si>
  <si>
    <t>(+57) 3115477809</t>
  </si>
  <si>
    <t>Luisedgarmartinez0515</t>
  </si>
  <si>
    <t>(+57) 3135044441</t>
  </si>
  <si>
    <t>M11000846</t>
  </si>
  <si>
    <t>M15559424</t>
  </si>
  <si>
    <t>BG508596</t>
  </si>
  <si>
    <t>AC 57SUR 73 71 TORRE 8 00203 ESTANCIA BOGOTÁ</t>
  </si>
  <si>
    <t>distribuidoralubart@gmail.com</t>
  </si>
  <si>
    <t>(+57) 3158531932</t>
  </si>
  <si>
    <t>M19162468</t>
  </si>
  <si>
    <t>MANZANA J CASA 19 CAMBULOS</t>
  </si>
  <si>
    <t>252430 252439</t>
  </si>
  <si>
    <t>luiseduardoperez3010@gmail.com</t>
  </si>
  <si>
    <t>(+57) 3219603845</t>
  </si>
  <si>
    <t>M3149359</t>
  </si>
  <si>
    <t>pilyubaque09@gmail.com</t>
  </si>
  <si>
    <t>(+57) 3203063887</t>
  </si>
  <si>
    <t>63ba115d-6cbf-4af3-b542-4a8f300f8d21</t>
  </si>
  <si>
    <t>CALLE 10 NO 3 52 ALTO DE LA CRUZ</t>
  </si>
  <si>
    <t>(+57) 3107576100</t>
  </si>
  <si>
    <t>M10592006</t>
  </si>
  <si>
    <t>BF269962</t>
  </si>
  <si>
    <t>EL ROSAL</t>
  </si>
  <si>
    <t>AUTOPISTA MEDELLIN KM. 20 CONJUNTO FIORESTE TORRE 12 APTO 101</t>
  </si>
  <si>
    <t>(+57) 3157677064</t>
  </si>
  <si>
    <t>M16124477</t>
  </si>
  <si>
    <t>M52006302</t>
  </si>
  <si>
    <t>KRA 17 # 22 84 GAITAN</t>
  </si>
  <si>
    <t>(+57) 3042106484</t>
  </si>
  <si>
    <t>M8842626</t>
  </si>
  <si>
    <t>M13103094</t>
  </si>
  <si>
    <t>MANZANA 2E INT 2 APTO 301 CIUDADELA VALLE DEL SOL</t>
  </si>
  <si>
    <t>(+57) 3202180892</t>
  </si>
  <si>
    <t>M16665897</t>
  </si>
  <si>
    <t>M17048836</t>
  </si>
  <si>
    <t>BI051667</t>
  </si>
  <si>
    <t>Calle 21A #4-08</t>
  </si>
  <si>
    <t>(+57) 3143907273</t>
  </si>
  <si>
    <t>6H6TE84YSC</t>
  </si>
  <si>
    <t>TRhfSrFQtuEC</t>
  </si>
  <si>
    <t>CARRERA 1A NO 53 25 CANDIDO</t>
  </si>
  <si>
    <t>mayave0229@gmail.com</t>
  </si>
  <si>
    <t>(+57) 3209497849</t>
  </si>
  <si>
    <t>637358</t>
  </si>
  <si>
    <t>938928</t>
  </si>
  <si>
    <t>M14882941</t>
  </si>
  <si>
    <t>M16642412</t>
  </si>
  <si>
    <t>M15020932</t>
  </si>
  <si>
    <t>781223</t>
  </si>
  <si>
    <t>M18361361</t>
  </si>
  <si>
    <t>BE869971</t>
  </si>
  <si>
    <t>Calle 60B KR 107-75</t>
  </si>
  <si>
    <t>(+57) 3102364837</t>
  </si>
  <si>
    <t>M02051984</t>
  </si>
  <si>
    <t>AT968938</t>
  </si>
  <si>
    <t>CARRERA 11 # 21-21 BARRIO EL PORVENIR</t>
  </si>
  <si>
    <t>(+57) 3112275636</t>
  </si>
  <si>
    <t>M13148375</t>
  </si>
  <si>
    <t>M43029941</t>
  </si>
  <si>
    <t>AW898225</t>
  </si>
  <si>
    <t>vargaspaula166@gmail.com</t>
  </si>
  <si>
    <t>7C4FFUHCS2</t>
  </si>
  <si>
    <t>M09390882</t>
  </si>
  <si>
    <t>615f6ae9-2ed4-4381-b17e-eb584c4d0af1</t>
  </si>
  <si>
    <t>3N</t>
  </si>
  <si>
    <t>435SEOKA8C</t>
  </si>
  <si>
    <t>2af02c66-7211-4d96-b55a-ff04bbba776c</t>
  </si>
  <si>
    <t>CALLE 17 No 2A 06 ALTOS</t>
  </si>
  <si>
    <t>e6d66dc7-fd7c-41e3-b59d-23cdc8074bfc</t>
  </si>
  <si>
    <t>CARRERA3 # 12 44 ALTO DE LA CRUZ</t>
  </si>
  <si>
    <t>nuevospasos@hotmail.com</t>
  </si>
  <si>
    <t>(+57) 3045688802</t>
  </si>
  <si>
    <t>M15943990</t>
  </si>
  <si>
    <t>AZ973307</t>
  </si>
  <si>
    <t>(+57) 3023659582</t>
  </si>
  <si>
    <t>T17SJ5LRSKN</t>
  </si>
  <si>
    <t>M15619162</t>
  </si>
  <si>
    <t>M20900824</t>
  </si>
  <si>
    <t>M1747601</t>
  </si>
  <si>
    <t>BA426995</t>
  </si>
  <si>
    <t>CL 60B KR 107 - 75 TORRE B APTO 804</t>
  </si>
  <si>
    <t>rach-67@hotmail.com</t>
  </si>
  <si>
    <t>(+57) 3021010376</t>
  </si>
  <si>
    <t>088e785f-f234-40ac-aef2-a2db8e5e271d</t>
  </si>
  <si>
    <t>CAJICA</t>
  </si>
  <si>
    <t>CRA 14#9A-150 APT 409 T 4,</t>
  </si>
  <si>
    <t>Rosmerycastilloco@gmail.com</t>
  </si>
  <si>
    <t>(+57) 3183122915</t>
  </si>
  <si>
    <t>POHF0T6WRW</t>
  </si>
  <si>
    <t>BUT1DGOPA6</t>
  </si>
  <si>
    <t>KRA 12 # 32 18 MIRAFLORES</t>
  </si>
  <si>
    <t>sandra15062@gmail.com</t>
  </si>
  <si>
    <t>(+57) 3212279814</t>
  </si>
  <si>
    <t>M07630495</t>
  </si>
  <si>
    <t>CALLE 1 No 23 110 PROSPERIDAD</t>
  </si>
  <si>
    <t>sarinaserna04@gmail.com</t>
  </si>
  <si>
    <t>(+57) 3022781805</t>
  </si>
  <si>
    <t>M21121260</t>
  </si>
  <si>
    <t>BG688702</t>
  </si>
  <si>
    <t>(+57) 3023808949</t>
  </si>
  <si>
    <t>M29838058</t>
  </si>
  <si>
    <t>M04446503</t>
  </si>
  <si>
    <t>M00912109</t>
  </si>
  <si>
    <t>TRjuurFXezEC</t>
  </si>
  <si>
    <t>TRsGb7iFEEEC</t>
  </si>
  <si>
    <t>BE972255</t>
  </si>
  <si>
    <t>CALLE 60 SUR NO71 50 3RA ETAPA CASA 77 CIUDAD BOLIVAR BALMORAL</t>
  </si>
  <si>
    <t>teresalievano1954@gmail.com</t>
  </si>
  <si>
    <t>(+57) 3192052799</t>
  </si>
  <si>
    <t>M6619217</t>
  </si>
  <si>
    <t>CR 11 NRO 19 77 APTO 401 SUCRE</t>
  </si>
  <si>
    <t>vickyrichoux@gmail.com</t>
  </si>
  <si>
    <t>(+57) 3168000806</t>
  </si>
  <si>
    <t>M4739707</t>
  </si>
  <si>
    <t>M17903504</t>
  </si>
  <si>
    <t>M045752069</t>
  </si>
  <si>
    <t>KRA 22 I NO 59A SUR 18 EL CHIRCAL SUR</t>
  </si>
  <si>
    <t>ospinayuliana571@gmail.com</t>
  </si>
  <si>
    <t>(+57) 3228930076</t>
  </si>
  <si>
    <t>013402</t>
  </si>
  <si>
    <t>URIEL HERNANDEZ MARTINEZ</t>
  </si>
  <si>
    <t>luisedgarhernandezm0515@gmail.com</t>
  </si>
  <si>
    <t>(+57) 3132623616</t>
  </si>
  <si>
    <t>9Q</t>
  </si>
  <si>
    <t>M19202010</t>
  </si>
  <si>
    <t>M04027344</t>
  </si>
  <si>
    <t>M19585146</t>
  </si>
  <si>
    <t>M18702050</t>
  </si>
  <si>
    <t>M09259019</t>
  </si>
  <si>
    <t>M16731646</t>
  </si>
  <si>
    <t>M07042374</t>
  </si>
  <si>
    <t>UNITED STATES</t>
  </si>
  <si>
    <t>OBSERVACIONES</t>
  </si>
  <si>
    <t>7Q</t>
  </si>
  <si>
    <t>M20133739</t>
  </si>
  <si>
    <t>8dc11ef7-0018-4b37-9a3e-
0563e0867cfe</t>
  </si>
  <si>
    <t>1AGRO+5N</t>
  </si>
  <si>
    <t>1000Q</t>
  </si>
  <si>
    <t>X VENTAS HASTA EL 8 MAYO</t>
  </si>
  <si>
    <t>M25320776</t>
  </si>
  <si>
    <t>3Q</t>
  </si>
  <si>
    <t xml:space="preserve">MNZ O CS 7 JUAN PABLO II ETAPA 2  </t>
  </si>
  <si>
    <t>CRISTOBAL VELEZ CAMACHO</t>
  </si>
  <si>
    <t>C 52 1W 18 P2 PORTAL DE ACAZUELA</t>
  </si>
  <si>
    <t>M04672581</t>
  </si>
  <si>
    <t>(+57) 3157914708</t>
  </si>
  <si>
    <t>cristoveca@hotmail.co</t>
  </si>
  <si>
    <t>BH935354</t>
  </si>
  <si>
    <t>KR 11 C NO 18 C 55 AP 202</t>
  </si>
  <si>
    <t>BOGOTA</t>
  </si>
  <si>
    <t xml:space="preserve">BOGOTA D.C. </t>
  </si>
  <si>
    <t xml:space="preserve">CIS PARA IMPRIMIR </t>
  </si>
  <si>
    <t xml:space="preserve">KR 18 NO 22 85 AP 202 </t>
  </si>
  <si>
    <t>hortencianino076@gmail.com</t>
  </si>
  <si>
    <t>(+57) 3204866107</t>
  </si>
  <si>
    <t>GRICELDA GUTIERREZ DE UBAQUE</t>
  </si>
  <si>
    <t>vargassteban.2001@gmail.com</t>
  </si>
  <si>
    <t xml:space="preserve">vargasnicolasf.2008@gmail.com </t>
  </si>
  <si>
    <t>(+57) 3133582638</t>
  </si>
  <si>
    <t>(+57) 3103294116</t>
  </si>
  <si>
    <t>(+57) 3052936809</t>
  </si>
  <si>
    <t xml:space="preserve">TV 28 NO 22 - 10 TO1 403 </t>
  </si>
  <si>
    <t xml:space="preserve">CL 4 NO 2 60 B </t>
  </si>
  <si>
    <t>ENVIADO EN PDF</t>
  </si>
  <si>
    <t>PENDIENTE</t>
  </si>
  <si>
    <t>CIS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</si>
</sst>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5">
    <numFmt numFmtId="164" formatCode="&quot;$&quot;\ #,##0"/>
    <numFmt numFmtId="165" formatCode="d/mm/yyyy;@"/>
    <numFmt numFmtId="166" formatCode="dd/mm/yyyy;@"/>
    <numFmt numFmtId="167" formatCode="&quot;$&quot;\ #,##0.00"/>
    <numFmt numFmtId="168" formatCode="[$-F800]dddd\,\ mmmm\ dd\,\ yyyy"/>
  </numFmts>
  <fonts count="64" x14ac:knownFonts="1">
    <font>
      <sz val="10"/>
      <color rgb="FF000000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9C57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rgb="FF9C5700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sz val="14"/>
      <color rgb="FF000000"/>
      <name val="Calibri"/>
      <family val="2"/>
      <scheme val="minor"/>
    </font>
    <font>
      <b/>
      <sz val="16"/>
      <color rgb="FF000000"/>
      <name val="Calibri"/>
      <family val="2"/>
      <scheme val="minor"/>
    </font>
    <font>
      <sz val="16"/>
      <color rgb="FF000000"/>
      <name val="Calibri"/>
      <family val="2"/>
      <scheme val="minor"/>
    </font>
    <font>
      <b/>
      <sz val="20"/>
      <color rgb="FF000000"/>
      <name val="Calibri"/>
      <family val="2"/>
      <scheme val="minor"/>
    </font>
    <font>
      <b/>
      <sz val="22"/>
      <color theme="1"/>
      <name val="Arial Black"/>
      <family val="2"/>
    </font>
    <font>
      <sz val="18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36"/>
      <color theme="4" tint="0.79998168889431442"/>
      <name val="Calibri"/>
      <family val="2"/>
      <scheme val="minor"/>
    </font>
    <font>
      <b/>
      <sz val="26"/>
      <color theme="4" tint="0.79998168889431442"/>
      <name val="Calibri"/>
      <family val="2"/>
      <scheme val="minor"/>
    </font>
    <font>
      <b/>
      <sz val="20"/>
      <color theme="4" tint="0.79998168889431442"/>
      <name val="Calibri"/>
      <family val="2"/>
      <scheme val="minor"/>
    </font>
    <font>
      <sz val="20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  <font>
      <b/>
      <sz val="26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28"/>
      <color theme="0"/>
      <name val="Calibri"/>
      <family val="2"/>
      <scheme val="minor"/>
    </font>
    <font>
      <sz val="16"/>
      <color rgb="FF000000"/>
      <name val="Arial"/>
      <family val="2"/>
    </font>
    <font>
      <b/>
      <sz val="18"/>
      <name val="Calibri"/>
      <family val="2"/>
      <scheme val="minor"/>
    </font>
    <font>
      <b/>
      <sz val="16"/>
      <color theme="1"/>
      <name val="Arial Black"/>
      <family val="2"/>
    </font>
    <font>
      <sz val="22"/>
      <color theme="1"/>
      <name val="Calibri"/>
      <family val="2"/>
      <scheme val="minor"/>
    </font>
    <font>
      <sz val="24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  <font>
      <b/>
      <sz val="18"/>
      <color theme="0"/>
      <name val="Calibri"/>
      <family val="2"/>
      <scheme val="minor"/>
    </font>
    <font>
      <b/>
      <sz val="22"/>
      <color theme="0"/>
      <name val="Calibri"/>
      <family val="2"/>
      <scheme val="minor"/>
    </font>
    <font>
      <b/>
      <sz val="26"/>
      <color theme="0" tint="-0.249977111117893"/>
      <name val="Calibri"/>
      <family val="2"/>
      <scheme val="minor"/>
    </font>
    <font>
      <b/>
      <sz val="36"/>
      <color theme="0"/>
      <name val="Calibri"/>
      <family val="2"/>
      <scheme val="minor"/>
    </font>
    <font>
      <sz val="48"/>
      <color theme="6" tint="-0.249977111117893"/>
      <name val="Britannic Bold"/>
      <family val="2"/>
    </font>
    <font>
      <sz val="11"/>
      <name val="Calibri"/>
      <family val="2"/>
      <scheme val="minor"/>
    </font>
    <font>
      <sz val="20"/>
      <color theme="1"/>
      <name val="Bahnschrift SemiBold SemiConden"/>
      <family val="2"/>
    </font>
    <font>
      <b/>
      <sz val="26"/>
      <color theme="5" tint="0.79998168889431442"/>
      <name val="Calibri"/>
      <family val="2"/>
      <scheme val="minor"/>
    </font>
    <font>
      <b/>
      <sz val="24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22"/>
      <color rgb="FF000000"/>
      <name val="Calibri"/>
      <family val="2"/>
      <scheme val="minor"/>
    </font>
    <font>
      <b/>
      <sz val="26"/>
      <color theme="0"/>
      <name val="Calibri"/>
      <family val="2"/>
      <scheme val="minor"/>
    </font>
    <font>
      <sz val="32"/>
      <color theme="6" tint="-0.249977111117893"/>
      <name val="Britannic Bold"/>
      <family val="2"/>
    </font>
    <font>
      <u/>
      <sz val="10"/>
      <color theme="10"/>
      <name val="Calibri"/>
      <family val="2"/>
      <scheme val="minor"/>
    </font>
    <font>
      <sz val="12"/>
      <color rgb="FF000000"/>
      <name val="Calibri"/>
      <family val="2"/>
      <scheme val="minor"/>
    </font>
    <font>
      <b/>
      <sz val="28"/>
      <color theme="0" tint="-4.9989318521683403E-2"/>
      <name val="Calibri"/>
      <family val="2"/>
      <scheme val="minor"/>
    </font>
    <font>
      <b/>
      <sz val="26"/>
      <color rgb="FF000000"/>
      <name val="Calibri"/>
      <family val="2"/>
      <scheme val="minor"/>
    </font>
    <font>
      <b/>
      <sz val="20"/>
      <color theme="0"/>
      <name val="Calibri"/>
      <family val="2"/>
      <scheme val="minor"/>
    </font>
    <font>
      <b/>
      <sz val="24"/>
      <color theme="0" tint="-4.9989318521683403E-2"/>
      <name val="Calibri"/>
      <family val="2"/>
      <scheme val="minor"/>
    </font>
    <font>
      <b/>
      <sz val="12"/>
      <color rgb="FF9C5700"/>
      <name val="Calibri"/>
      <family val="2"/>
      <scheme val="minor"/>
    </font>
    <font>
      <b/>
      <sz val="11"/>
      <color theme="0" tint="-4.9989318521683403E-2"/>
      <name val="Calibri"/>
      <family val="2"/>
      <scheme val="minor"/>
    </font>
    <font>
      <sz val="8"/>
      <name val="Calibri"/>
      <family val="2"/>
      <scheme val="minor"/>
    </font>
    <font>
      <b/>
      <sz val="24"/>
      <color rgb="FF000000"/>
      <name val="Calibri"/>
      <family val="2"/>
      <scheme val="minor"/>
    </font>
    <font>
      <b/>
      <sz val="10"/>
      <color rgb="FF000000"/>
      <name val="Algerian"/>
      <family val="5"/>
    </font>
    <font>
      <b/>
      <sz val="14"/>
      <color theme="0"/>
      <name val="Calibri"/>
      <family val="2"/>
      <scheme val="minor"/>
    </font>
    <font>
      <b/>
      <sz val="14"/>
      <color theme="1"/>
      <name val="Cascadia Code Light"/>
      <family val="3"/>
    </font>
    <font>
      <sz val="10"/>
      <color theme="1"/>
      <name val="Calibri"/>
      <family val="2"/>
      <scheme val="minor"/>
    </font>
    <font>
      <b/>
      <sz val="14"/>
      <color rgb="FFFF0000"/>
      <name val="Calibri"/>
      <family val="2"/>
      <scheme val="minor"/>
    </font>
  </fonts>
  <fills count="29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rgb="FFA5A5A5"/>
      </patternFill>
    </fill>
    <fill>
      <patternFill patternType="solid">
        <fgColor theme="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DFDBF9"/>
        <bgColor indexed="64"/>
      </patternFill>
    </fill>
    <fill>
      <patternFill patternType="solid">
        <fgColor rgb="FF72FAF4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8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1" tint="0.14999847407452621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F7E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79998168889431442"/>
        <bgColor indexed="64"/>
      </patternFill>
    </fill>
  </fills>
  <borders count="30">
    <border>
      <left/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theme="6" tint="0.39997558519241921"/>
      </left>
      <right/>
      <top style="medium">
        <color indexed="64"/>
      </top>
      <bottom/>
      <diagonal/>
    </border>
    <border>
      <left style="medium">
        <color indexed="64"/>
      </left>
      <right/>
      <top style="thin">
        <color theme="6" tint="0.39997558519241921"/>
      </top>
      <bottom/>
      <diagonal/>
    </border>
    <border>
      <left style="medium">
        <color indexed="64"/>
      </left>
      <right style="medium">
        <color indexed="64"/>
      </right>
      <top style="thin">
        <color theme="6" tint="0.39997558519241921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theme="6" tint="0.39997558519241921"/>
      </top>
      <bottom/>
      <diagonal/>
    </border>
    <border>
      <left style="medium">
        <color indexed="64"/>
      </left>
      <right/>
      <top style="medium">
        <color indexed="64"/>
      </top>
      <bottom style="thin">
        <color theme="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theme="6" tint="0.39997558519241921"/>
      </top>
      <bottom style="thin">
        <color theme="6" tint="0.39997558519241921"/>
      </bottom>
      <diagonal/>
    </border>
    <border>
      <left/>
      <right style="medium">
        <color indexed="64"/>
      </right>
      <top style="thin">
        <color theme="6" tint="0.39997558519241921"/>
      </top>
      <bottom style="thin">
        <color theme="6" tint="0.39997558519241921"/>
      </bottom>
      <diagonal/>
    </border>
    <border>
      <left/>
      <right/>
      <top style="thin">
        <color theme="6" tint="0.39997558519241921"/>
      </top>
      <bottom style="thin">
        <color theme="6" tint="0.3999755851924192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 style="thin">
        <color theme="6" tint="0.39997558519241921"/>
      </top>
      <bottom/>
      <diagonal/>
    </border>
  </borders>
  <cellStyleXfs count="9">
    <xf numFmtId="0" fontId="0" fillId="0" borderId="0"/>
    <xf numFmtId="0" fontId="6" fillId="2" borderId="0" applyNumberFormat="0" applyBorder="0" applyAlignment="0" applyProtection="0"/>
    <xf numFmtId="0" fontId="7" fillId="3" borderId="1" applyNumberFormat="0" applyAlignment="0" applyProtection="0"/>
    <xf numFmtId="0" fontId="8" fillId="0" borderId="0"/>
    <xf numFmtId="0" fontId="5" fillId="0" borderId="0"/>
    <xf numFmtId="0" fontId="3" fillId="0" borderId="0"/>
    <xf numFmtId="0" fontId="2" fillId="21" borderId="0" applyNumberFormat="0" applyBorder="0" applyAlignment="0" applyProtection="0"/>
    <xf numFmtId="0" fontId="49" fillId="0" borderId="0" applyNumberFormat="0" applyFill="0" applyBorder="0" applyAlignment="0" applyProtection="0"/>
    <xf numFmtId="0" fontId="1" fillId="0" borderId="0"/>
  </cellStyleXfs>
  <cellXfs count="190">
    <xf numFmtId="0" fontId="0" fillId="0" borderId="0" xfId="0"/>
    <xf numFmtId="0" fontId="9" fillId="4" borderId="0" xfId="1" applyFont="1" applyFill="1" applyBorder="1"/>
    <xf numFmtId="0" fontId="10" fillId="0" borderId="0" xfId="0" applyFont="1" applyAlignment="1">
      <alignment vertical="center"/>
    </xf>
    <xf numFmtId="0" fontId="8" fillId="4" borderId="0" xfId="3" applyFill="1"/>
    <xf numFmtId="0" fontId="12" fillId="4" borderId="0" xfId="3" applyFont="1" applyFill="1" applyAlignment="1">
      <alignment horizontal="right"/>
    </xf>
    <xf numFmtId="167" fontId="12" fillId="4" borderId="0" xfId="3" applyNumberFormat="1" applyFont="1" applyFill="1" applyAlignment="1">
      <alignment vertical="center"/>
    </xf>
    <xf numFmtId="0" fontId="5" fillId="4" borderId="0" xfId="4" applyFill="1" applyAlignment="1">
      <alignment horizontal="center"/>
    </xf>
    <xf numFmtId="0" fontId="5" fillId="4" borderId="0" xfId="4" applyFill="1"/>
    <xf numFmtId="0" fontId="5" fillId="4" borderId="0" xfId="4" applyFill="1" applyAlignment="1">
      <alignment horizontal="center" vertical="center"/>
    </xf>
    <xf numFmtId="0" fontId="5" fillId="10" borderId="0" xfId="4" applyFill="1" applyAlignment="1">
      <alignment horizontal="center" vertical="center"/>
    </xf>
    <xf numFmtId="0" fontId="5" fillId="0" borderId="0" xfId="4"/>
    <xf numFmtId="0" fontId="5" fillId="0" borderId="0" xfId="4" applyAlignment="1">
      <alignment horizontal="center"/>
    </xf>
    <xf numFmtId="1" fontId="8" fillId="4" borderId="0" xfId="3" applyNumberFormat="1" applyFill="1" applyAlignment="1">
      <alignment horizontal="left"/>
    </xf>
    <xf numFmtId="164" fontId="8" fillId="4" borderId="0" xfId="3" applyNumberFormat="1" applyFill="1" applyAlignment="1">
      <alignment horizontal="center"/>
    </xf>
    <xf numFmtId="49" fontId="8" fillId="4" borderId="0" xfId="3" applyNumberFormat="1" applyFill="1"/>
    <xf numFmtId="0" fontId="8" fillId="4" borderId="0" xfId="3" applyFill="1" applyAlignment="1">
      <alignment horizontal="left"/>
    </xf>
    <xf numFmtId="0" fontId="4" fillId="14" borderId="0" xfId="4" applyFont="1" applyFill="1" applyAlignment="1">
      <alignment horizontal="center"/>
    </xf>
    <xf numFmtId="0" fontId="5" fillId="14" borderId="0" xfId="4" applyFill="1" applyAlignment="1">
      <alignment horizontal="center"/>
    </xf>
    <xf numFmtId="0" fontId="5" fillId="4" borderId="0" xfId="4" applyFill="1" applyBorder="1" applyAlignment="1">
      <alignment horizontal="center"/>
    </xf>
    <xf numFmtId="0" fontId="19" fillId="12" borderId="7" xfId="4" applyNumberFormat="1" applyFont="1" applyFill="1" applyBorder="1" applyAlignment="1">
      <alignment horizontal="center" vertical="center" wrapText="1"/>
    </xf>
    <xf numFmtId="0" fontId="20" fillId="12" borderId="7" xfId="4" applyNumberFormat="1" applyFont="1" applyFill="1" applyBorder="1" applyAlignment="1">
      <alignment horizontal="center" vertical="center" wrapText="1"/>
    </xf>
    <xf numFmtId="0" fontId="21" fillId="12" borderId="7" xfId="4" applyNumberFormat="1" applyFont="1" applyFill="1" applyBorder="1" applyAlignment="1">
      <alignment horizontal="center" vertical="center" wrapText="1"/>
    </xf>
    <xf numFmtId="0" fontId="5" fillId="17" borderId="0" xfId="4" applyFill="1" applyBorder="1" applyAlignment="1">
      <alignment horizontal="center"/>
    </xf>
    <xf numFmtId="0" fontId="26" fillId="13" borderId="0" xfId="4" applyFont="1" applyFill="1" applyAlignment="1">
      <alignment horizontal="center"/>
    </xf>
    <xf numFmtId="0" fontId="23" fillId="4" borderId="0" xfId="4" applyFont="1" applyFill="1" applyAlignment="1">
      <alignment horizontal="center"/>
    </xf>
    <xf numFmtId="0" fontId="35" fillId="12" borderId="5" xfId="4" applyNumberFormat="1" applyFont="1" applyFill="1" applyBorder="1" applyAlignment="1">
      <alignment horizontal="center" vertical="center"/>
    </xf>
    <xf numFmtId="0" fontId="0" fillId="4" borderId="0" xfId="0" applyFill="1"/>
    <xf numFmtId="0" fontId="16" fillId="4" borderId="0" xfId="4" applyFont="1" applyFill="1" applyAlignment="1">
      <alignment horizontal="right" vertical="center"/>
    </xf>
    <xf numFmtId="0" fontId="5" fillId="17" borderId="0" xfId="4" applyFill="1" applyAlignment="1">
      <alignment horizontal="center"/>
    </xf>
    <xf numFmtId="0" fontId="38" fillId="14" borderId="0" xfId="4" applyFont="1" applyFill="1" applyAlignment="1">
      <alignment horizontal="center"/>
    </xf>
    <xf numFmtId="0" fontId="23" fillId="7" borderId="0" xfId="4" applyFont="1" applyFill="1" applyAlignment="1">
      <alignment horizontal="center"/>
    </xf>
    <xf numFmtId="164" fontId="31" fillId="4" borderId="0" xfId="4" applyNumberFormat="1" applyFont="1" applyFill="1" applyAlignment="1">
      <alignment horizontal="center"/>
    </xf>
    <xf numFmtId="0" fontId="17" fillId="17" borderId="0" xfId="4" applyFont="1" applyFill="1" applyAlignment="1">
      <alignment horizontal="center"/>
    </xf>
    <xf numFmtId="0" fontId="30" fillId="17" borderId="0" xfId="4" applyFont="1" applyFill="1" applyAlignment="1">
      <alignment horizontal="center"/>
    </xf>
    <xf numFmtId="0" fontId="39" fillId="14" borderId="0" xfId="4" applyFont="1" applyFill="1" applyAlignment="1">
      <alignment horizontal="right" vertical="center"/>
    </xf>
    <xf numFmtId="0" fontId="39" fillId="14" borderId="0" xfId="4" applyFont="1" applyFill="1" applyAlignment="1">
      <alignment horizontal="center" vertical="center"/>
    </xf>
    <xf numFmtId="0" fontId="32" fillId="4" borderId="0" xfId="4" applyFont="1" applyFill="1" applyBorder="1" applyAlignment="1">
      <alignment horizontal="center"/>
    </xf>
    <xf numFmtId="0" fontId="19" fillId="19" borderId="7" xfId="4" applyNumberFormat="1" applyFont="1" applyFill="1" applyBorder="1" applyAlignment="1">
      <alignment horizontal="center" vertical="center" wrapText="1"/>
    </xf>
    <xf numFmtId="0" fontId="20" fillId="19" borderId="7" xfId="4" applyNumberFormat="1" applyFont="1" applyFill="1" applyBorder="1" applyAlignment="1">
      <alignment horizontal="center" vertical="center" wrapText="1"/>
    </xf>
    <xf numFmtId="0" fontId="21" fillId="19" borderId="7" xfId="4" applyNumberFormat="1" applyFont="1" applyFill="1" applyBorder="1" applyAlignment="1">
      <alignment horizontal="center" vertical="center" wrapText="1"/>
    </xf>
    <xf numFmtId="0" fontId="25" fillId="4" borderId="0" xfId="4" applyFont="1" applyFill="1" applyAlignment="1">
      <alignment horizontal="center"/>
    </xf>
    <xf numFmtId="0" fontId="28" fillId="5" borderId="5" xfId="4" applyFont="1" applyFill="1" applyBorder="1" applyAlignment="1">
      <alignment horizontal="center" vertical="center" wrapText="1"/>
    </xf>
    <xf numFmtId="0" fontId="28" fillId="5" borderId="6" xfId="4" applyFont="1" applyFill="1" applyBorder="1" applyAlignment="1">
      <alignment horizontal="center" vertical="center" wrapText="1"/>
    </xf>
    <xf numFmtId="0" fontId="28" fillId="15" borderId="5" xfId="4" applyFont="1" applyFill="1" applyBorder="1" applyAlignment="1">
      <alignment horizontal="center" vertical="center" wrapText="1"/>
    </xf>
    <xf numFmtId="0" fontId="28" fillId="15" borderId="6" xfId="4" applyFont="1" applyFill="1" applyBorder="1" applyAlignment="1">
      <alignment horizontal="center" vertical="center" wrapText="1"/>
    </xf>
    <xf numFmtId="0" fontId="28" fillId="9" borderId="5" xfId="4" applyFont="1" applyFill="1" applyBorder="1" applyAlignment="1">
      <alignment horizontal="center" vertical="center" wrapText="1"/>
    </xf>
    <xf numFmtId="0" fontId="28" fillId="9" borderId="6" xfId="4" applyFont="1" applyFill="1" applyBorder="1" applyAlignment="1">
      <alignment horizontal="center" vertical="center" wrapText="1"/>
    </xf>
    <xf numFmtId="0" fontId="28" fillId="17" borderId="5" xfId="4" applyFont="1" applyFill="1" applyBorder="1" applyAlignment="1">
      <alignment horizontal="center" vertical="center" wrapText="1"/>
    </xf>
    <xf numFmtId="0" fontId="28" fillId="17" borderId="6" xfId="4" applyFont="1" applyFill="1" applyBorder="1" applyAlignment="1">
      <alignment horizontal="center" vertical="center" wrapText="1"/>
    </xf>
    <xf numFmtId="165" fontId="8" fillId="4" borderId="0" xfId="3" applyNumberFormat="1" applyFill="1"/>
    <xf numFmtId="164" fontId="18" fillId="4" borderId="15" xfId="4" applyNumberFormat="1" applyFont="1" applyFill="1" applyBorder="1" applyAlignment="1">
      <alignment horizontal="center"/>
    </xf>
    <xf numFmtId="164" fontId="22" fillId="0" borderId="15" xfId="4" applyNumberFormat="1" applyFont="1" applyFill="1" applyBorder="1" applyAlignment="1">
      <alignment horizontal="right"/>
    </xf>
    <xf numFmtId="164" fontId="22" fillId="0" borderId="10" xfId="4" applyNumberFormat="1" applyFont="1" applyFill="1" applyBorder="1" applyAlignment="1">
      <alignment horizontal="right"/>
    </xf>
    <xf numFmtId="164" fontId="23" fillId="0" borderId="9" xfId="4" applyNumberFormat="1" applyFont="1" applyFill="1" applyBorder="1" applyAlignment="1">
      <alignment horizontal="right"/>
    </xf>
    <xf numFmtId="164" fontId="23" fillId="0" borderId="11" xfId="4" applyNumberFormat="1" applyFont="1" applyFill="1" applyBorder="1" applyAlignment="1">
      <alignment horizontal="right"/>
    </xf>
    <xf numFmtId="0" fontId="8" fillId="4" borderId="0" xfId="3" applyFill="1" applyAlignment="1">
      <alignment horizontal="center"/>
    </xf>
    <xf numFmtId="0" fontId="13" fillId="8" borderId="0" xfId="3" applyFont="1" applyFill="1" applyAlignment="1">
      <alignment horizontal="left" vertical="center"/>
    </xf>
    <xf numFmtId="0" fontId="11" fillId="8" borderId="0" xfId="3" applyFont="1" applyFill="1" applyAlignment="1">
      <alignment horizontal="left" vertical="center"/>
    </xf>
    <xf numFmtId="0" fontId="11" fillId="8" borderId="0" xfId="3" applyFont="1" applyFill="1" applyAlignment="1">
      <alignment vertical="center"/>
    </xf>
    <xf numFmtId="166" fontId="8" fillId="4" borderId="0" xfId="3" applyNumberFormat="1" applyFill="1"/>
    <xf numFmtId="0" fontId="41" fillId="4" borderId="0" xfId="4" applyFont="1" applyFill="1" applyBorder="1" applyAlignment="1"/>
    <xf numFmtId="0" fontId="8" fillId="6" borderId="0" xfId="3" applyFill="1"/>
    <xf numFmtId="1" fontId="8" fillId="4" borderId="0" xfId="3" applyNumberFormat="1" applyFill="1" applyAlignment="1">
      <alignment horizontal="right"/>
    </xf>
    <xf numFmtId="0" fontId="8" fillId="0" borderId="0" xfId="3"/>
    <xf numFmtId="165" fontId="8" fillId="4" borderId="0" xfId="3" applyNumberFormat="1" applyFill="1" applyAlignment="1">
      <alignment horizontal="right"/>
    </xf>
    <xf numFmtId="49" fontId="8" fillId="4" borderId="0" xfId="3" applyNumberFormat="1" applyFill="1" applyAlignment="1">
      <alignment horizontal="left"/>
    </xf>
    <xf numFmtId="164" fontId="8" fillId="4" borderId="0" xfId="3" applyNumberFormat="1" applyFill="1"/>
    <xf numFmtId="164" fontId="22" fillId="0" borderId="3" xfId="4" applyNumberFormat="1" applyFont="1" applyFill="1" applyBorder="1" applyAlignment="1">
      <alignment horizontal="right"/>
    </xf>
    <xf numFmtId="3" fontId="18" fillId="4" borderId="15" xfId="4" applyNumberFormat="1" applyFont="1" applyFill="1" applyBorder="1" applyAlignment="1">
      <alignment horizontal="center"/>
    </xf>
    <xf numFmtId="0" fontId="18" fillId="0" borderId="9" xfId="4" applyNumberFormat="1" applyFont="1" applyFill="1" applyBorder="1" applyAlignment="1">
      <alignment horizontal="center"/>
    </xf>
    <xf numFmtId="0" fontId="18" fillId="0" borderId="10" xfId="4" applyNumberFormat="1" applyFont="1" applyFill="1" applyBorder="1" applyAlignment="1">
      <alignment horizontal="center"/>
    </xf>
    <xf numFmtId="0" fontId="23" fillId="17" borderId="0" xfId="4" applyFont="1" applyFill="1" applyAlignment="1">
      <alignment horizontal="center"/>
    </xf>
    <xf numFmtId="0" fontId="44" fillId="4" borderId="0" xfId="4" applyFont="1" applyFill="1" applyAlignment="1">
      <alignment horizontal="center" wrapText="1"/>
    </xf>
    <xf numFmtId="0" fontId="45" fillId="4" borderId="0" xfId="4" applyFont="1" applyFill="1"/>
    <xf numFmtId="0" fontId="40" fillId="20" borderId="7" xfId="4" applyFont="1" applyFill="1" applyBorder="1" applyAlignment="1">
      <alignment horizontal="center" vertical="center" wrapText="1"/>
    </xf>
    <xf numFmtId="0" fontId="40" fillId="24" borderId="8" xfId="4" applyFont="1" applyFill="1" applyBorder="1" applyAlignment="1">
      <alignment horizontal="center" vertical="center" wrapText="1"/>
    </xf>
    <xf numFmtId="0" fontId="24" fillId="11" borderId="7" xfId="4" applyFont="1" applyFill="1" applyBorder="1" applyAlignment="1">
      <alignment horizontal="center" vertical="center" wrapText="1"/>
    </xf>
    <xf numFmtId="0" fontId="24" fillId="11" borderId="8" xfId="4" applyFont="1" applyFill="1" applyBorder="1" applyAlignment="1">
      <alignment horizontal="center" vertical="center" wrapText="1"/>
    </xf>
    <xf numFmtId="0" fontId="24" fillId="9" borderId="7" xfId="4" applyFont="1" applyFill="1" applyBorder="1" applyAlignment="1">
      <alignment horizontal="center" vertical="center" wrapText="1"/>
    </xf>
    <xf numFmtId="9" fontId="24" fillId="17" borderId="8" xfId="4" applyNumberFormat="1" applyFont="1" applyFill="1" applyBorder="1" applyAlignment="1">
      <alignment horizontal="center" vertical="center" wrapText="1"/>
    </xf>
    <xf numFmtId="0" fontId="45" fillId="4" borderId="0" xfId="4" applyFont="1" applyFill="1" applyAlignment="1">
      <alignment horizontal="center" vertical="center"/>
    </xf>
    <xf numFmtId="0" fontId="14" fillId="0" borderId="0" xfId="0" applyFont="1"/>
    <xf numFmtId="0" fontId="40" fillId="20" borderId="16" xfId="4" applyFont="1" applyFill="1" applyBorder="1" applyAlignment="1">
      <alignment horizontal="center" vertical="center" wrapText="1"/>
    </xf>
    <xf numFmtId="0" fontId="21" fillId="19" borderId="7" xfId="4" applyFont="1" applyFill="1" applyBorder="1" applyAlignment="1">
      <alignment horizontal="center" vertical="center" wrapText="1"/>
    </xf>
    <xf numFmtId="164" fontId="22" fillId="4" borderId="0" xfId="4" applyNumberFormat="1" applyFont="1" applyFill="1" applyBorder="1" applyAlignment="1">
      <alignment horizontal="center"/>
    </xf>
    <xf numFmtId="9" fontId="22" fillId="4" borderId="0" xfId="4" applyNumberFormat="1" applyFont="1" applyFill="1" applyBorder="1" applyAlignment="1">
      <alignment horizontal="center"/>
    </xf>
    <xf numFmtId="164" fontId="22" fillId="25" borderId="0" xfId="4" applyNumberFormat="1" applyFont="1" applyFill="1" applyBorder="1" applyAlignment="1">
      <alignment horizontal="center"/>
    </xf>
    <xf numFmtId="9" fontId="43" fillId="25" borderId="0" xfId="4" applyNumberFormat="1" applyFont="1" applyFill="1" applyBorder="1" applyAlignment="1">
      <alignment horizontal="center"/>
    </xf>
    <xf numFmtId="164" fontId="32" fillId="26" borderId="2" xfId="4" applyNumberFormat="1" applyFont="1" applyFill="1" applyBorder="1" applyAlignment="1">
      <alignment horizontal="center"/>
    </xf>
    <xf numFmtId="164" fontId="31" fillId="26" borderId="2" xfId="4" applyNumberFormat="1" applyFont="1" applyFill="1" applyBorder="1" applyAlignment="1">
      <alignment horizontal="center"/>
    </xf>
    <xf numFmtId="0" fontId="38" fillId="17" borderId="0" xfId="4" applyFont="1" applyFill="1" applyAlignment="1">
      <alignment horizontal="center"/>
    </xf>
    <xf numFmtId="164" fontId="31" fillId="0" borderId="0" xfId="4" applyNumberFormat="1" applyFont="1" applyFill="1" applyAlignment="1">
      <alignment horizontal="center"/>
    </xf>
    <xf numFmtId="0" fontId="0" fillId="0" borderId="0" xfId="0" applyFill="1"/>
    <xf numFmtId="0" fontId="5" fillId="0" borderId="0" xfId="4" applyFill="1" applyAlignment="1"/>
    <xf numFmtId="0" fontId="42" fillId="17" borderId="0" xfId="4" applyFont="1" applyFill="1" applyAlignment="1">
      <alignment horizontal="center"/>
    </xf>
    <xf numFmtId="0" fontId="47" fillId="18" borderId="0" xfId="4" applyFont="1" applyFill="1" applyBorder="1" applyAlignment="1">
      <alignment horizontal="center"/>
    </xf>
    <xf numFmtId="0" fontId="5" fillId="17" borderId="20" xfId="4" applyFill="1" applyBorder="1" applyAlignment="1">
      <alignment horizontal="center"/>
    </xf>
    <xf numFmtId="164" fontId="32" fillId="4" borderId="0" xfId="4" applyNumberFormat="1" applyFont="1" applyFill="1" applyBorder="1" applyAlignment="1">
      <alignment horizontal="center"/>
    </xf>
    <xf numFmtId="0" fontId="33" fillId="18" borderId="19" xfId="4" applyFont="1" applyFill="1" applyBorder="1" applyAlignment="1">
      <alignment horizontal="center"/>
    </xf>
    <xf numFmtId="164" fontId="32" fillId="4" borderId="21" xfId="4" applyNumberFormat="1" applyFont="1" applyFill="1" applyBorder="1" applyAlignment="1">
      <alignment horizontal="center"/>
    </xf>
    <xf numFmtId="0" fontId="18" fillId="7" borderId="13" xfId="4" applyFont="1" applyFill="1" applyBorder="1" applyAlignment="1">
      <alignment horizontal="center" vertical="center"/>
    </xf>
    <xf numFmtId="0" fontId="33" fillId="18" borderId="0" xfId="4" applyFont="1" applyFill="1" applyBorder="1" applyAlignment="1">
      <alignment horizontal="center" vertical="center"/>
    </xf>
    <xf numFmtId="0" fontId="34" fillId="18" borderId="0" xfId="4" applyFont="1" applyFill="1" applyAlignment="1">
      <alignment horizontal="center" vertical="center"/>
    </xf>
    <xf numFmtId="0" fontId="49" fillId="4" borderId="0" xfId="7" applyFill="1" applyAlignment="1">
      <alignment vertical="center"/>
    </xf>
    <xf numFmtId="9" fontId="51" fillId="24" borderId="0" xfId="3" applyNumberFormat="1" applyFont="1" applyFill="1" applyAlignment="1">
      <alignment horizontal="right"/>
    </xf>
    <xf numFmtId="0" fontId="54" fillId="24" borderId="0" xfId="3" applyFont="1" applyFill="1" applyAlignment="1">
      <alignment horizontal="right"/>
    </xf>
    <xf numFmtId="9" fontId="54" fillId="24" borderId="0" xfId="3" applyNumberFormat="1" applyFont="1" applyFill="1" applyAlignment="1">
      <alignment horizontal="right"/>
    </xf>
    <xf numFmtId="167" fontId="15" fillId="5" borderId="2" xfId="3" applyNumberFormat="1" applyFont="1" applyFill="1" applyBorder="1" applyAlignment="1">
      <alignment vertical="center"/>
    </xf>
    <xf numFmtId="0" fontId="55" fillId="2" borderId="0" xfId="1" applyFont="1" applyBorder="1" applyAlignment="1">
      <alignment horizontal="center" vertical="center" wrapText="1"/>
    </xf>
    <xf numFmtId="164" fontId="8" fillId="6" borderId="0" xfId="3" applyNumberFormat="1" applyFill="1" applyAlignment="1">
      <alignment horizontal="center"/>
    </xf>
    <xf numFmtId="49" fontId="8" fillId="6" borderId="0" xfId="3" applyNumberFormat="1" applyFill="1"/>
    <xf numFmtId="1" fontId="8" fillId="0" borderId="0" xfId="3" applyNumberFormat="1" applyAlignment="1">
      <alignment horizontal="left"/>
    </xf>
    <xf numFmtId="0" fontId="31" fillId="16" borderId="0" xfId="4" applyFont="1" applyFill="1" applyAlignment="1">
      <alignment horizontal="center"/>
    </xf>
    <xf numFmtId="0" fontId="27" fillId="0" borderId="9" xfId="4" applyFont="1" applyBorder="1" applyAlignment="1">
      <alignment horizontal="left"/>
    </xf>
    <xf numFmtId="0" fontId="18" fillId="4" borderId="15" xfId="4" applyFont="1" applyFill="1" applyBorder="1" applyAlignment="1">
      <alignment horizontal="center"/>
    </xf>
    <xf numFmtId="0" fontId="27" fillId="0" borderId="11" xfId="4" applyFont="1" applyBorder="1" applyAlignment="1">
      <alignment horizontal="left"/>
    </xf>
    <xf numFmtId="0" fontId="31" fillId="16" borderId="28" xfId="4" applyFont="1" applyFill="1" applyBorder="1" applyAlignment="1">
      <alignment horizontal="center"/>
    </xf>
    <xf numFmtId="164" fontId="22" fillId="4" borderId="0" xfId="4" applyNumberFormat="1" applyFont="1" applyFill="1" applyAlignment="1">
      <alignment horizontal="center"/>
    </xf>
    <xf numFmtId="9" fontId="22" fillId="4" borderId="0" xfId="4" applyNumberFormat="1" applyFont="1" applyFill="1" applyAlignment="1">
      <alignment horizontal="center"/>
    </xf>
    <xf numFmtId="9" fontId="43" fillId="25" borderId="0" xfId="4" applyNumberFormat="1" applyFont="1" applyFill="1" applyAlignment="1">
      <alignment horizontal="center"/>
    </xf>
    <xf numFmtId="0" fontId="36" fillId="12" borderId="12" xfId="4" applyFont="1" applyFill="1" applyBorder="1" applyAlignment="1">
      <alignment horizontal="center" vertical="center" wrapText="1"/>
    </xf>
    <xf numFmtId="0" fontId="26" fillId="12" borderId="12" xfId="4" applyFont="1" applyFill="1" applyBorder="1" applyAlignment="1">
      <alignment horizontal="center" vertical="center"/>
    </xf>
    <xf numFmtId="0" fontId="36" fillId="12" borderId="5" xfId="4" applyFont="1" applyFill="1" applyBorder="1" applyAlignment="1">
      <alignment horizontal="center" vertical="center" wrapText="1"/>
    </xf>
    <xf numFmtId="0" fontId="26" fillId="12" borderId="5" xfId="4" applyFont="1" applyFill="1" applyBorder="1" applyAlignment="1">
      <alignment horizontal="center" vertical="center"/>
    </xf>
    <xf numFmtId="0" fontId="28" fillId="6" borderId="5" xfId="4" applyFont="1" applyFill="1" applyBorder="1" applyAlignment="1">
      <alignment horizontal="center" vertical="center" wrapText="1"/>
    </xf>
    <xf numFmtId="0" fontId="28" fillId="6" borderId="6" xfId="4" applyFont="1" applyFill="1" applyBorder="1" applyAlignment="1">
      <alignment horizontal="center" vertical="center" wrapText="1"/>
    </xf>
    <xf numFmtId="0" fontId="28" fillId="10" borderId="5" xfId="4" applyFont="1" applyFill="1" applyBorder="1" applyAlignment="1">
      <alignment horizontal="center" vertical="center" wrapText="1"/>
    </xf>
    <xf numFmtId="0" fontId="28" fillId="10" borderId="6" xfId="4" applyFont="1" applyFill="1" applyBorder="1" applyAlignment="1">
      <alignment horizontal="center" vertical="center" wrapText="1"/>
    </xf>
    <xf numFmtId="0" fontId="28" fillId="28" borderId="5" xfId="4" applyFont="1" applyFill="1" applyBorder="1" applyAlignment="1">
      <alignment horizontal="center" vertical="center" wrapText="1"/>
    </xf>
    <xf numFmtId="0" fontId="28" fillId="28" borderId="6" xfId="4" applyFont="1" applyFill="1" applyBorder="1" applyAlignment="1">
      <alignment horizontal="center" vertical="center" wrapText="1"/>
    </xf>
    <xf numFmtId="164" fontId="23" fillId="0" borderId="27" xfId="4" applyNumberFormat="1" applyFont="1" applyFill="1" applyBorder="1" applyAlignment="1">
      <alignment horizontal="right"/>
    </xf>
    <xf numFmtId="0" fontId="0" fillId="17" borderId="0" xfId="0" applyFill="1"/>
    <xf numFmtId="0" fontId="5" fillId="17" borderId="0" xfId="4" applyFill="1" applyAlignment="1"/>
    <xf numFmtId="3" fontId="18" fillId="4" borderId="10" xfId="8" applyNumberFormat="1" applyFont="1" applyFill="1" applyBorder="1" applyAlignment="1">
      <alignment horizontal="center"/>
    </xf>
    <xf numFmtId="164" fontId="18" fillId="4" borderId="10" xfId="8" applyNumberFormat="1" applyFont="1" applyFill="1" applyBorder="1" applyAlignment="1">
      <alignment horizontal="center"/>
    </xf>
    <xf numFmtId="0" fontId="27" fillId="0" borderId="29" xfId="4" applyFont="1" applyBorder="1" applyAlignment="1">
      <alignment horizontal="left"/>
    </xf>
    <xf numFmtId="0" fontId="39" fillId="17" borderId="0" xfId="4" applyFont="1" applyFill="1" applyAlignment="1">
      <alignment horizontal="right" vertical="center"/>
    </xf>
    <xf numFmtId="164" fontId="31" fillId="17" borderId="0" xfId="4" applyNumberFormat="1" applyFont="1" applyFill="1" applyAlignment="1">
      <alignment horizontal="center"/>
    </xf>
    <xf numFmtId="0" fontId="11" fillId="8" borderId="0" xfId="3" applyFont="1" applyFill="1" applyAlignment="1">
      <alignment horizontal="center" vertical="center"/>
    </xf>
    <xf numFmtId="0" fontId="11" fillId="8" borderId="0" xfId="3" applyFont="1" applyFill="1" applyAlignment="1">
      <alignment horizontal="left" vertical="center" wrapText="1"/>
    </xf>
    <xf numFmtId="0" fontId="55" fillId="2" borderId="0" xfId="1" applyFont="1" applyBorder="1" applyAlignment="1">
      <alignment horizontal="right" vertical="center" wrapText="1"/>
    </xf>
    <xf numFmtId="0" fontId="60" fillId="3" borderId="0" xfId="2" applyFont="1" applyBorder="1" applyAlignment="1">
      <alignment horizontal="center" vertical="center" wrapText="1"/>
    </xf>
    <xf numFmtId="0" fontId="61" fillId="21" borderId="0" xfId="6" applyFont="1" applyBorder="1" applyAlignment="1">
      <alignment horizontal="center" vertical="center" wrapText="1"/>
    </xf>
    <xf numFmtId="0" fontId="56" fillId="22" borderId="0" xfId="3" applyFont="1" applyFill="1" applyAlignment="1">
      <alignment horizontal="left" vertical="center"/>
    </xf>
    <xf numFmtId="1" fontId="8" fillId="6" borderId="0" xfId="3" applyNumberFormat="1" applyFill="1" applyAlignment="1">
      <alignment horizontal="right"/>
    </xf>
    <xf numFmtId="1" fontId="8" fillId="17" borderId="0" xfId="3" applyNumberFormat="1" applyFill="1" applyAlignment="1">
      <alignment horizontal="right"/>
    </xf>
    <xf numFmtId="164" fontId="8" fillId="17" borderId="0" xfId="3" applyNumberFormat="1" applyFill="1" applyAlignment="1">
      <alignment horizontal="center"/>
    </xf>
    <xf numFmtId="49" fontId="8" fillId="17" borderId="0" xfId="3" applyNumberFormat="1" applyFill="1"/>
    <xf numFmtId="0" fontId="0" fillId="0" borderId="0" xfId="0" applyAlignment="1">
      <alignment horizontal="center"/>
    </xf>
    <xf numFmtId="0" fontId="62" fillId="0" borderId="0" xfId="0" applyFont="1"/>
    <xf numFmtId="49" fontId="62" fillId="0" borderId="0" xfId="0" applyNumberFormat="1" applyFont="1" applyAlignment="1">
      <alignment horizontal="center"/>
    </xf>
    <xf numFmtId="0" fontId="31" fillId="16" borderId="0" xfId="4" applyNumberFormat="1" applyFont="1" applyFill="1" applyAlignment="1">
      <alignment horizontal="center"/>
    </xf>
    <xf numFmtId="0" fontId="18" fillId="4" borderId="15" xfId="4" applyNumberFormat="1" applyFont="1" applyFill="1" applyBorder="1" applyAlignment="1">
      <alignment horizontal="center"/>
    </xf>
    <xf numFmtId="0" fontId="27" fillId="0" borderId="11" xfId="4" applyNumberFormat="1" applyFont="1" applyFill="1" applyBorder="1" applyAlignment="1">
      <alignment horizontal="left"/>
    </xf>
    <xf numFmtId="14" fontId="0" fillId="0" borderId="0" xfId="0" applyNumberFormat="1"/>
    <xf numFmtId="1" fontId="8" fillId="0" borderId="0" xfId="3" applyNumberFormat="1" applyFill="1" applyAlignment="1">
      <alignment horizontal="left"/>
    </xf>
    <xf numFmtId="0" fontId="8" fillId="0" borderId="0" xfId="3" applyAlignment="1">
      <alignment horizontal="center"/>
    </xf>
    <xf numFmtId="0" fontId="29" fillId="6" borderId="4" xfId="4" applyFont="1" applyFill="1" applyBorder="1" applyAlignment="1">
      <alignment horizontal="center" vertical="center" wrapText="1"/>
    </xf>
    <xf numFmtId="0" fontId="29" fillId="10" borderId="4" xfId="4" applyFont="1" applyFill="1" applyBorder="1" applyAlignment="1">
      <alignment horizontal="center" vertical="center"/>
    </xf>
    <xf numFmtId="0" fontId="29" fillId="28" borderId="4" xfId="4" applyFont="1" applyFill="1" applyBorder="1" applyAlignment="1">
      <alignment horizontal="center" vertical="center" wrapText="1"/>
    </xf>
    <xf numFmtId="0" fontId="29" fillId="28" borderId="26" xfId="4" applyFont="1" applyFill="1" applyBorder="1" applyAlignment="1">
      <alignment horizontal="center" vertical="center" wrapText="1"/>
    </xf>
    <xf numFmtId="0" fontId="40" fillId="23" borderId="16" xfId="4" applyFont="1" applyFill="1" applyBorder="1" applyAlignment="1">
      <alignment horizontal="center" vertical="center" wrapText="1"/>
    </xf>
    <xf numFmtId="0" fontId="40" fillId="23" borderId="18" xfId="4" applyFont="1" applyFill="1" applyBorder="1" applyAlignment="1">
      <alignment horizontal="center" vertical="center" wrapText="1"/>
    </xf>
    <xf numFmtId="0" fontId="40" fillId="23" borderId="17" xfId="4" applyFont="1" applyFill="1" applyBorder="1" applyAlignment="1">
      <alignment horizontal="center" vertical="center" wrapText="1"/>
    </xf>
    <xf numFmtId="0" fontId="37" fillId="4" borderId="0" xfId="4" applyFont="1" applyFill="1" applyBorder="1" applyAlignment="1">
      <alignment horizontal="left" vertical="center"/>
    </xf>
    <xf numFmtId="0" fontId="29" fillId="5" borderId="4" xfId="4" applyFont="1" applyFill="1" applyBorder="1" applyAlignment="1">
      <alignment horizontal="center" vertical="center"/>
    </xf>
    <xf numFmtId="0" fontId="29" fillId="15" borderId="4" xfId="4" applyFont="1" applyFill="1" applyBorder="1" applyAlignment="1">
      <alignment horizontal="center" vertical="center"/>
    </xf>
    <xf numFmtId="0" fontId="29" fillId="9" borderId="4" xfId="4" applyFont="1" applyFill="1" applyBorder="1" applyAlignment="1">
      <alignment horizontal="center" vertical="center" wrapText="1"/>
    </xf>
    <xf numFmtId="0" fontId="29" fillId="17" borderId="4" xfId="4" applyFont="1" applyFill="1" applyBorder="1" applyAlignment="1">
      <alignment horizontal="center" vertical="center" wrapText="1"/>
    </xf>
    <xf numFmtId="168" fontId="63" fillId="5" borderId="0" xfId="0" applyNumberFormat="1" applyFont="1" applyFill="1" applyAlignment="1">
      <alignment horizontal="center"/>
    </xf>
    <xf numFmtId="0" fontId="59" fillId="0" borderId="0" xfId="0" applyFont="1" applyAlignment="1">
      <alignment horizontal="center"/>
    </xf>
    <xf numFmtId="0" fontId="48" fillId="4" borderId="0" xfId="4" applyFont="1" applyFill="1" applyBorder="1" applyAlignment="1">
      <alignment horizontal="center" vertical="center"/>
    </xf>
    <xf numFmtId="0" fontId="58" fillId="5" borderId="14" xfId="4" applyFont="1" applyFill="1" applyBorder="1" applyAlignment="1">
      <alignment horizontal="left"/>
    </xf>
    <xf numFmtId="0" fontId="58" fillId="5" borderId="0" xfId="4" applyFont="1" applyFill="1" applyBorder="1" applyAlignment="1">
      <alignment horizontal="left"/>
    </xf>
    <xf numFmtId="0" fontId="32" fillId="16" borderId="0" xfId="4" applyFont="1" applyFill="1" applyBorder="1" applyAlignment="1">
      <alignment horizontal="center"/>
    </xf>
    <xf numFmtId="0" fontId="50" fillId="7" borderId="0" xfId="3" applyFont="1" applyFill="1" applyAlignment="1">
      <alignment horizontal="center" vertical="top" wrapText="1"/>
    </xf>
    <xf numFmtId="0" fontId="15" fillId="7" borderId="0" xfId="3" applyFont="1" applyFill="1" applyAlignment="1">
      <alignment horizontal="center"/>
    </xf>
    <xf numFmtId="0" fontId="53" fillId="12" borderId="4" xfId="3" applyFont="1" applyFill="1" applyBorder="1" applyAlignment="1">
      <alignment horizontal="center"/>
    </xf>
    <xf numFmtId="0" fontId="53" fillId="12" borderId="0" xfId="3" applyFont="1" applyFill="1" applyAlignment="1">
      <alignment horizontal="right"/>
    </xf>
    <xf numFmtId="9" fontId="52" fillId="27" borderId="0" xfId="3" applyNumberFormat="1" applyFont="1" applyFill="1" applyAlignment="1">
      <alignment horizontal="right"/>
    </xf>
    <xf numFmtId="0" fontId="52" fillId="27" borderId="0" xfId="3" applyFont="1" applyFill="1" applyAlignment="1">
      <alignment horizontal="right"/>
    </xf>
    <xf numFmtId="164" fontId="46" fillId="7" borderId="25" xfId="3" applyNumberFormat="1" applyFont="1" applyFill="1" applyBorder="1" applyAlignment="1">
      <alignment horizontal="left" vertical="center"/>
    </xf>
    <xf numFmtId="164" fontId="46" fillId="7" borderId="4" xfId="3" applyNumberFormat="1" applyFont="1" applyFill="1" applyBorder="1" applyAlignment="1">
      <alignment horizontal="left" vertical="center"/>
    </xf>
    <xf numFmtId="164" fontId="46" fillId="7" borderId="26" xfId="3" applyNumberFormat="1" applyFont="1" applyFill="1" applyBorder="1" applyAlignment="1">
      <alignment horizontal="left" vertical="center"/>
    </xf>
    <xf numFmtId="164" fontId="46" fillId="7" borderId="14" xfId="3" applyNumberFormat="1" applyFont="1" applyFill="1" applyBorder="1" applyAlignment="1">
      <alignment horizontal="left" vertical="center"/>
    </xf>
    <xf numFmtId="164" fontId="46" fillId="7" borderId="0" xfId="3" applyNumberFormat="1" applyFont="1" applyFill="1" applyBorder="1" applyAlignment="1">
      <alignment horizontal="left" vertical="center"/>
    </xf>
    <xf numFmtId="164" fontId="46" fillId="7" borderId="22" xfId="3" applyNumberFormat="1" applyFont="1" applyFill="1" applyBorder="1" applyAlignment="1">
      <alignment horizontal="left" vertical="center"/>
    </xf>
    <xf numFmtId="164" fontId="46" fillId="4" borderId="5" xfId="3" applyNumberFormat="1" applyFont="1" applyFill="1" applyBorder="1" applyAlignment="1">
      <alignment horizontal="left" vertical="center"/>
    </xf>
    <xf numFmtId="164" fontId="46" fillId="4" borderId="23" xfId="3" applyNumberFormat="1" applyFont="1" applyFill="1" applyBorder="1" applyAlignment="1">
      <alignment horizontal="left" vertical="center"/>
    </xf>
    <xf numFmtId="164" fontId="46" fillId="4" borderId="24" xfId="3" applyNumberFormat="1" applyFont="1" applyFill="1" applyBorder="1" applyAlignment="1">
      <alignment horizontal="left" vertical="center"/>
    </xf>
  </cellXfs>
  <cellStyles count="9">
    <cellStyle name="20% - Énfasis6 2" xfId="6" xr:uid="{C90DDD92-CE69-47E0-806F-7531B85B232B}"/>
    <cellStyle name="Celda de comprobación" xfId="2" builtinId="23"/>
    <cellStyle name="Hipervínculo" xfId="7" builtinId="8"/>
    <cellStyle name="Neutral" xfId="1" builtinId="28"/>
    <cellStyle name="Normal" xfId="0" builtinId="0"/>
    <cellStyle name="Normal 2" xfId="3" xr:uid="{A58FF782-1C81-47A9-938A-AF560EEE3662}"/>
    <cellStyle name="Normal 3" xfId="4" xr:uid="{3267825F-23EB-4266-9502-D21803C62868}"/>
    <cellStyle name="Normal 3 2" xfId="5" xr:uid="{5B457A1D-C3DE-4484-8FDA-CE414A4DCC1D}"/>
    <cellStyle name="Normal 3 3" xfId="8" xr:uid="{FD43C4BA-EE9A-4E8F-9DE9-54DC57A30FC5}"/>
  </cellStyles>
  <dxfs count="5349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FF0000"/>
      </font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00FFFF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00B0F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7" tint="0.79998168889431442"/>
        </patternFill>
      </fill>
    </dxf>
    <dxf>
      <fill>
        <patternFill>
          <bgColor theme="0" tint="-0.14996795556505021"/>
        </patternFill>
      </fill>
    </dxf>
    <dxf>
      <fill>
        <patternFill>
          <bgColor rgb="FF00FF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00B0F0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9" tint="0.39994506668294322"/>
        </patternFill>
      </fill>
    </dxf>
    <dxf>
      <font>
        <color theme="2" tint="-4.9989318521683403E-2"/>
      </font>
      <fill>
        <patternFill>
          <bgColor theme="9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ont>
        <color theme="2" tint="-4.9989318521683403E-2"/>
      </font>
      <fill>
        <patternFill>
          <bgColor theme="9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ont>
        <color theme="2" tint="-4.9989318521683403E-2"/>
      </font>
      <fill>
        <patternFill>
          <bgColor theme="9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ont>
        <color theme="2" tint="-4.9989318521683403E-2"/>
      </font>
      <fill>
        <patternFill>
          <bgColor theme="9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ont>
        <color theme="2" tint="-4.9989318521683403E-2"/>
      </font>
      <fill>
        <patternFill>
          <bgColor theme="9"/>
        </patternFill>
      </fill>
    </dxf>
    <dxf>
      <fill>
        <patternFill>
          <bgColor theme="9" tint="0.59996337778862885"/>
        </patternFill>
      </fill>
    </dxf>
    <dxf>
      <font>
        <color theme="2" tint="-4.9989318521683403E-2"/>
      </font>
      <fill>
        <patternFill>
          <bgColor theme="9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ont>
        <color theme="2" tint="-4.9989318521683403E-2"/>
      </font>
      <fill>
        <patternFill>
          <bgColor theme="9"/>
        </patternFill>
      </fill>
    </dxf>
    <dxf>
      <font>
        <b/>
        <i val="0"/>
        <color theme="1"/>
      </font>
      <fill>
        <patternFill>
          <bgColor rgb="FFFF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0.79998168889431442"/>
        </patternFill>
      </fill>
    </dxf>
    <dxf>
      <font>
        <color theme="9" tint="0.39994506668294322"/>
      </font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20"/>
        <color theme="1"/>
        <name val="Calibri"/>
        <family val="2"/>
        <scheme val="minor"/>
      </font>
      <numFmt numFmtId="13" formatCode="0%"/>
      <fill>
        <patternFill patternType="solid">
          <fgColor indexed="64"/>
          <bgColor theme="6" tint="0.79998168889431442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20"/>
        <color theme="1"/>
        <name val="Calibri"/>
        <family val="2"/>
        <scheme val="minor"/>
      </font>
      <numFmt numFmtId="13" formatCode="0%"/>
      <fill>
        <patternFill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20"/>
        <color theme="1"/>
        <name val="Calibri"/>
        <family val="2"/>
        <scheme val="minor"/>
      </font>
      <numFmt numFmtId="13" formatCode="0%"/>
      <fill>
        <patternFill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20"/>
        <color theme="1"/>
        <name val="Calibri"/>
        <family val="2"/>
        <scheme val="minor"/>
      </font>
      <numFmt numFmtId="13" formatCode="0%"/>
      <fill>
        <patternFill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20"/>
        <color theme="1"/>
        <name val="Calibri"/>
        <family val="2"/>
        <scheme val="minor"/>
      </font>
      <numFmt numFmtId="164" formatCode="&quot;$&quot;\ #,##0"/>
      <fill>
        <patternFill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20"/>
        <color theme="1"/>
        <name val="Calibri"/>
        <family val="2"/>
        <scheme val="minor"/>
      </font>
      <numFmt numFmtId="164" formatCode="&quot;$&quot;\ #,##0"/>
      <fill>
        <patternFill patternType="solid">
          <fgColor indexed="64"/>
          <bgColor theme="6" tint="0.7999816888943144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22"/>
        <color theme="1"/>
        <name val="Calibri"/>
        <family val="2"/>
        <scheme val="minor"/>
      </font>
      <numFmt numFmtId="164" formatCode="&quot;$&quot;\ #,##0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theme="6" tint="0.39997558519241921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22"/>
        <color theme="1"/>
        <name val="Calibri"/>
        <family val="2"/>
        <scheme val="minor"/>
      </font>
      <numFmt numFmtId="164" formatCode="&quot;$&quot;\ #,##0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theme="6" tint="0.39997558519241921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22"/>
        <color theme="1"/>
        <name val="Calibri"/>
        <family val="2"/>
        <scheme val="minor"/>
      </font>
      <numFmt numFmtId="164" formatCode="&quot;$&quot;\ #,##0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theme="6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20"/>
        <color theme="1"/>
        <name val="Calibri"/>
        <family val="2"/>
        <scheme val="minor"/>
      </font>
      <numFmt numFmtId="164" formatCode="&quot;$&quot;\ #,##0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20"/>
        <color theme="1"/>
        <name val="Calibri"/>
        <family val="2"/>
        <scheme val="minor"/>
      </font>
      <numFmt numFmtId="164" formatCode="&quot;$&quot;\ #,##0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numFmt numFmtId="164" formatCode="&quot;$&quot;\ #,##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numFmt numFmtId="3" formatCode="#,##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numFmt numFmtId="164" formatCode="&quot;$&quot;\ #,##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numFmt numFmtId="3" formatCode="#,##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numFmt numFmtId="164" formatCode="&quot;$&quot;\ #,##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numFmt numFmtId="3" formatCode="#,##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numFmt numFmtId="164" formatCode="&quot;$&quot;\ #,##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numFmt numFmtId="3" formatCode="#,##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numFmt numFmtId="164" formatCode="&quot;$&quot;\ #,##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numFmt numFmtId="0" formatCode="General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numFmt numFmtId="164" formatCode="&quot;$&quot;\ #,##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numFmt numFmtId="0" formatCode="General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numFmt numFmtId="164" formatCode="&quot;$&quot;\ #,##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numFmt numFmtId="0" formatCode="General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rgb="FF000000"/>
        <name val="Arial"/>
        <family val="2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theme="6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24"/>
        <color theme="1"/>
        <name val="Calibri"/>
        <family val="2"/>
        <scheme val="minor"/>
      </font>
      <numFmt numFmtId="0" formatCode="General"/>
      <fill>
        <patternFill patternType="solid">
          <fgColor indexed="64"/>
          <bgColor rgb="FF72FAF4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</dxfs>
  <tableStyles count="1" defaultTableStyle="TableStyleMedium2" defaultPivotStyle="PivotStyleLight16">
    <tableStyle name="Estilo de tabla 1" pivot="0" count="0" xr9:uid="{BC7E869B-C3ED-4D3A-9D58-BA0817A44A7E}"/>
  </tableStyles>
  <colors>
    <mruColors>
      <color rgb="FFFFF7E1"/>
      <color rgb="FFDFDBF9"/>
      <color rgb="FF72FAF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500063</xdr:colOff>
      <xdr:row>0</xdr:row>
      <xdr:rowOff>1</xdr:rowOff>
    </xdr:from>
    <xdr:to>
      <xdr:col>2</xdr:col>
      <xdr:colOff>568327</xdr:colOff>
      <xdr:row>16</xdr:row>
      <xdr:rowOff>47625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2F2CAB5F-7BF1-45AD-B571-8FB631C42F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</a:blip>
        <a:stretch>
          <a:fillRect/>
        </a:stretch>
      </xdr:blipFill>
      <xdr:spPr>
        <a:xfrm>
          <a:off x="1571626" y="1"/>
          <a:ext cx="3640139" cy="3643312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607252</xdr:colOff>
      <xdr:row>1</xdr:row>
      <xdr:rowOff>98961</xdr:rowOff>
    </xdr:from>
    <xdr:to>
      <xdr:col>10</xdr:col>
      <xdr:colOff>204107</xdr:colOff>
      <xdr:row>27</xdr:row>
      <xdr:rowOff>163286</xdr:rowOff>
    </xdr:to>
    <xdr:sp macro="" textlink="">
      <xdr:nvSpPr>
        <xdr:cNvPr id="5" name="Rectángulo: esquinas redondeadas 4">
          <a:extLst>
            <a:ext uri="{FF2B5EF4-FFF2-40B4-BE49-F238E27FC236}">
              <a16:creationId xmlns:a16="http://schemas.microsoft.com/office/drawing/2014/main" id="{CBF3EB24-38B4-44C3-AC4E-71E901D9C748}"/>
            </a:ext>
          </a:extLst>
        </xdr:cNvPr>
        <xdr:cNvSpPr/>
      </xdr:nvSpPr>
      <xdr:spPr>
        <a:xfrm>
          <a:off x="2131252" y="262247"/>
          <a:ext cx="11135712" cy="8555182"/>
        </a:xfrm>
        <a:prstGeom prst="roundRect">
          <a:avLst>
            <a:gd name="adj" fmla="val 5556"/>
          </a:avLst>
        </a:prstGeom>
        <a:noFill/>
        <a:effectLst>
          <a:glow>
            <a:schemeClr val="accent1"/>
          </a:glow>
          <a:outerShdw blurRad="50800" dist="38100" dir="8100000" algn="tr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 editAs="oneCell">
    <xdr:from>
      <xdr:col>8</xdr:col>
      <xdr:colOff>345127</xdr:colOff>
      <xdr:row>4</xdr:row>
      <xdr:rowOff>74098</xdr:rowOff>
    </xdr:from>
    <xdr:to>
      <xdr:col>8</xdr:col>
      <xdr:colOff>2217964</xdr:colOff>
      <xdr:row>8</xdr:row>
      <xdr:rowOff>288594</xdr:rowOff>
    </xdr:to>
    <xdr:pic>
      <xdr:nvPicPr>
        <xdr:cNvPr id="12" name="Imagen 11">
          <a:extLst>
            <a:ext uri="{FF2B5EF4-FFF2-40B4-BE49-F238E27FC236}">
              <a16:creationId xmlns:a16="http://schemas.microsoft.com/office/drawing/2014/main" id="{9695A1F7-6B28-4A8A-A5E4-A6DF1AE8282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</a:blip>
        <a:stretch>
          <a:fillRect/>
        </a:stretch>
      </xdr:blipFill>
      <xdr:spPr>
        <a:xfrm>
          <a:off x="9965377" y="754455"/>
          <a:ext cx="1872837" cy="1888174"/>
        </a:xfrm>
        <a:prstGeom prst="rect">
          <a:avLst/>
        </a:prstGeom>
      </xdr:spPr>
    </xdr:pic>
    <xdr:clientData/>
  </xdr:twoCellAnchor>
  <xdr:twoCellAnchor>
    <xdr:from>
      <xdr:col>12</xdr:col>
      <xdr:colOff>0</xdr:colOff>
      <xdr:row>4</xdr:row>
      <xdr:rowOff>299357</xdr:rowOff>
    </xdr:from>
    <xdr:to>
      <xdr:col>13</xdr:col>
      <xdr:colOff>810941</xdr:colOff>
      <xdr:row>6</xdr:row>
      <xdr:rowOff>176894</xdr:rowOff>
    </xdr:to>
    <xdr:sp macro="" textlink="">
      <xdr:nvSpPr>
        <xdr:cNvPr id="2" name="Flecha: a la derecha 1">
          <a:extLst>
            <a:ext uri="{FF2B5EF4-FFF2-40B4-BE49-F238E27FC236}">
              <a16:creationId xmlns:a16="http://schemas.microsoft.com/office/drawing/2014/main" id="{E2634F6B-044A-48DB-B98A-4074D056E9C4}"/>
            </a:ext>
          </a:extLst>
        </xdr:cNvPr>
        <xdr:cNvSpPr/>
      </xdr:nvSpPr>
      <xdr:spPr>
        <a:xfrm>
          <a:off x="14872607" y="1034143"/>
          <a:ext cx="1749834" cy="653144"/>
        </a:xfrm>
        <a:prstGeom prst="rightArrow">
          <a:avLst/>
        </a:prstGeom>
        <a:scene3d>
          <a:camera prst="orthographicFront"/>
          <a:lightRig rig="threePt" dir="t"/>
        </a:scene3d>
        <a:sp3d>
          <a:bevelT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600" b="1"/>
            <a:t>TRM</a:t>
          </a:r>
          <a:r>
            <a:rPr lang="es-CO" sz="1600" baseline="0"/>
            <a:t> </a:t>
          </a:r>
          <a:r>
            <a:rPr lang="es-CO" sz="1600" b="1" baseline="0"/>
            <a:t>AQUÍ</a:t>
          </a:r>
          <a:endParaRPr lang="es-CO" sz="1600" b="1"/>
        </a:p>
      </xdr:txBody>
    </xdr: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189B5F03-0682-406B-8ADF-38315312E67D}" name="Tabla3" displayName="Tabla3" ref="A19:AB75" totalsRowShown="0">
  <autoFilter ref="A19:AB75" xr:uid="{189B5F03-0682-406B-8ADF-38315312E67D}"/>
  <sortState xmlns:xlrd2="http://schemas.microsoft.com/office/spreadsheetml/2017/richdata2" ref="A20:T32">
    <sortCondition ref="C20:C32"/>
  </sortState>
  <tableColumns count="28">
    <tableColumn id="1" xr3:uid="{24928231-2D11-450F-A164-9DCC0B4F2FA4}" name="LISTA" dataDxfId="5348" dataCellStyle="Normal 3">
      <calculatedColumnFormula>(A19+1)</calculatedColumnFormula>
    </tableColumn>
    <tableColumn id="2" xr3:uid="{26996E8E-494E-49B5-8DA5-60DDB5FAB7C0}" name="CC-ID-DNI" dataDxfId="5347" dataCellStyle="Normal 3"/>
    <tableColumn id="21" xr3:uid="{940FA4C9-8C82-45D9-8FE5-780FB0A652A6}" name="NOMBRE" dataDxfId="5346" dataCellStyle="Normal 3"/>
    <tableColumn id="4" xr3:uid="{1FD2DB22-FDB6-41E3-BC33-776BA57625FB}" name="CANT" dataDxfId="5345" dataCellStyle="Normal 3"/>
    <tableColumn id="5" xr3:uid="{87BD2DDF-3751-41C6-BDDB-7A5ABB14FFD1}" name="MONTO" dataDxfId="5344" dataCellStyle="Normal 3">
      <calculatedColumnFormula>(Tabla3[[#This Row],[CANT]]*5000000)</calculatedColumnFormula>
    </tableColumn>
    <tableColumn id="6" xr3:uid="{164D5526-0F4D-46C0-AF53-4865FA82E041}" name="CANT2" dataDxfId="5343" dataCellStyle="Normal 3"/>
    <tableColumn id="7" xr3:uid="{27356B0F-A0CC-47B8-AC1D-43DA285AFD9C}" name="MONTO2" dataDxfId="5342" dataCellStyle="Normal 3"/>
    <tableColumn id="8" xr3:uid="{E7312A44-1FA2-4BA4-9AE0-D0D6ED06925F}" name="CANT3" dataDxfId="5341" dataCellStyle="Normal 3"/>
    <tableColumn id="9" xr3:uid="{C09806EE-B718-4A53-8362-DA4B910374D0}" name="MONTO3" dataDxfId="5340" dataCellStyle="Normal 3"/>
    <tableColumn id="10" xr3:uid="{1F1E94B6-2632-46FD-A511-095BB8BE3DCC}" name="CANT4" dataDxfId="5339" dataCellStyle="Normal 3"/>
    <tableColumn id="11" xr3:uid="{43AB87BB-D6EB-44DD-8CF3-A356C2F817F9}" name="MONTO4" dataDxfId="5338" dataCellStyle="Normal 3"/>
    <tableColumn id="14" xr3:uid="{3C5090B3-2969-4011-9FA9-4608618A963C}" name="CANT5" dataDxfId="5337" dataCellStyle="Normal 3"/>
    <tableColumn id="15" xr3:uid="{A0169FA0-BD83-4F2D-A3D9-70587DE4CC1E}" name="MONTO5" dataDxfId="5336" dataCellStyle="Normal 3"/>
    <tableColumn id="16" xr3:uid="{DE61D1F8-5885-4690-A360-A9DC7FB4E2F2}" name="CANT6" dataDxfId="5335" dataCellStyle="Normal 3"/>
    <tableColumn id="17" xr3:uid="{B8E06A2B-4369-4C3E-82E3-924E01D47E8D}" name="MONTO6" dataDxfId="5334" dataCellStyle="Normal 3">
      <calculatedColumnFormula>(Tabla3[[#This Row],[CANT6]]*200000)</calculatedColumnFormula>
    </tableColumn>
    <tableColumn id="13" xr3:uid="{C629C21B-7E1F-4D25-9B5C-A8334C4BE981}" name="CANT7" dataDxfId="5333" dataCellStyle="Normal 3"/>
    <tableColumn id="12" xr3:uid="{2AD4D448-D8E8-414E-BEFF-EC4118631CB1}" name="MONTO7" dataDxfId="5332" dataCellStyle="Normal 3">
      <calculatedColumnFormula>(20*15000000)</calculatedColumnFormula>
    </tableColumn>
    <tableColumn id="18" xr3:uid="{370850A5-8634-4FA6-A75E-BD9FA7347480}" name="USD" dataDxfId="5331" dataCellStyle="Normal 3">
      <calculatedColumnFormula>(Tabla3[[#This Row],[MONTO]]+Tabla3[[#This Row],[MONTO2]]+Tabla3[[#This Row],[MONTO3]]+Tabla3[[#This Row],[MONTO4]]+Tabla3[[#This Row],[MONTO5]]+Tabla3[[#This Row],[MONTO6]]+Tabla3[[#This Row],[MONTO7]])</calculatedColumnFormula>
    </tableColumn>
    <tableColumn id="19" xr3:uid="{48A6BD56-5370-47EB-9C51-7ACFF538DD6C}" name="TOTAL -10%" dataDxfId="5330" dataCellStyle="Normal 3">
      <calculatedColumnFormula>R20-(R20*10%)</calculatedColumnFormula>
    </tableColumn>
    <tableColumn id="20" xr3:uid="{A8971EC0-711A-45DC-8FF1-2D0C44FDF9BF}" name="1% PAGO INICIAL" dataDxfId="5329" dataCellStyle="Normal 3">
      <calculatedColumnFormula>(S20*1%)</calculatedColumnFormula>
    </tableColumn>
    <tableColumn id="3" xr3:uid="{5A1D69C9-F75C-4FFA-8FDD-78291A593FD1}" name="% FIDUCIA" dataDxfId="5328" dataCellStyle="Normal 3">
      <calculatedColumnFormula>(Tabla3[[#This Row],[TOTAL -10%]]*Tabla3[[#This Row],[FIDUCIA]])</calculatedColumnFormula>
    </tableColumn>
    <tableColumn id="22" xr3:uid="{9EA602FB-B13A-4E3D-94AB-782E9F338FDC}" name="% NUBE" dataDxfId="5327" dataCellStyle="Normal 3">
      <calculatedColumnFormula>(Tabla3[[#This Row],[TOTAL -10%]]*Tabla3[[#This Row],[NUBE]])</calculatedColumnFormula>
    </tableColumn>
    <tableColumn id="23" xr3:uid="{C4526160-8BD3-4C5C-958E-0924F1AB1B46}" name="SKR SI/NO" dataDxfId="5326" dataCellStyle="Normal 3"/>
    <tableColumn id="24" xr3:uid="{F5ECBC59-958E-42E1-8CD1-36192C2F558F}" name="FIDUCIA/NUBE" dataDxfId="5325" dataCellStyle="Normal 3"/>
    <tableColumn id="25" xr3:uid="{890AB6C8-8C2C-414E-A1D6-100429F9D1A1}" name="BANCO" dataDxfId="5324" dataCellStyle="Normal 3"/>
    <tableColumn id="26" xr3:uid="{CECEE305-191C-4376-9898-1DF3638573DA}" name="FIDUCIA" dataDxfId="5323" dataCellStyle="Normal 3"/>
    <tableColumn id="27" xr3:uid="{59D8F4F2-9F5C-42D6-AE6C-2A860889AC75}" name="NUBE" dataDxfId="5322" dataCellStyle="Normal 3"/>
    <tableColumn id="28" xr3:uid="{183CCE5F-1070-4508-BA03-BA9438BF2795}" name="100%" dataDxfId="5321" dataCellStyle="Normal 3">
      <calculatedColumnFormula>SUM(Y20:AA20)</calculatedColumnFormula>
    </tableColumn>
  </tableColumns>
  <tableStyleInfo name="TableStyleLight2" showFirstColumn="0" showLastColumn="0" showRowStripes="1" showColumnStripes="0"/>
</table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hortencianino076@gmail.com" TargetMode="External"/><Relationship Id="rId2" Type="http://schemas.openxmlformats.org/officeDocument/2006/relationships/hyperlink" Target="mailto:hortencianino076@gmail.com" TargetMode="External"/><Relationship Id="rId1" Type="http://schemas.openxmlformats.org/officeDocument/2006/relationships/hyperlink" Target="mailto:cristoveca@hotmail.co" TargetMode="External"/><Relationship Id="rId5" Type="http://schemas.openxmlformats.org/officeDocument/2006/relationships/printerSettings" Target="../printerSettings/printerSettings1.bin"/><Relationship Id="rId4" Type="http://schemas.openxmlformats.org/officeDocument/2006/relationships/hyperlink" Target="mailto:hortencianino076@gmail.com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hyperlink" Target="https://www.dolar-colombia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B99A06-041E-4BD8-B15E-F417C7709518}">
  <sheetPr codeName="Hoja1"/>
  <dimension ref="A1:T328"/>
  <sheetViews>
    <sheetView showGridLines="0" tabSelected="1" zoomScale="85" zoomScaleNormal="85" workbookViewId="0">
      <pane ySplit="1" topLeftCell="A2" activePane="bottomLeft" state="frozen"/>
      <selection pane="bottomLeft" activeCell="O25" sqref="O25"/>
    </sheetView>
  </sheetViews>
  <sheetFormatPr baseColWidth="10" defaultRowHeight="12.75" x14ac:dyDescent="0.2"/>
  <cols>
    <col min="1" max="1" width="11.85546875" customWidth="1"/>
    <col min="2" max="2" width="36.5703125" customWidth="1"/>
    <col min="3" max="3" width="12.140625" hidden="1" customWidth="1"/>
    <col min="4" max="4" width="12" hidden="1" customWidth="1"/>
    <col min="5" max="5" width="9.140625" hidden="1" customWidth="1"/>
    <col min="6" max="6" width="14.42578125" hidden="1" customWidth="1"/>
    <col min="7" max="7" width="10" hidden="1" customWidth="1"/>
    <col min="8" max="8" width="25.7109375" customWidth="1"/>
    <col min="9" max="9" width="8" customWidth="1"/>
    <col min="10" max="10" width="24.42578125" customWidth="1"/>
    <col min="11" max="11" width="17.42578125" customWidth="1"/>
    <col min="12" max="12" width="14.42578125" bestFit="1" customWidth="1"/>
    <col min="13" max="13" width="11.42578125" customWidth="1"/>
    <col min="14" max="14" width="16" customWidth="1"/>
    <col min="15" max="15" width="13.42578125" customWidth="1"/>
    <col min="16" max="16" width="21.5703125" customWidth="1"/>
    <col min="17" max="17" width="15.28515625" customWidth="1"/>
    <col min="18" max="18" width="20.5703125" customWidth="1"/>
    <col min="19" max="19" width="24.85546875" customWidth="1"/>
    <col min="20" max="20" width="23.5703125" customWidth="1"/>
  </cols>
  <sheetData>
    <row r="1" spans="1:20" s="2" customFormat="1" ht="47.25" x14ac:dyDescent="0.2">
      <c r="A1" s="56" t="s">
        <v>13</v>
      </c>
      <c r="B1" s="56" t="s">
        <v>12</v>
      </c>
      <c r="C1" s="57" t="s">
        <v>51</v>
      </c>
      <c r="D1" s="138" t="s">
        <v>52</v>
      </c>
      <c r="E1" s="138" t="s">
        <v>53</v>
      </c>
      <c r="F1" s="138" t="s">
        <v>54</v>
      </c>
      <c r="G1" s="138" t="s">
        <v>55</v>
      </c>
      <c r="H1" s="58" t="s">
        <v>56</v>
      </c>
      <c r="I1" s="139" t="s">
        <v>57</v>
      </c>
      <c r="J1" s="57" t="s">
        <v>58</v>
      </c>
      <c r="K1" s="57" t="s">
        <v>59</v>
      </c>
      <c r="L1" s="140" t="s">
        <v>177</v>
      </c>
      <c r="M1" s="108" t="s">
        <v>11</v>
      </c>
      <c r="N1" s="108" t="s">
        <v>60</v>
      </c>
      <c r="O1" s="108" t="s">
        <v>71</v>
      </c>
      <c r="P1" s="108" t="s">
        <v>10</v>
      </c>
      <c r="Q1" s="141" t="s">
        <v>507</v>
      </c>
      <c r="R1" s="142" t="s">
        <v>178</v>
      </c>
      <c r="S1" s="143" t="s">
        <v>474</v>
      </c>
      <c r="T1" s="141" t="s">
        <v>493</v>
      </c>
    </row>
    <row r="2" spans="1:20" ht="12" customHeight="1" x14ac:dyDescent="0.2">
      <c r="A2" s="59">
        <v>46128</v>
      </c>
      <c r="B2" s="61" t="s">
        <v>123</v>
      </c>
      <c r="C2" s="15">
        <v>65698739</v>
      </c>
      <c r="D2" s="15" t="s">
        <v>64</v>
      </c>
      <c r="E2" s="3" t="s">
        <v>61</v>
      </c>
      <c r="F2" s="3" t="s">
        <v>105</v>
      </c>
      <c r="G2" s="3" t="s">
        <v>179</v>
      </c>
      <c r="H2" s="3" t="s">
        <v>483</v>
      </c>
      <c r="I2" s="15">
        <v>733520</v>
      </c>
      <c r="J2" s="15" t="s">
        <v>180</v>
      </c>
      <c r="K2" s="12" t="s">
        <v>181</v>
      </c>
      <c r="L2" s="62" t="s">
        <v>2</v>
      </c>
      <c r="M2" s="13">
        <v>100000</v>
      </c>
      <c r="N2" s="12">
        <v>437678</v>
      </c>
      <c r="O2" s="15" t="s">
        <v>50</v>
      </c>
      <c r="P2" s="3" t="s">
        <v>122</v>
      </c>
      <c r="Q2" s="1" t="s">
        <v>506</v>
      </c>
      <c r="R2" s="55" t="s">
        <v>64</v>
      </c>
      <c r="S2" s="63"/>
    </row>
    <row r="3" spans="1:20" ht="12" customHeight="1" x14ac:dyDescent="0.2">
      <c r="A3" s="49">
        <v>46129.85837962963</v>
      </c>
      <c r="B3" s="61" t="s">
        <v>123</v>
      </c>
      <c r="C3" s="15">
        <v>65698739</v>
      </c>
      <c r="D3" s="15" t="s">
        <v>64</v>
      </c>
      <c r="E3" s="3" t="s">
        <v>61</v>
      </c>
      <c r="F3" s="3" t="s">
        <v>105</v>
      </c>
      <c r="G3" s="3" t="s">
        <v>179</v>
      </c>
      <c r="H3" s="3" t="s">
        <v>483</v>
      </c>
      <c r="I3" s="15">
        <v>733520</v>
      </c>
      <c r="J3" s="12" t="s">
        <v>180</v>
      </c>
      <c r="K3" s="12" t="s">
        <v>181</v>
      </c>
      <c r="L3" s="62" t="s">
        <v>8</v>
      </c>
      <c r="M3" s="13">
        <v>0</v>
      </c>
      <c r="N3" s="12" t="s">
        <v>75</v>
      </c>
      <c r="O3" s="15" t="s">
        <v>64</v>
      </c>
      <c r="P3" s="3" t="s">
        <v>122</v>
      </c>
      <c r="Q3" s="1" t="s">
        <v>506</v>
      </c>
      <c r="R3" s="55" t="s">
        <v>64</v>
      </c>
      <c r="S3" s="63"/>
    </row>
    <row r="4" spans="1:20" ht="12" customHeight="1" x14ac:dyDescent="0.2">
      <c r="A4" s="64">
        <v>46150</v>
      </c>
      <c r="B4" s="61" t="s">
        <v>124</v>
      </c>
      <c r="C4" s="15">
        <v>1070022846</v>
      </c>
      <c r="D4" s="15" t="s">
        <v>182</v>
      </c>
      <c r="E4" s="3" t="s">
        <v>61</v>
      </c>
      <c r="F4" s="3" t="s">
        <v>67</v>
      </c>
      <c r="G4" s="3" t="s">
        <v>183</v>
      </c>
      <c r="H4" s="3" t="s">
        <v>184</v>
      </c>
      <c r="I4" s="15">
        <v>252410</v>
      </c>
      <c r="J4" s="3" t="s">
        <v>185</v>
      </c>
      <c r="K4" s="12" t="s">
        <v>186</v>
      </c>
      <c r="L4" s="62" t="s">
        <v>76</v>
      </c>
      <c r="M4" s="13">
        <v>200000</v>
      </c>
      <c r="N4" s="65" t="s">
        <v>187</v>
      </c>
      <c r="O4" s="15" t="s">
        <v>188</v>
      </c>
      <c r="P4" s="3" t="s">
        <v>122</v>
      </c>
      <c r="Q4" s="1" t="s">
        <v>506</v>
      </c>
      <c r="R4" s="55" t="s">
        <v>72</v>
      </c>
      <c r="S4" s="63"/>
    </row>
    <row r="5" spans="1:20" ht="12" customHeight="1" x14ac:dyDescent="0.2">
      <c r="A5" s="64">
        <v>46150</v>
      </c>
      <c r="B5" s="61" t="s">
        <v>124</v>
      </c>
      <c r="C5" s="15">
        <v>1070022846</v>
      </c>
      <c r="D5" s="15" t="s">
        <v>182</v>
      </c>
      <c r="E5" s="3" t="s">
        <v>61</v>
      </c>
      <c r="F5" s="3" t="s">
        <v>67</v>
      </c>
      <c r="G5" s="3" t="s">
        <v>183</v>
      </c>
      <c r="H5" s="3" t="s">
        <v>184</v>
      </c>
      <c r="I5" s="15">
        <v>252410</v>
      </c>
      <c r="J5" s="3" t="s">
        <v>185</v>
      </c>
      <c r="K5" s="12" t="s">
        <v>186</v>
      </c>
      <c r="L5" s="62" t="s">
        <v>68</v>
      </c>
      <c r="M5" s="13">
        <v>0</v>
      </c>
      <c r="N5" s="12" t="s">
        <v>75</v>
      </c>
      <c r="O5" s="15" t="s">
        <v>64</v>
      </c>
      <c r="P5" s="3" t="s">
        <v>122</v>
      </c>
      <c r="Q5" s="1" t="s">
        <v>506</v>
      </c>
      <c r="R5" s="55" t="s">
        <v>72</v>
      </c>
      <c r="S5" s="63"/>
    </row>
    <row r="6" spans="1:20" ht="12" customHeight="1" x14ac:dyDescent="0.2">
      <c r="A6" s="49">
        <v>45888.800636574073</v>
      </c>
      <c r="B6" s="61" t="s">
        <v>125</v>
      </c>
      <c r="C6" s="15">
        <v>51760534</v>
      </c>
      <c r="D6" s="15" t="s">
        <v>189</v>
      </c>
      <c r="E6" s="3" t="s">
        <v>61</v>
      </c>
      <c r="F6" s="3" t="s">
        <v>67</v>
      </c>
      <c r="G6" s="3" t="s">
        <v>190</v>
      </c>
      <c r="H6" s="3" t="s">
        <v>191</v>
      </c>
      <c r="I6" s="15">
        <v>252432</v>
      </c>
      <c r="J6" s="3" t="s">
        <v>192</v>
      </c>
      <c r="K6" s="12" t="s">
        <v>193</v>
      </c>
      <c r="L6" s="62" t="s">
        <v>77</v>
      </c>
      <c r="M6" s="13">
        <v>120000</v>
      </c>
      <c r="N6" s="14" t="s">
        <v>194</v>
      </c>
      <c r="O6" s="15" t="s">
        <v>3</v>
      </c>
      <c r="P6" s="3" t="s">
        <v>122</v>
      </c>
      <c r="Q6" s="1" t="s">
        <v>506</v>
      </c>
      <c r="R6" s="55" t="s">
        <v>72</v>
      </c>
      <c r="S6" s="63"/>
    </row>
    <row r="7" spans="1:20" ht="12" customHeight="1" x14ac:dyDescent="0.2">
      <c r="A7" s="49">
        <v>45922</v>
      </c>
      <c r="B7" s="61" t="s">
        <v>125</v>
      </c>
      <c r="C7" s="15">
        <v>51760534</v>
      </c>
      <c r="D7" s="15" t="s">
        <v>189</v>
      </c>
      <c r="E7" s="3" t="s">
        <v>195</v>
      </c>
      <c r="F7" s="3" t="s">
        <v>67</v>
      </c>
      <c r="G7" s="3" t="s">
        <v>190</v>
      </c>
      <c r="H7" s="3" t="s">
        <v>196</v>
      </c>
      <c r="I7" s="15">
        <v>252432</v>
      </c>
      <c r="J7" s="3" t="s">
        <v>192</v>
      </c>
      <c r="K7" s="12" t="s">
        <v>193</v>
      </c>
      <c r="L7" s="62" t="s">
        <v>8</v>
      </c>
      <c r="M7" s="13">
        <v>0</v>
      </c>
      <c r="N7" s="14" t="s">
        <v>109</v>
      </c>
      <c r="O7" s="15" t="s">
        <v>64</v>
      </c>
      <c r="P7" s="3" t="s">
        <v>122</v>
      </c>
      <c r="Q7" s="1" t="s">
        <v>506</v>
      </c>
      <c r="R7" s="55" t="s">
        <v>72</v>
      </c>
      <c r="S7" s="63"/>
    </row>
    <row r="8" spans="1:20" ht="12" customHeight="1" x14ac:dyDescent="0.2">
      <c r="A8" s="49">
        <v>45932</v>
      </c>
      <c r="B8" s="61" t="s">
        <v>125</v>
      </c>
      <c r="C8" s="15">
        <v>51760534</v>
      </c>
      <c r="D8" s="15" t="s">
        <v>189</v>
      </c>
      <c r="E8" s="3" t="s">
        <v>195</v>
      </c>
      <c r="F8" s="3" t="s">
        <v>67</v>
      </c>
      <c r="G8" s="3" t="s">
        <v>190</v>
      </c>
      <c r="H8" s="3" t="s">
        <v>196</v>
      </c>
      <c r="I8" s="15">
        <v>252432</v>
      </c>
      <c r="J8" s="3" t="s">
        <v>192</v>
      </c>
      <c r="K8" s="12" t="s">
        <v>193</v>
      </c>
      <c r="L8" s="62" t="s">
        <v>2</v>
      </c>
      <c r="M8" s="13">
        <v>0</v>
      </c>
      <c r="N8" s="14" t="s">
        <v>197</v>
      </c>
      <c r="O8" s="66" t="s">
        <v>64</v>
      </c>
      <c r="P8" s="3" t="s">
        <v>122</v>
      </c>
      <c r="Q8" s="1" t="s">
        <v>506</v>
      </c>
      <c r="R8" s="55" t="s">
        <v>72</v>
      </c>
      <c r="S8" s="63"/>
    </row>
    <row r="9" spans="1:20" ht="12" customHeight="1" x14ac:dyDescent="0.2">
      <c r="A9" s="49">
        <v>45968</v>
      </c>
      <c r="B9" s="61" t="s">
        <v>125</v>
      </c>
      <c r="C9" s="15">
        <v>51760534</v>
      </c>
      <c r="D9" s="15" t="s">
        <v>189</v>
      </c>
      <c r="E9" s="3" t="s">
        <v>195</v>
      </c>
      <c r="F9" s="3" t="s">
        <v>67</v>
      </c>
      <c r="G9" s="3" t="s">
        <v>190</v>
      </c>
      <c r="H9" s="3" t="s">
        <v>196</v>
      </c>
      <c r="I9" s="15">
        <v>252432</v>
      </c>
      <c r="J9" s="15" t="s">
        <v>192</v>
      </c>
      <c r="K9" s="12" t="s">
        <v>193</v>
      </c>
      <c r="L9" s="62" t="s">
        <v>198</v>
      </c>
      <c r="M9" s="13">
        <v>0</v>
      </c>
      <c r="N9" s="14" t="s">
        <v>26</v>
      </c>
      <c r="O9" s="66" t="s">
        <v>64</v>
      </c>
      <c r="P9" s="3" t="s">
        <v>122</v>
      </c>
      <c r="Q9" s="1" t="s">
        <v>506</v>
      </c>
      <c r="R9" s="55" t="s">
        <v>72</v>
      </c>
      <c r="S9" s="63"/>
    </row>
    <row r="10" spans="1:20" ht="12" customHeight="1" x14ac:dyDescent="0.2">
      <c r="A10" s="49">
        <v>46022</v>
      </c>
      <c r="B10" s="61" t="s">
        <v>125</v>
      </c>
      <c r="C10" s="15">
        <v>51760534</v>
      </c>
      <c r="D10" s="15" t="s">
        <v>189</v>
      </c>
      <c r="E10" s="3" t="s">
        <v>195</v>
      </c>
      <c r="F10" s="3" t="s">
        <v>67</v>
      </c>
      <c r="G10" s="3" t="s">
        <v>190</v>
      </c>
      <c r="H10" s="3" t="s">
        <v>196</v>
      </c>
      <c r="I10" s="15">
        <v>252432</v>
      </c>
      <c r="J10" s="15" t="s">
        <v>192</v>
      </c>
      <c r="K10" s="12" t="s">
        <v>193</v>
      </c>
      <c r="L10" s="62" t="s">
        <v>199</v>
      </c>
      <c r="M10" s="13">
        <v>0</v>
      </c>
      <c r="N10" s="14" t="s">
        <v>200</v>
      </c>
      <c r="O10" s="66" t="s">
        <v>201</v>
      </c>
      <c r="P10" s="3" t="s">
        <v>122</v>
      </c>
      <c r="Q10" s="1" t="s">
        <v>506</v>
      </c>
      <c r="R10" s="55" t="s">
        <v>72</v>
      </c>
      <c r="S10" s="63"/>
    </row>
    <row r="11" spans="1:20" ht="12" customHeight="1" x14ac:dyDescent="0.2">
      <c r="A11" s="49">
        <v>46126</v>
      </c>
      <c r="B11" s="61" t="s">
        <v>125</v>
      </c>
      <c r="C11" s="15">
        <v>51760534</v>
      </c>
      <c r="D11" s="15" t="s">
        <v>189</v>
      </c>
      <c r="E11" s="3" t="s">
        <v>195</v>
      </c>
      <c r="F11" s="3" t="s">
        <v>67</v>
      </c>
      <c r="G11" s="3" t="s">
        <v>190</v>
      </c>
      <c r="H11" s="3" t="s">
        <v>196</v>
      </c>
      <c r="I11" s="15">
        <v>252432</v>
      </c>
      <c r="J11" s="15" t="s">
        <v>192</v>
      </c>
      <c r="K11" s="12" t="s">
        <v>193</v>
      </c>
      <c r="L11" s="62" t="s">
        <v>202</v>
      </c>
      <c r="M11" s="13">
        <v>0</v>
      </c>
      <c r="N11" s="14" t="s">
        <v>79</v>
      </c>
      <c r="O11" s="66" t="s">
        <v>64</v>
      </c>
      <c r="P11" s="3" t="s">
        <v>122</v>
      </c>
      <c r="Q11" s="1" t="s">
        <v>506</v>
      </c>
      <c r="R11" s="55" t="s">
        <v>72</v>
      </c>
      <c r="S11" s="63"/>
    </row>
    <row r="12" spans="1:20" ht="12" customHeight="1" x14ac:dyDescent="0.2">
      <c r="A12" s="49">
        <v>46128.441458333335</v>
      </c>
      <c r="B12" s="61" t="s">
        <v>125</v>
      </c>
      <c r="C12" s="15">
        <v>51760534</v>
      </c>
      <c r="D12" s="15" t="s">
        <v>189</v>
      </c>
      <c r="E12" s="3" t="s">
        <v>195</v>
      </c>
      <c r="F12" s="3" t="s">
        <v>67</v>
      </c>
      <c r="G12" s="3" t="s">
        <v>190</v>
      </c>
      <c r="H12" s="3" t="s">
        <v>196</v>
      </c>
      <c r="I12" s="15">
        <v>252432</v>
      </c>
      <c r="J12" s="15" t="s">
        <v>192</v>
      </c>
      <c r="K12" s="12" t="s">
        <v>193</v>
      </c>
      <c r="L12" s="62" t="s">
        <v>8</v>
      </c>
      <c r="M12" s="13">
        <v>0</v>
      </c>
      <c r="N12" s="12" t="s">
        <v>75</v>
      </c>
      <c r="O12" s="15" t="s">
        <v>64</v>
      </c>
      <c r="P12" s="3" t="s">
        <v>122</v>
      </c>
      <c r="Q12" s="1" t="s">
        <v>506</v>
      </c>
      <c r="R12" s="55" t="s">
        <v>72</v>
      </c>
      <c r="S12" s="63"/>
    </row>
    <row r="13" spans="1:20" ht="12" customHeight="1" x14ac:dyDescent="0.2">
      <c r="A13" s="64">
        <v>46148</v>
      </c>
      <c r="B13" s="61" t="s">
        <v>125</v>
      </c>
      <c r="C13" s="15">
        <v>51760534</v>
      </c>
      <c r="D13" s="15" t="s">
        <v>189</v>
      </c>
      <c r="E13" s="3" t="s">
        <v>195</v>
      </c>
      <c r="F13" s="3" t="s">
        <v>67</v>
      </c>
      <c r="G13" s="3" t="s">
        <v>190</v>
      </c>
      <c r="H13" s="3" t="s">
        <v>196</v>
      </c>
      <c r="I13" s="15">
        <v>252432</v>
      </c>
      <c r="J13" s="15" t="s">
        <v>192</v>
      </c>
      <c r="K13" s="12" t="s">
        <v>193</v>
      </c>
      <c r="L13" s="62" t="s">
        <v>95</v>
      </c>
      <c r="M13" s="13">
        <v>100000</v>
      </c>
      <c r="N13" s="65" t="s">
        <v>203</v>
      </c>
      <c r="O13" s="15" t="s">
        <v>3</v>
      </c>
      <c r="P13" s="3" t="s">
        <v>122</v>
      </c>
      <c r="Q13" s="1" t="s">
        <v>506</v>
      </c>
      <c r="R13" s="55" t="s">
        <v>72</v>
      </c>
      <c r="S13" s="63"/>
    </row>
    <row r="14" spans="1:20" ht="12" customHeight="1" x14ac:dyDescent="0.2">
      <c r="A14" s="59">
        <v>46154.707465277781</v>
      </c>
      <c r="B14" s="61" t="s">
        <v>125</v>
      </c>
      <c r="C14" s="15">
        <v>51760534</v>
      </c>
      <c r="D14" s="15" t="s">
        <v>189</v>
      </c>
      <c r="E14" s="3" t="s">
        <v>195</v>
      </c>
      <c r="F14" s="3" t="s">
        <v>67</v>
      </c>
      <c r="G14" s="3" t="s">
        <v>190</v>
      </c>
      <c r="H14" s="3" t="s">
        <v>196</v>
      </c>
      <c r="I14" s="15">
        <v>252432</v>
      </c>
      <c r="J14" s="15" t="s">
        <v>192</v>
      </c>
      <c r="K14" s="12" t="s">
        <v>193</v>
      </c>
      <c r="L14" s="62" t="s">
        <v>49</v>
      </c>
      <c r="M14" s="13">
        <v>0</v>
      </c>
      <c r="N14" s="12" t="s">
        <v>75</v>
      </c>
      <c r="O14" s="15" t="s">
        <v>64</v>
      </c>
      <c r="P14" s="3" t="s">
        <v>122</v>
      </c>
      <c r="Q14" s="1" t="s">
        <v>506</v>
      </c>
      <c r="R14" s="55" t="s">
        <v>72</v>
      </c>
      <c r="S14" s="63"/>
    </row>
    <row r="15" spans="1:20" ht="12" customHeight="1" x14ac:dyDescent="0.2">
      <c r="A15" s="59">
        <v>46154.709965277776</v>
      </c>
      <c r="B15" s="61" t="s">
        <v>125</v>
      </c>
      <c r="C15" s="15">
        <v>51760534</v>
      </c>
      <c r="D15" s="15" t="s">
        <v>189</v>
      </c>
      <c r="E15" s="3" t="s">
        <v>195</v>
      </c>
      <c r="F15" s="3" t="s">
        <v>67</v>
      </c>
      <c r="G15" s="3" t="s">
        <v>190</v>
      </c>
      <c r="H15" s="3" t="s">
        <v>196</v>
      </c>
      <c r="I15" s="15">
        <v>252432</v>
      </c>
      <c r="J15" s="15" t="s">
        <v>192</v>
      </c>
      <c r="K15" s="12" t="s">
        <v>193</v>
      </c>
      <c r="L15" s="62" t="s">
        <v>49</v>
      </c>
      <c r="M15" s="13">
        <v>0</v>
      </c>
      <c r="N15" s="12" t="s">
        <v>75</v>
      </c>
      <c r="O15" s="15" t="s">
        <v>64</v>
      </c>
      <c r="P15" s="3" t="s">
        <v>122</v>
      </c>
      <c r="Q15" s="1" t="s">
        <v>506</v>
      </c>
      <c r="R15" s="55" t="s">
        <v>72</v>
      </c>
      <c r="S15" s="63"/>
    </row>
    <row r="16" spans="1:20" ht="12" customHeight="1" x14ac:dyDescent="0.2">
      <c r="A16" s="59">
        <v>46154.711458333331</v>
      </c>
      <c r="B16" s="61" t="s">
        <v>125</v>
      </c>
      <c r="C16" s="15">
        <v>51760534</v>
      </c>
      <c r="D16" s="15" t="s">
        <v>189</v>
      </c>
      <c r="E16" s="3" t="s">
        <v>195</v>
      </c>
      <c r="F16" s="3" t="s">
        <v>67</v>
      </c>
      <c r="G16" s="3" t="s">
        <v>190</v>
      </c>
      <c r="H16" s="3" t="s">
        <v>196</v>
      </c>
      <c r="I16" s="15">
        <v>252432</v>
      </c>
      <c r="J16" s="15" t="s">
        <v>192</v>
      </c>
      <c r="K16" s="12" t="s">
        <v>193</v>
      </c>
      <c r="L16" s="62" t="s">
        <v>77</v>
      </c>
      <c r="M16" s="13">
        <v>0</v>
      </c>
      <c r="N16" s="12" t="s">
        <v>75</v>
      </c>
      <c r="O16" s="15" t="s">
        <v>64</v>
      </c>
      <c r="P16" s="3" t="s">
        <v>122</v>
      </c>
      <c r="Q16" s="1" t="s">
        <v>506</v>
      </c>
      <c r="R16" s="55" t="s">
        <v>72</v>
      </c>
      <c r="S16" s="63"/>
    </row>
    <row r="17" spans="1:20" ht="12" customHeight="1" x14ac:dyDescent="0.2">
      <c r="A17" s="59">
        <v>46154.712939814817</v>
      </c>
      <c r="B17" s="61" t="s">
        <v>125</v>
      </c>
      <c r="C17" s="15">
        <v>51760534</v>
      </c>
      <c r="D17" s="15" t="s">
        <v>189</v>
      </c>
      <c r="E17" s="3" t="s">
        <v>195</v>
      </c>
      <c r="F17" s="3" t="s">
        <v>67</v>
      </c>
      <c r="G17" s="3" t="s">
        <v>190</v>
      </c>
      <c r="H17" s="3" t="s">
        <v>196</v>
      </c>
      <c r="I17" s="15">
        <v>252432</v>
      </c>
      <c r="J17" s="15" t="s">
        <v>192</v>
      </c>
      <c r="K17" s="12" t="s">
        <v>193</v>
      </c>
      <c r="L17" s="62" t="s">
        <v>8</v>
      </c>
      <c r="M17" s="13">
        <v>0</v>
      </c>
      <c r="N17" s="12" t="s">
        <v>75</v>
      </c>
      <c r="O17" s="15" t="s">
        <v>64</v>
      </c>
      <c r="P17" s="3" t="s">
        <v>122</v>
      </c>
      <c r="Q17" s="1" t="s">
        <v>506</v>
      </c>
      <c r="R17" s="55" t="s">
        <v>72</v>
      </c>
      <c r="S17" s="63"/>
    </row>
    <row r="18" spans="1:20" ht="12" customHeight="1" x14ac:dyDescent="0.2">
      <c r="A18" s="59">
        <v>46154.714594907404</v>
      </c>
      <c r="B18" s="61" t="s">
        <v>125</v>
      </c>
      <c r="C18" s="15">
        <v>51760534</v>
      </c>
      <c r="D18" s="15" t="s">
        <v>189</v>
      </c>
      <c r="E18" s="3" t="s">
        <v>195</v>
      </c>
      <c r="F18" s="3" t="s">
        <v>67</v>
      </c>
      <c r="G18" s="3" t="s">
        <v>190</v>
      </c>
      <c r="H18" s="3" t="s">
        <v>196</v>
      </c>
      <c r="I18" s="15">
        <v>252432</v>
      </c>
      <c r="J18" s="15" t="s">
        <v>192</v>
      </c>
      <c r="K18" s="12" t="s">
        <v>193</v>
      </c>
      <c r="L18" s="62" t="s">
        <v>77</v>
      </c>
      <c r="M18" s="13">
        <v>0</v>
      </c>
      <c r="N18" s="12" t="s">
        <v>75</v>
      </c>
      <c r="O18" s="15" t="s">
        <v>64</v>
      </c>
      <c r="P18" s="3" t="s">
        <v>122</v>
      </c>
      <c r="Q18" s="1" t="s">
        <v>506</v>
      </c>
      <c r="R18" s="55" t="s">
        <v>72</v>
      </c>
      <c r="S18" s="63"/>
    </row>
    <row r="19" spans="1:20" ht="12" customHeight="1" x14ac:dyDescent="0.2">
      <c r="A19" s="59">
        <v>46150</v>
      </c>
      <c r="B19" s="61" t="s">
        <v>125</v>
      </c>
      <c r="C19" s="15">
        <v>51760534</v>
      </c>
      <c r="D19" s="15" t="s">
        <v>189</v>
      </c>
      <c r="E19" s="3" t="s">
        <v>195</v>
      </c>
      <c r="F19" s="3" t="s">
        <v>67</v>
      </c>
      <c r="G19" s="3" t="s">
        <v>190</v>
      </c>
      <c r="H19" s="3" t="s">
        <v>196</v>
      </c>
      <c r="I19" s="15">
        <v>252432</v>
      </c>
      <c r="J19" s="15" t="s">
        <v>192</v>
      </c>
      <c r="K19" s="12" t="s">
        <v>193</v>
      </c>
      <c r="L19" s="62" t="s">
        <v>479</v>
      </c>
      <c r="M19" s="13">
        <v>0</v>
      </c>
      <c r="N19" s="12" t="s">
        <v>480</v>
      </c>
      <c r="O19" s="15" t="s">
        <v>64</v>
      </c>
      <c r="P19" s="3" t="s">
        <v>122</v>
      </c>
      <c r="Q19" s="1" t="s">
        <v>506</v>
      </c>
      <c r="R19" s="55" t="s">
        <v>72</v>
      </c>
      <c r="S19" s="63"/>
    </row>
    <row r="20" spans="1:20" ht="12" customHeight="1" x14ac:dyDescent="0.2">
      <c r="A20" s="49">
        <v>45939.811342592591</v>
      </c>
      <c r="B20" s="61" t="s">
        <v>126</v>
      </c>
      <c r="C20" s="15">
        <v>16266851</v>
      </c>
      <c r="D20" s="15" t="s">
        <v>64</v>
      </c>
      <c r="E20" s="3" t="s">
        <v>61</v>
      </c>
      <c r="F20" s="3" t="s">
        <v>69</v>
      </c>
      <c r="G20" s="3" t="s">
        <v>70</v>
      </c>
      <c r="H20" s="3" t="s">
        <v>204</v>
      </c>
      <c r="I20" s="12">
        <v>630004</v>
      </c>
      <c r="J20" s="3" t="s">
        <v>205</v>
      </c>
      <c r="K20" s="12" t="s">
        <v>206</v>
      </c>
      <c r="L20" s="62" t="s">
        <v>93</v>
      </c>
      <c r="M20" s="13">
        <v>500000</v>
      </c>
      <c r="N20" s="14" t="s">
        <v>207</v>
      </c>
      <c r="O20" s="15" t="s">
        <v>3</v>
      </c>
      <c r="P20" s="3" t="s">
        <v>122</v>
      </c>
      <c r="Q20" s="1" t="s">
        <v>506</v>
      </c>
      <c r="R20" s="55" t="s">
        <v>72</v>
      </c>
      <c r="S20" s="63"/>
    </row>
    <row r="21" spans="1:20" ht="12" customHeight="1" x14ac:dyDescent="0.2">
      <c r="A21" s="64">
        <v>46117</v>
      </c>
      <c r="B21" s="61" t="s">
        <v>127</v>
      </c>
      <c r="C21" s="15">
        <v>39585053</v>
      </c>
      <c r="D21" s="15" t="s">
        <v>208</v>
      </c>
      <c r="E21" s="3" t="s">
        <v>61</v>
      </c>
      <c r="F21" s="3" t="s">
        <v>67</v>
      </c>
      <c r="G21" s="3" t="s">
        <v>190</v>
      </c>
      <c r="H21" s="3" t="s">
        <v>209</v>
      </c>
      <c r="I21" s="15">
        <v>252432</v>
      </c>
      <c r="J21" s="15" t="s">
        <v>210</v>
      </c>
      <c r="K21" s="12" t="s">
        <v>211</v>
      </c>
      <c r="L21" s="62" t="s">
        <v>97</v>
      </c>
      <c r="M21" s="13">
        <v>100000</v>
      </c>
      <c r="N21" s="14" t="s">
        <v>212</v>
      </c>
      <c r="O21" s="15" t="s">
        <v>3</v>
      </c>
      <c r="P21" s="3" t="s">
        <v>122</v>
      </c>
      <c r="Q21" s="1" t="s">
        <v>506</v>
      </c>
      <c r="R21" s="55" t="s">
        <v>72</v>
      </c>
      <c r="S21" s="63"/>
    </row>
    <row r="22" spans="1:20" ht="12" customHeight="1" x14ac:dyDescent="0.2">
      <c r="A22" s="64">
        <v>46144</v>
      </c>
      <c r="B22" s="61" t="s">
        <v>128</v>
      </c>
      <c r="C22" s="15">
        <v>1106896741</v>
      </c>
      <c r="D22" s="15" t="s">
        <v>64</v>
      </c>
      <c r="E22" s="3" t="s">
        <v>61</v>
      </c>
      <c r="F22" s="3" t="s">
        <v>67</v>
      </c>
      <c r="G22" s="3" t="s">
        <v>190</v>
      </c>
      <c r="H22" s="3" t="s">
        <v>213</v>
      </c>
      <c r="I22" s="15">
        <v>252431</v>
      </c>
      <c r="J22" s="15" t="s">
        <v>214</v>
      </c>
      <c r="K22" s="12" t="s">
        <v>215</v>
      </c>
      <c r="L22" s="62" t="s">
        <v>95</v>
      </c>
      <c r="M22" s="13">
        <v>100000</v>
      </c>
      <c r="N22" s="65" t="s">
        <v>216</v>
      </c>
      <c r="O22" s="15" t="s">
        <v>1</v>
      </c>
      <c r="P22" s="3" t="s">
        <v>122</v>
      </c>
      <c r="Q22" s="1" t="s">
        <v>506</v>
      </c>
      <c r="R22" s="55" t="s">
        <v>64</v>
      </c>
      <c r="S22" s="63"/>
    </row>
    <row r="23" spans="1:20" ht="12" customHeight="1" x14ac:dyDescent="0.2">
      <c r="A23" s="59">
        <v>46144.469166666669</v>
      </c>
      <c r="B23" s="61" t="s">
        <v>128</v>
      </c>
      <c r="C23" s="15">
        <v>1106896741</v>
      </c>
      <c r="D23" s="15" t="s">
        <v>64</v>
      </c>
      <c r="E23" s="3" t="s">
        <v>61</v>
      </c>
      <c r="F23" s="3" t="s">
        <v>67</v>
      </c>
      <c r="G23" s="3" t="s">
        <v>190</v>
      </c>
      <c r="H23" s="3" t="s">
        <v>213</v>
      </c>
      <c r="I23" s="15">
        <v>252431</v>
      </c>
      <c r="J23" s="15" t="s">
        <v>214</v>
      </c>
      <c r="K23" s="12" t="s">
        <v>215</v>
      </c>
      <c r="L23" s="62" t="s">
        <v>8</v>
      </c>
      <c r="M23" s="13">
        <v>0</v>
      </c>
      <c r="N23" s="12" t="s">
        <v>75</v>
      </c>
      <c r="O23" s="15" t="s">
        <v>64</v>
      </c>
      <c r="P23" s="3" t="s">
        <v>122</v>
      </c>
      <c r="Q23" s="1" t="s">
        <v>506</v>
      </c>
      <c r="R23" s="55" t="s">
        <v>64</v>
      </c>
      <c r="S23" s="63"/>
    </row>
    <row r="24" spans="1:20" ht="12" customHeight="1" x14ac:dyDescent="0.2">
      <c r="A24" s="59">
        <v>46015</v>
      </c>
      <c r="B24" s="61" t="s">
        <v>129</v>
      </c>
      <c r="C24" s="15">
        <v>41650899</v>
      </c>
      <c r="D24" s="15" t="s">
        <v>217</v>
      </c>
      <c r="E24" s="3" t="s">
        <v>473</v>
      </c>
      <c r="F24" s="3" t="s">
        <v>106</v>
      </c>
      <c r="G24" s="3" t="s">
        <v>111</v>
      </c>
      <c r="H24" s="3" t="s">
        <v>218</v>
      </c>
      <c r="I24" s="15">
        <v>33009</v>
      </c>
      <c r="J24" s="15" t="s">
        <v>219</v>
      </c>
      <c r="K24" s="12" t="s">
        <v>220</v>
      </c>
      <c r="L24" s="62" t="s">
        <v>221</v>
      </c>
      <c r="M24" s="13">
        <v>100000</v>
      </c>
      <c r="N24" s="14" t="s">
        <v>222</v>
      </c>
      <c r="O24" s="15" t="s">
        <v>3</v>
      </c>
      <c r="P24" s="3" t="s">
        <v>122</v>
      </c>
      <c r="Q24" s="1" t="s">
        <v>506</v>
      </c>
      <c r="R24" s="55" t="s">
        <v>64</v>
      </c>
      <c r="S24" s="63"/>
    </row>
    <row r="25" spans="1:20" ht="12" customHeight="1" x14ac:dyDescent="0.2">
      <c r="A25" s="59">
        <v>46127</v>
      </c>
      <c r="B25" s="61" t="s">
        <v>129</v>
      </c>
      <c r="C25" s="15">
        <v>41650899</v>
      </c>
      <c r="D25" s="15" t="s">
        <v>217</v>
      </c>
      <c r="E25" s="3" t="s">
        <v>473</v>
      </c>
      <c r="F25" s="3" t="s">
        <v>106</v>
      </c>
      <c r="G25" s="3" t="s">
        <v>111</v>
      </c>
      <c r="H25" s="3" t="s">
        <v>218</v>
      </c>
      <c r="I25" s="15">
        <v>33009</v>
      </c>
      <c r="J25" s="15" t="s">
        <v>219</v>
      </c>
      <c r="K25" s="12" t="s">
        <v>220</v>
      </c>
      <c r="L25" s="62" t="s">
        <v>47</v>
      </c>
      <c r="M25" s="13">
        <v>200000</v>
      </c>
      <c r="N25" s="12" t="s">
        <v>223</v>
      </c>
      <c r="O25" s="15" t="s">
        <v>3</v>
      </c>
      <c r="P25" s="3" t="s">
        <v>122</v>
      </c>
      <c r="Q25" s="1" t="s">
        <v>506</v>
      </c>
      <c r="R25" s="55" t="s">
        <v>64</v>
      </c>
      <c r="S25" s="63"/>
    </row>
    <row r="26" spans="1:20" ht="12" customHeight="1" x14ac:dyDescent="0.2">
      <c r="A26" s="59">
        <v>46128.548043981478</v>
      </c>
      <c r="B26" s="61" t="s">
        <v>129</v>
      </c>
      <c r="C26" s="15">
        <v>41650899</v>
      </c>
      <c r="D26" s="15" t="s">
        <v>217</v>
      </c>
      <c r="E26" s="3" t="s">
        <v>473</v>
      </c>
      <c r="F26" s="3" t="s">
        <v>106</v>
      </c>
      <c r="G26" s="3" t="s">
        <v>111</v>
      </c>
      <c r="H26" s="3" t="s">
        <v>218</v>
      </c>
      <c r="I26" s="15">
        <v>33009</v>
      </c>
      <c r="J26" s="15" t="s">
        <v>219</v>
      </c>
      <c r="K26" s="12" t="s">
        <v>220</v>
      </c>
      <c r="L26" s="62" t="s">
        <v>2</v>
      </c>
      <c r="M26" s="13">
        <v>0</v>
      </c>
      <c r="N26" s="12" t="s">
        <v>75</v>
      </c>
      <c r="O26" s="15" t="s">
        <v>64</v>
      </c>
      <c r="P26" s="3" t="s">
        <v>122</v>
      </c>
      <c r="Q26" s="1" t="s">
        <v>506</v>
      </c>
      <c r="R26" s="55" t="s">
        <v>64</v>
      </c>
      <c r="S26" s="63"/>
    </row>
    <row r="27" spans="1:20" ht="12" customHeight="1" x14ac:dyDescent="0.2">
      <c r="A27" s="59">
        <v>46128.553182870368</v>
      </c>
      <c r="B27" s="61" t="s">
        <v>129</v>
      </c>
      <c r="C27" s="15">
        <v>41650899</v>
      </c>
      <c r="D27" s="15" t="s">
        <v>217</v>
      </c>
      <c r="E27" s="3" t="s">
        <v>473</v>
      </c>
      <c r="F27" s="3" t="s">
        <v>106</v>
      </c>
      <c r="G27" s="3" t="s">
        <v>111</v>
      </c>
      <c r="H27" s="3" t="s">
        <v>218</v>
      </c>
      <c r="I27" s="15">
        <v>33009</v>
      </c>
      <c r="J27" s="15" t="s">
        <v>219</v>
      </c>
      <c r="K27" s="12" t="s">
        <v>220</v>
      </c>
      <c r="L27" s="62" t="s">
        <v>224</v>
      </c>
      <c r="M27" s="13">
        <v>0</v>
      </c>
      <c r="N27" s="12" t="s">
        <v>75</v>
      </c>
      <c r="O27" s="15" t="s">
        <v>64</v>
      </c>
      <c r="P27" s="3" t="s">
        <v>122</v>
      </c>
      <c r="Q27" s="1" t="s">
        <v>506</v>
      </c>
      <c r="R27" s="55" t="s">
        <v>64</v>
      </c>
      <c r="S27" s="63"/>
    </row>
    <row r="28" spans="1:20" ht="12" customHeight="1" x14ac:dyDescent="0.2">
      <c r="A28" s="59">
        <v>46048</v>
      </c>
      <c r="B28" s="61" t="s">
        <v>130</v>
      </c>
      <c r="C28" s="15">
        <v>28844684</v>
      </c>
      <c r="D28" s="15" t="s">
        <v>64</v>
      </c>
      <c r="E28" s="3" t="s">
        <v>61</v>
      </c>
      <c r="F28" s="3" t="s">
        <v>67</v>
      </c>
      <c r="G28" s="3" t="s">
        <v>190</v>
      </c>
      <c r="H28" s="3" t="s">
        <v>494</v>
      </c>
      <c r="I28" s="15">
        <v>252431</v>
      </c>
      <c r="J28" s="15" t="s">
        <v>225</v>
      </c>
      <c r="K28" s="12" t="s">
        <v>226</v>
      </c>
      <c r="L28" s="62" t="s">
        <v>5</v>
      </c>
      <c r="M28" s="13">
        <v>150000</v>
      </c>
      <c r="N28" s="14" t="s">
        <v>227</v>
      </c>
      <c r="O28" s="15" t="s">
        <v>3</v>
      </c>
      <c r="P28" s="3" t="s">
        <v>122</v>
      </c>
      <c r="Q28" s="1" t="s">
        <v>0</v>
      </c>
      <c r="R28" s="55" t="s">
        <v>64</v>
      </c>
      <c r="S28" s="63"/>
      <c r="T28" t="s">
        <v>505</v>
      </c>
    </row>
    <row r="29" spans="1:20" ht="12" customHeight="1" x14ac:dyDescent="0.2">
      <c r="A29" s="59">
        <v>45918.904629629629</v>
      </c>
      <c r="B29" s="61" t="s">
        <v>131</v>
      </c>
      <c r="C29" s="15">
        <v>38225833</v>
      </c>
      <c r="D29" s="15" t="s">
        <v>228</v>
      </c>
      <c r="E29" s="3" t="s">
        <v>61</v>
      </c>
      <c r="F29" s="3" t="s">
        <v>105</v>
      </c>
      <c r="G29" s="3" t="s">
        <v>229</v>
      </c>
      <c r="H29" s="3" t="s">
        <v>230</v>
      </c>
      <c r="I29" s="12">
        <v>733510</v>
      </c>
      <c r="J29" s="3" t="s">
        <v>231</v>
      </c>
      <c r="K29" s="12" t="s">
        <v>232</v>
      </c>
      <c r="L29" s="62" t="s">
        <v>6</v>
      </c>
      <c r="M29" s="13">
        <v>200000</v>
      </c>
      <c r="N29" s="14" t="s">
        <v>233</v>
      </c>
      <c r="O29" s="15" t="s">
        <v>3</v>
      </c>
      <c r="P29" s="3" t="s">
        <v>122</v>
      </c>
      <c r="Q29" s="1" t="s">
        <v>506</v>
      </c>
      <c r="R29" s="55" t="s">
        <v>72</v>
      </c>
      <c r="S29" s="63"/>
    </row>
    <row r="30" spans="1:20" ht="12" customHeight="1" x14ac:dyDescent="0.2">
      <c r="A30" s="59">
        <v>45930</v>
      </c>
      <c r="B30" s="61" t="s">
        <v>131</v>
      </c>
      <c r="C30" s="15">
        <v>38225833</v>
      </c>
      <c r="D30" s="15" t="s">
        <v>228</v>
      </c>
      <c r="E30" s="3" t="s">
        <v>61</v>
      </c>
      <c r="F30" s="3" t="s">
        <v>105</v>
      </c>
      <c r="G30" s="3" t="s">
        <v>229</v>
      </c>
      <c r="H30" s="3" t="s">
        <v>230</v>
      </c>
      <c r="I30" s="12">
        <v>733510</v>
      </c>
      <c r="J30" s="3" t="s">
        <v>231</v>
      </c>
      <c r="K30" s="12" t="s">
        <v>232</v>
      </c>
      <c r="L30" s="62" t="s">
        <v>93</v>
      </c>
      <c r="M30" s="13">
        <v>300000</v>
      </c>
      <c r="N30" s="14" t="s">
        <v>234</v>
      </c>
      <c r="O30" s="15" t="s">
        <v>3</v>
      </c>
      <c r="P30" s="3" t="s">
        <v>122</v>
      </c>
      <c r="Q30" s="1" t="s">
        <v>506</v>
      </c>
      <c r="R30" s="55" t="s">
        <v>72</v>
      </c>
      <c r="S30" s="63"/>
    </row>
    <row r="31" spans="1:20" ht="12" customHeight="1" x14ac:dyDescent="0.2">
      <c r="A31" s="59">
        <v>45945</v>
      </c>
      <c r="B31" s="61" t="s">
        <v>131</v>
      </c>
      <c r="C31" s="15">
        <v>38225833</v>
      </c>
      <c r="D31" s="15" t="s">
        <v>228</v>
      </c>
      <c r="E31" s="3" t="s">
        <v>61</v>
      </c>
      <c r="F31" s="3" t="s">
        <v>105</v>
      </c>
      <c r="G31" s="3" t="s">
        <v>229</v>
      </c>
      <c r="H31" s="3" t="s">
        <v>230</v>
      </c>
      <c r="I31" s="12">
        <v>733510</v>
      </c>
      <c r="J31" s="3" t="s">
        <v>231</v>
      </c>
      <c r="K31" s="12" t="s">
        <v>232</v>
      </c>
      <c r="L31" s="62" t="s">
        <v>108</v>
      </c>
      <c r="M31" s="13">
        <v>200000</v>
      </c>
      <c r="N31" s="14" t="s">
        <v>235</v>
      </c>
      <c r="O31" s="15" t="s">
        <v>3</v>
      </c>
      <c r="P31" s="3" t="s">
        <v>122</v>
      </c>
      <c r="Q31" s="1" t="s">
        <v>506</v>
      </c>
      <c r="R31" s="55" t="s">
        <v>72</v>
      </c>
      <c r="S31" s="63"/>
    </row>
    <row r="32" spans="1:20" ht="12" customHeight="1" x14ac:dyDescent="0.2">
      <c r="A32" s="59">
        <v>46078</v>
      </c>
      <c r="B32" s="61" t="s">
        <v>131</v>
      </c>
      <c r="C32" s="15">
        <v>38225833</v>
      </c>
      <c r="D32" s="15" t="s">
        <v>228</v>
      </c>
      <c r="E32" s="3" t="s">
        <v>61</v>
      </c>
      <c r="F32" s="3" t="s">
        <v>105</v>
      </c>
      <c r="G32" s="3" t="s">
        <v>229</v>
      </c>
      <c r="H32" s="3" t="s">
        <v>230</v>
      </c>
      <c r="I32" s="12">
        <v>733510</v>
      </c>
      <c r="J32" s="15" t="s">
        <v>231</v>
      </c>
      <c r="K32" s="12" t="s">
        <v>232</v>
      </c>
      <c r="L32" s="62" t="s">
        <v>78</v>
      </c>
      <c r="M32" s="13">
        <v>500000</v>
      </c>
      <c r="N32" s="14" t="s">
        <v>236</v>
      </c>
      <c r="O32" s="15" t="s">
        <v>3</v>
      </c>
      <c r="P32" s="3" t="s">
        <v>122</v>
      </c>
      <c r="Q32" s="1" t="s">
        <v>506</v>
      </c>
      <c r="R32" s="55" t="s">
        <v>72</v>
      </c>
      <c r="S32" s="63"/>
    </row>
    <row r="33" spans="1:20" ht="12" customHeight="1" x14ac:dyDescent="0.2">
      <c r="A33" s="59">
        <v>45936.397916666669</v>
      </c>
      <c r="B33" s="61" t="s">
        <v>132</v>
      </c>
      <c r="C33" s="15">
        <v>11315053</v>
      </c>
      <c r="D33" s="15" t="s">
        <v>237</v>
      </c>
      <c r="E33" s="3" t="s">
        <v>61</v>
      </c>
      <c r="F33" s="3" t="s">
        <v>67</v>
      </c>
      <c r="G33" s="3" t="s">
        <v>190</v>
      </c>
      <c r="H33" s="3" t="s">
        <v>378</v>
      </c>
      <c r="I33" s="15">
        <v>252431</v>
      </c>
      <c r="J33" s="3" t="s">
        <v>238</v>
      </c>
      <c r="K33" s="12" t="s">
        <v>239</v>
      </c>
      <c r="L33" s="62" t="s">
        <v>93</v>
      </c>
      <c r="M33" s="13">
        <v>0</v>
      </c>
      <c r="N33" s="14" t="s">
        <v>240</v>
      </c>
      <c r="O33" s="15" t="s">
        <v>64</v>
      </c>
      <c r="P33" s="3" t="s">
        <v>122</v>
      </c>
      <c r="Q33" s="1" t="s">
        <v>0</v>
      </c>
      <c r="R33" s="55" t="s">
        <v>72</v>
      </c>
      <c r="S33" s="63"/>
      <c r="T33" t="s">
        <v>505</v>
      </c>
    </row>
    <row r="34" spans="1:20" ht="12" customHeight="1" x14ac:dyDescent="0.2">
      <c r="A34" s="64">
        <v>46146</v>
      </c>
      <c r="B34" s="61" t="s">
        <v>132</v>
      </c>
      <c r="C34" s="15">
        <v>11315053</v>
      </c>
      <c r="D34" s="15" t="s">
        <v>237</v>
      </c>
      <c r="E34" s="3" t="s">
        <v>61</v>
      </c>
      <c r="F34" s="3" t="s">
        <v>67</v>
      </c>
      <c r="G34" s="3" t="s">
        <v>190</v>
      </c>
      <c r="H34" s="3" t="s">
        <v>378</v>
      </c>
      <c r="I34" s="15">
        <v>252431</v>
      </c>
      <c r="J34" s="15" t="s">
        <v>238</v>
      </c>
      <c r="K34" s="12" t="s">
        <v>239</v>
      </c>
      <c r="L34" s="62" t="s">
        <v>104</v>
      </c>
      <c r="M34" s="13">
        <v>300000</v>
      </c>
      <c r="N34" s="65" t="s">
        <v>241</v>
      </c>
      <c r="O34" s="15" t="s">
        <v>1</v>
      </c>
      <c r="P34" s="3" t="s">
        <v>122</v>
      </c>
      <c r="Q34" s="1" t="s">
        <v>0</v>
      </c>
      <c r="R34" s="55" t="s">
        <v>72</v>
      </c>
      <c r="S34" s="63"/>
      <c r="T34" t="s">
        <v>505</v>
      </c>
    </row>
    <row r="35" spans="1:20" ht="12" customHeight="1" x14ac:dyDescent="0.2">
      <c r="A35" s="59">
        <v>46146.742175925923</v>
      </c>
      <c r="B35" s="61" t="s">
        <v>132</v>
      </c>
      <c r="C35" s="15">
        <v>11315053</v>
      </c>
      <c r="D35" s="15" t="s">
        <v>237</v>
      </c>
      <c r="E35" s="3" t="s">
        <v>61</v>
      </c>
      <c r="F35" s="3" t="s">
        <v>67</v>
      </c>
      <c r="G35" s="3" t="s">
        <v>190</v>
      </c>
      <c r="H35" s="3" t="s">
        <v>378</v>
      </c>
      <c r="I35" s="15">
        <v>252431</v>
      </c>
      <c r="J35" s="15" t="s">
        <v>238</v>
      </c>
      <c r="K35" s="12" t="s">
        <v>239</v>
      </c>
      <c r="L35" s="62" t="s">
        <v>2</v>
      </c>
      <c r="M35" s="13">
        <v>0</v>
      </c>
      <c r="N35" s="12" t="s">
        <v>75</v>
      </c>
      <c r="O35" s="15" t="s">
        <v>64</v>
      </c>
      <c r="P35" s="3" t="s">
        <v>122</v>
      </c>
      <c r="Q35" s="1" t="s">
        <v>0</v>
      </c>
      <c r="R35" s="55" t="s">
        <v>72</v>
      </c>
      <c r="S35" s="63"/>
      <c r="T35" t="s">
        <v>505</v>
      </c>
    </row>
    <row r="36" spans="1:20" ht="12" customHeight="1" x14ac:dyDescent="0.2">
      <c r="A36" s="59">
        <v>46146.744247685187</v>
      </c>
      <c r="B36" s="61" t="s">
        <v>132</v>
      </c>
      <c r="C36" s="15">
        <v>11315053</v>
      </c>
      <c r="D36" s="15" t="s">
        <v>237</v>
      </c>
      <c r="E36" s="3" t="s">
        <v>61</v>
      </c>
      <c r="F36" s="3" t="s">
        <v>67</v>
      </c>
      <c r="G36" s="3" t="s">
        <v>190</v>
      </c>
      <c r="H36" s="3" t="s">
        <v>378</v>
      </c>
      <c r="I36" s="15">
        <v>252431</v>
      </c>
      <c r="J36" s="15" t="s">
        <v>238</v>
      </c>
      <c r="K36" s="12" t="s">
        <v>239</v>
      </c>
      <c r="L36" s="62" t="s">
        <v>49</v>
      </c>
      <c r="M36" s="13">
        <v>0</v>
      </c>
      <c r="N36" s="12" t="s">
        <v>75</v>
      </c>
      <c r="O36" s="15" t="s">
        <v>64</v>
      </c>
      <c r="P36" s="3" t="s">
        <v>122</v>
      </c>
      <c r="Q36" s="1" t="s">
        <v>0</v>
      </c>
      <c r="R36" s="55" t="s">
        <v>72</v>
      </c>
      <c r="S36" s="63"/>
      <c r="T36" t="s">
        <v>505</v>
      </c>
    </row>
    <row r="37" spans="1:20" ht="12" customHeight="1" x14ac:dyDescent="0.2">
      <c r="A37" s="59">
        <v>46146.745810185188</v>
      </c>
      <c r="B37" s="61" t="s">
        <v>132</v>
      </c>
      <c r="C37" s="15">
        <v>11315053</v>
      </c>
      <c r="D37" s="15" t="s">
        <v>237</v>
      </c>
      <c r="E37" s="3" t="s">
        <v>61</v>
      </c>
      <c r="F37" s="3" t="s">
        <v>67</v>
      </c>
      <c r="G37" s="3" t="s">
        <v>190</v>
      </c>
      <c r="H37" s="3" t="s">
        <v>378</v>
      </c>
      <c r="I37" s="15">
        <v>252431</v>
      </c>
      <c r="J37" s="15" t="s">
        <v>238</v>
      </c>
      <c r="K37" s="12" t="s">
        <v>239</v>
      </c>
      <c r="L37" s="62" t="s">
        <v>2</v>
      </c>
      <c r="M37" s="13">
        <v>0</v>
      </c>
      <c r="N37" s="12" t="s">
        <v>75</v>
      </c>
      <c r="O37" s="15" t="s">
        <v>64</v>
      </c>
      <c r="P37" s="3" t="s">
        <v>122</v>
      </c>
      <c r="Q37" s="1" t="s">
        <v>0</v>
      </c>
      <c r="R37" s="55" t="s">
        <v>72</v>
      </c>
      <c r="S37" s="63"/>
      <c r="T37" t="s">
        <v>505</v>
      </c>
    </row>
    <row r="38" spans="1:20" ht="12" customHeight="1" x14ac:dyDescent="0.2">
      <c r="A38" s="59">
        <v>46150</v>
      </c>
      <c r="B38" s="61" t="s">
        <v>132</v>
      </c>
      <c r="C38" s="15">
        <v>11315053</v>
      </c>
      <c r="D38" s="15" t="s">
        <v>237</v>
      </c>
      <c r="E38" s="3" t="s">
        <v>61</v>
      </c>
      <c r="F38" s="3" t="s">
        <v>67</v>
      </c>
      <c r="G38" s="3" t="s">
        <v>190</v>
      </c>
      <c r="H38" s="3" t="s">
        <v>378</v>
      </c>
      <c r="I38" s="15">
        <v>252431</v>
      </c>
      <c r="J38" s="15" t="s">
        <v>238</v>
      </c>
      <c r="K38" s="12" t="s">
        <v>239</v>
      </c>
      <c r="L38" s="62" t="s">
        <v>242</v>
      </c>
      <c r="M38" s="13">
        <v>0</v>
      </c>
      <c r="N38" s="14" t="s">
        <v>74</v>
      </c>
      <c r="O38" s="66" t="s">
        <v>64</v>
      </c>
      <c r="P38" s="3" t="s">
        <v>122</v>
      </c>
      <c r="Q38" s="1" t="s">
        <v>0</v>
      </c>
      <c r="R38" s="55" t="s">
        <v>72</v>
      </c>
      <c r="S38" s="63"/>
      <c r="T38" t="s">
        <v>505</v>
      </c>
    </row>
    <row r="39" spans="1:20" ht="12" customHeight="1" x14ac:dyDescent="0.2">
      <c r="A39" s="64">
        <v>46150</v>
      </c>
      <c r="B39" s="61" t="s">
        <v>133</v>
      </c>
      <c r="C39" s="15">
        <v>80355504</v>
      </c>
      <c r="D39" s="15" t="s">
        <v>64</v>
      </c>
      <c r="E39" s="3" t="s">
        <v>61</v>
      </c>
      <c r="F39" s="3" t="s">
        <v>67</v>
      </c>
      <c r="G39" s="3" t="s">
        <v>190</v>
      </c>
      <c r="H39" s="3" t="s">
        <v>494</v>
      </c>
      <c r="I39" s="15">
        <v>252431</v>
      </c>
      <c r="J39" s="3" t="s">
        <v>243</v>
      </c>
      <c r="K39" s="12" t="s">
        <v>244</v>
      </c>
      <c r="L39" s="62" t="s">
        <v>95</v>
      </c>
      <c r="M39" s="13">
        <v>100000</v>
      </c>
      <c r="N39" s="65" t="s">
        <v>245</v>
      </c>
      <c r="O39" s="15" t="s">
        <v>3</v>
      </c>
      <c r="P39" s="3" t="s">
        <v>122</v>
      </c>
      <c r="Q39" s="1" t="s">
        <v>0</v>
      </c>
      <c r="R39" s="55" t="s">
        <v>64</v>
      </c>
      <c r="S39" s="63"/>
      <c r="T39" t="s">
        <v>505</v>
      </c>
    </row>
    <row r="40" spans="1:20" ht="12" customHeight="1" x14ac:dyDescent="0.2">
      <c r="A40" s="59">
        <v>46015</v>
      </c>
      <c r="B40" s="61" t="s">
        <v>134</v>
      </c>
      <c r="C40" s="15">
        <v>13460654</v>
      </c>
      <c r="D40" s="15" t="s">
        <v>489</v>
      </c>
      <c r="E40" s="3" t="s">
        <v>61</v>
      </c>
      <c r="F40" s="3" t="s">
        <v>67</v>
      </c>
      <c r="G40" s="3" t="s">
        <v>261</v>
      </c>
      <c r="H40" s="3" t="s">
        <v>490</v>
      </c>
      <c r="I40" s="15">
        <v>252212</v>
      </c>
      <c r="J40" s="15" t="s">
        <v>246</v>
      </c>
      <c r="K40" s="12" t="s">
        <v>247</v>
      </c>
      <c r="L40" s="144" t="s">
        <v>248</v>
      </c>
      <c r="M40" s="109">
        <v>100000</v>
      </c>
      <c r="N40" s="110" t="s">
        <v>249</v>
      </c>
      <c r="O40" s="15" t="s">
        <v>3</v>
      </c>
      <c r="P40" s="3" t="s">
        <v>122</v>
      </c>
      <c r="Q40" s="1" t="s">
        <v>506</v>
      </c>
      <c r="R40" s="55" t="s">
        <v>72</v>
      </c>
      <c r="S40" s="63"/>
    </row>
    <row r="41" spans="1:20" ht="12" customHeight="1" x14ac:dyDescent="0.2">
      <c r="A41" s="59">
        <v>46050</v>
      </c>
      <c r="B41" s="61" t="s">
        <v>134</v>
      </c>
      <c r="C41" s="15">
        <v>13460654</v>
      </c>
      <c r="D41" s="15" t="s">
        <v>489</v>
      </c>
      <c r="E41" s="3" t="s">
        <v>61</v>
      </c>
      <c r="F41" s="3" t="s">
        <v>67</v>
      </c>
      <c r="G41" s="3" t="s">
        <v>261</v>
      </c>
      <c r="H41" s="3" t="s">
        <v>490</v>
      </c>
      <c r="I41" s="15">
        <v>252212</v>
      </c>
      <c r="J41" s="15" t="s">
        <v>246</v>
      </c>
      <c r="K41" s="12" t="s">
        <v>247</v>
      </c>
      <c r="L41" s="144" t="s">
        <v>66</v>
      </c>
      <c r="M41" s="109">
        <v>100000</v>
      </c>
      <c r="N41" s="110" t="s">
        <v>250</v>
      </c>
      <c r="O41" s="15" t="s">
        <v>3</v>
      </c>
      <c r="P41" s="3" t="s">
        <v>122</v>
      </c>
      <c r="Q41" s="1" t="s">
        <v>506</v>
      </c>
      <c r="R41" s="55" t="s">
        <v>72</v>
      </c>
      <c r="S41" s="63"/>
    </row>
    <row r="42" spans="1:20" ht="12" customHeight="1" x14ac:dyDescent="0.2">
      <c r="A42" s="59">
        <v>46057</v>
      </c>
      <c r="B42" s="61" t="s">
        <v>134</v>
      </c>
      <c r="C42" s="15">
        <v>13460654</v>
      </c>
      <c r="D42" s="15" t="s">
        <v>489</v>
      </c>
      <c r="E42" s="3" t="s">
        <v>61</v>
      </c>
      <c r="F42" s="3" t="s">
        <v>67</v>
      </c>
      <c r="G42" s="3" t="s">
        <v>261</v>
      </c>
      <c r="H42" s="3" t="s">
        <v>490</v>
      </c>
      <c r="I42" s="15">
        <v>252212</v>
      </c>
      <c r="J42" s="15" t="s">
        <v>246</v>
      </c>
      <c r="K42" s="12" t="s">
        <v>247</v>
      </c>
      <c r="L42" s="62" t="s">
        <v>5</v>
      </c>
      <c r="M42" s="13">
        <v>150000</v>
      </c>
      <c r="N42" s="14" t="s">
        <v>251</v>
      </c>
      <c r="O42" s="15" t="s">
        <v>3</v>
      </c>
      <c r="P42" s="3" t="s">
        <v>122</v>
      </c>
      <c r="Q42" s="1" t="s">
        <v>506</v>
      </c>
      <c r="R42" s="55" t="s">
        <v>72</v>
      </c>
      <c r="S42" s="63"/>
    </row>
    <row r="43" spans="1:20" ht="12" customHeight="1" x14ac:dyDescent="0.2">
      <c r="A43" s="64">
        <v>46149</v>
      </c>
      <c r="B43" s="61" t="s">
        <v>135</v>
      </c>
      <c r="C43" s="15">
        <v>14370092</v>
      </c>
      <c r="D43" s="15" t="s">
        <v>252</v>
      </c>
      <c r="E43" s="3" t="s">
        <v>61</v>
      </c>
      <c r="F43" s="3" t="s">
        <v>492</v>
      </c>
      <c r="G43" s="3" t="s">
        <v>491</v>
      </c>
      <c r="H43" s="3" t="s">
        <v>253</v>
      </c>
      <c r="I43" s="15">
        <v>111941</v>
      </c>
      <c r="J43" s="3" t="s">
        <v>254</v>
      </c>
      <c r="K43" s="12" t="s">
        <v>255</v>
      </c>
      <c r="L43" s="62" t="s">
        <v>95</v>
      </c>
      <c r="M43" s="13">
        <v>100000</v>
      </c>
      <c r="N43" s="65" t="s">
        <v>256</v>
      </c>
      <c r="O43" s="15" t="s">
        <v>3</v>
      </c>
      <c r="P43" s="3" t="s">
        <v>122</v>
      </c>
      <c r="Q43" s="1" t="s">
        <v>0</v>
      </c>
      <c r="R43" s="55" t="s">
        <v>72</v>
      </c>
      <c r="S43" s="63"/>
      <c r="T43" t="s">
        <v>505</v>
      </c>
    </row>
    <row r="44" spans="1:20" ht="12" customHeight="1" x14ac:dyDescent="0.2">
      <c r="A44" s="64">
        <v>46149</v>
      </c>
      <c r="B44" s="61" t="s">
        <v>135</v>
      </c>
      <c r="C44" s="15">
        <v>14370092</v>
      </c>
      <c r="D44" s="15" t="s">
        <v>252</v>
      </c>
      <c r="E44" s="3" t="s">
        <v>61</v>
      </c>
      <c r="F44" s="3" t="s">
        <v>492</v>
      </c>
      <c r="G44" s="3" t="s">
        <v>491</v>
      </c>
      <c r="H44" s="3" t="s">
        <v>253</v>
      </c>
      <c r="I44" s="15">
        <v>111941</v>
      </c>
      <c r="J44" s="3" t="s">
        <v>254</v>
      </c>
      <c r="K44" s="12" t="s">
        <v>255</v>
      </c>
      <c r="L44" s="62" t="s">
        <v>8</v>
      </c>
      <c r="M44" s="13">
        <v>0</v>
      </c>
      <c r="N44" s="12" t="s">
        <v>75</v>
      </c>
      <c r="O44" s="15" t="s">
        <v>64</v>
      </c>
      <c r="P44" s="3" t="s">
        <v>122</v>
      </c>
      <c r="Q44" s="1" t="s">
        <v>0</v>
      </c>
      <c r="R44" s="55" t="s">
        <v>72</v>
      </c>
      <c r="S44" s="63"/>
      <c r="T44" t="s">
        <v>505</v>
      </c>
    </row>
    <row r="45" spans="1:20" ht="12" customHeight="1" x14ac:dyDescent="0.2">
      <c r="A45" s="59">
        <v>46057</v>
      </c>
      <c r="B45" s="61" t="s">
        <v>136</v>
      </c>
      <c r="C45" s="15">
        <v>1075231467</v>
      </c>
      <c r="D45" s="15" t="s">
        <v>64</v>
      </c>
      <c r="E45" s="3" t="s">
        <v>61</v>
      </c>
      <c r="F45" s="3" t="s">
        <v>105</v>
      </c>
      <c r="G45" s="3" t="s">
        <v>179</v>
      </c>
      <c r="H45" s="3" t="s">
        <v>257</v>
      </c>
      <c r="I45" s="15">
        <v>733520</v>
      </c>
      <c r="J45" s="15" t="s">
        <v>258</v>
      </c>
      <c r="K45" s="12" t="s">
        <v>259</v>
      </c>
      <c r="L45" s="62" t="s">
        <v>5</v>
      </c>
      <c r="M45" s="13">
        <v>150000</v>
      </c>
      <c r="N45" s="14" t="s">
        <v>260</v>
      </c>
      <c r="O45" s="15" t="s">
        <v>3</v>
      </c>
      <c r="P45" s="3" t="s">
        <v>122</v>
      </c>
      <c r="Q45" s="1" t="s">
        <v>506</v>
      </c>
      <c r="R45" s="55" t="s">
        <v>64</v>
      </c>
      <c r="S45" s="63"/>
    </row>
    <row r="46" spans="1:20" ht="12" customHeight="1" x14ac:dyDescent="0.2">
      <c r="A46" s="59">
        <v>46129</v>
      </c>
      <c r="B46" s="61" t="s">
        <v>497</v>
      </c>
      <c r="C46" s="15">
        <v>20563430</v>
      </c>
      <c r="D46" s="15" t="s">
        <v>64</v>
      </c>
      <c r="E46" s="3" t="s">
        <v>61</v>
      </c>
      <c r="F46" s="3" t="s">
        <v>67</v>
      </c>
      <c r="G46" s="3" t="s">
        <v>261</v>
      </c>
      <c r="H46" s="3" t="s">
        <v>262</v>
      </c>
      <c r="I46" s="15">
        <v>252211</v>
      </c>
      <c r="J46" s="15" t="s">
        <v>263</v>
      </c>
      <c r="K46" s="12" t="s">
        <v>501</v>
      </c>
      <c r="L46" s="62" t="s">
        <v>47</v>
      </c>
      <c r="M46" s="13">
        <v>200000</v>
      </c>
      <c r="N46" s="12" t="s">
        <v>264</v>
      </c>
      <c r="O46" s="15" t="s">
        <v>101</v>
      </c>
      <c r="P46" s="3" t="s">
        <v>122</v>
      </c>
      <c r="Q46" s="1" t="s">
        <v>506</v>
      </c>
      <c r="R46" s="55" t="s">
        <v>64</v>
      </c>
      <c r="S46" s="63"/>
    </row>
    <row r="47" spans="1:20" ht="12" customHeight="1" x14ac:dyDescent="0.2">
      <c r="A47" s="59">
        <v>46129.828912037039</v>
      </c>
      <c r="B47" s="61" t="s">
        <v>497</v>
      </c>
      <c r="C47" s="15">
        <v>20563430</v>
      </c>
      <c r="D47" s="15" t="s">
        <v>64</v>
      </c>
      <c r="E47" s="3" t="s">
        <v>61</v>
      </c>
      <c r="F47" s="3" t="s">
        <v>67</v>
      </c>
      <c r="G47" s="3" t="s">
        <v>261</v>
      </c>
      <c r="H47" s="3" t="s">
        <v>262</v>
      </c>
      <c r="I47" s="15">
        <v>252211</v>
      </c>
      <c r="J47" s="12" t="s">
        <v>263</v>
      </c>
      <c r="K47" s="12" t="s">
        <v>501</v>
      </c>
      <c r="L47" s="62" t="s">
        <v>77</v>
      </c>
      <c r="M47" s="13">
        <v>0</v>
      </c>
      <c r="N47" s="12" t="s">
        <v>75</v>
      </c>
      <c r="O47" s="15" t="s">
        <v>64</v>
      </c>
      <c r="P47" s="3" t="s">
        <v>122</v>
      </c>
      <c r="Q47" s="1" t="s">
        <v>506</v>
      </c>
      <c r="R47" s="55" t="s">
        <v>64</v>
      </c>
      <c r="S47" s="63"/>
    </row>
    <row r="48" spans="1:20" ht="12" customHeight="1" x14ac:dyDescent="0.2">
      <c r="A48" s="59">
        <v>46129.830636574072</v>
      </c>
      <c r="B48" s="61" t="s">
        <v>497</v>
      </c>
      <c r="C48" s="15">
        <v>20563430</v>
      </c>
      <c r="D48" s="15" t="s">
        <v>64</v>
      </c>
      <c r="E48" s="3" t="s">
        <v>61</v>
      </c>
      <c r="F48" s="3" t="s">
        <v>67</v>
      </c>
      <c r="G48" s="3" t="s">
        <v>261</v>
      </c>
      <c r="H48" s="3" t="s">
        <v>262</v>
      </c>
      <c r="I48" s="15">
        <v>252211</v>
      </c>
      <c r="J48" s="12" t="s">
        <v>263</v>
      </c>
      <c r="K48" s="12" t="s">
        <v>501</v>
      </c>
      <c r="L48" s="62" t="s">
        <v>8</v>
      </c>
      <c r="M48" s="13">
        <v>0</v>
      </c>
      <c r="N48" s="12" t="s">
        <v>75</v>
      </c>
      <c r="O48" s="15" t="s">
        <v>64</v>
      </c>
      <c r="P48" s="3" t="s">
        <v>122</v>
      </c>
      <c r="Q48" s="1" t="s">
        <v>506</v>
      </c>
      <c r="R48" s="55" t="s">
        <v>64</v>
      </c>
      <c r="S48" s="63"/>
    </row>
    <row r="49" spans="1:20" ht="12" customHeight="1" x14ac:dyDescent="0.2">
      <c r="A49" s="59">
        <v>45952.618541666663</v>
      </c>
      <c r="B49" s="61" t="s">
        <v>138</v>
      </c>
      <c r="C49" s="15">
        <v>1018473483</v>
      </c>
      <c r="D49" s="15" t="s">
        <v>265</v>
      </c>
      <c r="E49" s="3" t="s">
        <v>61</v>
      </c>
      <c r="F49" s="3" t="s">
        <v>67</v>
      </c>
      <c r="G49" s="3" t="s">
        <v>190</v>
      </c>
      <c r="H49" s="3" t="s">
        <v>191</v>
      </c>
      <c r="I49" s="15">
        <v>252432</v>
      </c>
      <c r="J49" s="15" t="s">
        <v>266</v>
      </c>
      <c r="K49" s="12" t="s">
        <v>267</v>
      </c>
      <c r="L49" s="62" t="s">
        <v>2</v>
      </c>
      <c r="M49" s="13">
        <v>100000</v>
      </c>
      <c r="N49" s="14" t="s">
        <v>268</v>
      </c>
      <c r="O49" s="15" t="s">
        <v>3</v>
      </c>
      <c r="P49" s="3" t="s">
        <v>122</v>
      </c>
      <c r="Q49" s="1" t="s">
        <v>0</v>
      </c>
      <c r="R49" s="55" t="s">
        <v>72</v>
      </c>
      <c r="S49" s="63"/>
      <c r="T49" t="s">
        <v>505</v>
      </c>
    </row>
    <row r="50" spans="1:20" ht="12" customHeight="1" x14ac:dyDescent="0.2">
      <c r="A50" s="59">
        <v>46150</v>
      </c>
      <c r="B50" s="61" t="s">
        <v>138</v>
      </c>
      <c r="C50" s="15">
        <v>1018473483</v>
      </c>
      <c r="D50" s="15" t="s">
        <v>265</v>
      </c>
      <c r="E50" s="3" t="s">
        <v>61</v>
      </c>
      <c r="F50" s="3" t="s">
        <v>67</v>
      </c>
      <c r="G50" s="3" t="s">
        <v>190</v>
      </c>
      <c r="H50" s="3" t="s">
        <v>191</v>
      </c>
      <c r="I50" s="12">
        <v>252432</v>
      </c>
      <c r="J50" s="15" t="s">
        <v>266</v>
      </c>
      <c r="K50" s="12" t="s">
        <v>267</v>
      </c>
      <c r="L50" s="62" t="s">
        <v>68</v>
      </c>
      <c r="M50" s="13">
        <v>0</v>
      </c>
      <c r="N50" s="14" t="s">
        <v>74</v>
      </c>
      <c r="O50" s="15" t="s">
        <v>64</v>
      </c>
      <c r="P50" s="3" t="s">
        <v>122</v>
      </c>
      <c r="Q50" s="1" t="s">
        <v>0</v>
      </c>
      <c r="R50" s="55" t="s">
        <v>72</v>
      </c>
      <c r="S50" s="63"/>
      <c r="T50" t="s">
        <v>505</v>
      </c>
    </row>
    <row r="51" spans="1:20" ht="12" customHeight="1" x14ac:dyDescent="0.2">
      <c r="A51" s="59">
        <v>46105</v>
      </c>
      <c r="B51" s="61" t="s">
        <v>139</v>
      </c>
      <c r="C51" s="15">
        <v>20647654</v>
      </c>
      <c r="D51" s="15" t="s">
        <v>269</v>
      </c>
      <c r="E51" s="3" t="s">
        <v>61</v>
      </c>
      <c r="F51" s="3" t="s">
        <v>67</v>
      </c>
      <c r="G51" s="3" t="s">
        <v>190</v>
      </c>
      <c r="H51" s="3" t="s">
        <v>270</v>
      </c>
      <c r="I51" s="15">
        <v>252432</v>
      </c>
      <c r="J51" s="15" t="s">
        <v>495</v>
      </c>
      <c r="K51" s="12" t="s">
        <v>496</v>
      </c>
      <c r="L51" s="62" t="s">
        <v>80</v>
      </c>
      <c r="M51" s="13">
        <v>500000</v>
      </c>
      <c r="N51" s="14" t="s">
        <v>272</v>
      </c>
      <c r="O51" s="15" t="s">
        <v>3</v>
      </c>
      <c r="P51" s="3" t="s">
        <v>122</v>
      </c>
      <c r="Q51" s="1" t="s">
        <v>0</v>
      </c>
      <c r="R51" s="55" t="s">
        <v>72</v>
      </c>
      <c r="S51" s="63"/>
      <c r="T51" t="s">
        <v>505</v>
      </c>
    </row>
    <row r="52" spans="1:20" ht="12" customHeight="1" x14ac:dyDescent="0.2">
      <c r="A52" s="64">
        <v>46145</v>
      </c>
      <c r="B52" s="61" t="s">
        <v>139</v>
      </c>
      <c r="C52" s="15">
        <v>20647654</v>
      </c>
      <c r="D52" s="15" t="s">
        <v>269</v>
      </c>
      <c r="E52" s="3" t="s">
        <v>61</v>
      </c>
      <c r="F52" s="3" t="s">
        <v>67</v>
      </c>
      <c r="G52" s="3" t="s">
        <v>190</v>
      </c>
      <c r="H52" s="3" t="s">
        <v>270</v>
      </c>
      <c r="I52" s="15">
        <v>252432</v>
      </c>
      <c r="J52" s="15" t="s">
        <v>495</v>
      </c>
      <c r="K52" s="12" t="s">
        <v>496</v>
      </c>
      <c r="L52" s="62" t="s">
        <v>273</v>
      </c>
      <c r="M52" s="13">
        <v>500000</v>
      </c>
      <c r="N52" s="65" t="s">
        <v>274</v>
      </c>
      <c r="O52" s="15" t="s">
        <v>1</v>
      </c>
      <c r="P52" s="3" t="s">
        <v>122</v>
      </c>
      <c r="Q52" s="1" t="s">
        <v>0</v>
      </c>
      <c r="R52" s="55" t="s">
        <v>72</v>
      </c>
      <c r="S52" s="63"/>
      <c r="T52" t="s">
        <v>505</v>
      </c>
    </row>
    <row r="53" spans="1:20" ht="12" customHeight="1" x14ac:dyDescent="0.2">
      <c r="A53" s="59">
        <v>46146.719687500001</v>
      </c>
      <c r="B53" s="61" t="s">
        <v>139</v>
      </c>
      <c r="C53" s="15">
        <v>20647654</v>
      </c>
      <c r="D53" s="15" t="s">
        <v>269</v>
      </c>
      <c r="E53" s="3" t="s">
        <v>61</v>
      </c>
      <c r="F53" s="3" t="s">
        <v>67</v>
      </c>
      <c r="G53" s="3" t="s">
        <v>190</v>
      </c>
      <c r="H53" s="3" t="s">
        <v>270</v>
      </c>
      <c r="I53" s="15">
        <v>252432</v>
      </c>
      <c r="J53" s="15" t="s">
        <v>495</v>
      </c>
      <c r="K53" s="12" t="s">
        <v>496</v>
      </c>
      <c r="L53" s="62" t="s">
        <v>73</v>
      </c>
      <c r="M53" s="13">
        <v>0</v>
      </c>
      <c r="N53" s="12" t="s">
        <v>75</v>
      </c>
      <c r="O53" s="15" t="s">
        <v>64</v>
      </c>
      <c r="P53" s="3" t="s">
        <v>122</v>
      </c>
      <c r="Q53" s="1" t="s">
        <v>0</v>
      </c>
      <c r="R53" s="55" t="s">
        <v>72</v>
      </c>
      <c r="S53" s="63"/>
      <c r="T53" t="s">
        <v>505</v>
      </c>
    </row>
    <row r="54" spans="1:20" ht="12" customHeight="1" x14ac:dyDescent="0.2">
      <c r="A54" s="59">
        <v>46146.722337962965</v>
      </c>
      <c r="B54" s="61" t="s">
        <v>139</v>
      </c>
      <c r="C54" s="15">
        <v>20647654</v>
      </c>
      <c r="D54" s="15" t="s">
        <v>269</v>
      </c>
      <c r="E54" s="3" t="s">
        <v>61</v>
      </c>
      <c r="F54" s="3" t="s">
        <v>67</v>
      </c>
      <c r="G54" s="3" t="s">
        <v>190</v>
      </c>
      <c r="H54" s="3" t="s">
        <v>270</v>
      </c>
      <c r="I54" s="15">
        <v>252432</v>
      </c>
      <c r="J54" s="15" t="s">
        <v>495</v>
      </c>
      <c r="K54" s="12" t="s">
        <v>496</v>
      </c>
      <c r="L54" s="62" t="s">
        <v>73</v>
      </c>
      <c r="M54" s="13">
        <v>0</v>
      </c>
      <c r="N54" s="12" t="s">
        <v>75</v>
      </c>
      <c r="O54" s="15" t="s">
        <v>64</v>
      </c>
      <c r="P54" s="3" t="s">
        <v>122</v>
      </c>
      <c r="Q54" s="1" t="s">
        <v>0</v>
      </c>
      <c r="R54" s="55" t="s">
        <v>72</v>
      </c>
      <c r="S54" s="63"/>
      <c r="T54" t="s">
        <v>505</v>
      </c>
    </row>
    <row r="55" spans="1:20" ht="12" customHeight="1" x14ac:dyDescent="0.2">
      <c r="A55" s="59">
        <v>46146.724004629628</v>
      </c>
      <c r="B55" s="61" t="s">
        <v>139</v>
      </c>
      <c r="C55" s="15">
        <v>20647654</v>
      </c>
      <c r="D55" s="15" t="s">
        <v>269</v>
      </c>
      <c r="E55" s="3" t="s">
        <v>61</v>
      </c>
      <c r="F55" s="3" t="s">
        <v>67</v>
      </c>
      <c r="G55" s="3" t="s">
        <v>190</v>
      </c>
      <c r="H55" s="3" t="s">
        <v>270</v>
      </c>
      <c r="I55" s="15">
        <v>252432</v>
      </c>
      <c r="J55" s="15" t="s">
        <v>495</v>
      </c>
      <c r="K55" s="12" t="s">
        <v>496</v>
      </c>
      <c r="L55" s="62" t="s">
        <v>73</v>
      </c>
      <c r="M55" s="13">
        <v>0</v>
      </c>
      <c r="N55" s="12" t="s">
        <v>75</v>
      </c>
      <c r="O55" s="15" t="s">
        <v>64</v>
      </c>
      <c r="P55" s="3" t="s">
        <v>122</v>
      </c>
      <c r="Q55" s="1" t="s">
        <v>0</v>
      </c>
      <c r="R55" s="55" t="s">
        <v>72</v>
      </c>
      <c r="S55" s="63"/>
      <c r="T55" t="s">
        <v>505</v>
      </c>
    </row>
    <row r="56" spans="1:20" ht="12" customHeight="1" x14ac:dyDescent="0.2">
      <c r="A56" s="59">
        <v>46146.725659722222</v>
      </c>
      <c r="B56" s="61" t="s">
        <v>139</v>
      </c>
      <c r="C56" s="15">
        <v>20647654</v>
      </c>
      <c r="D56" s="15" t="s">
        <v>269</v>
      </c>
      <c r="E56" s="3" t="s">
        <v>61</v>
      </c>
      <c r="F56" s="3" t="s">
        <v>67</v>
      </c>
      <c r="G56" s="3" t="s">
        <v>190</v>
      </c>
      <c r="H56" s="3" t="s">
        <v>270</v>
      </c>
      <c r="I56" s="15">
        <v>252432</v>
      </c>
      <c r="J56" s="15" t="s">
        <v>495</v>
      </c>
      <c r="K56" s="12" t="s">
        <v>496</v>
      </c>
      <c r="L56" s="62" t="s">
        <v>73</v>
      </c>
      <c r="M56" s="13">
        <v>0</v>
      </c>
      <c r="N56" s="12" t="s">
        <v>75</v>
      </c>
      <c r="O56" s="15" t="s">
        <v>64</v>
      </c>
      <c r="P56" s="3" t="s">
        <v>122</v>
      </c>
      <c r="Q56" s="1" t="s">
        <v>0</v>
      </c>
      <c r="R56" s="55" t="s">
        <v>72</v>
      </c>
      <c r="S56" s="63"/>
      <c r="T56" t="s">
        <v>505</v>
      </c>
    </row>
    <row r="57" spans="1:20" ht="12" customHeight="1" x14ac:dyDescent="0.2">
      <c r="A57" s="59">
        <v>46058.822175925925</v>
      </c>
      <c r="B57" s="61" t="s">
        <v>139</v>
      </c>
      <c r="C57" s="15">
        <v>20647654</v>
      </c>
      <c r="D57" s="15" t="s">
        <v>269</v>
      </c>
      <c r="E57" s="3" t="s">
        <v>61</v>
      </c>
      <c r="F57" s="3" t="s">
        <v>67</v>
      </c>
      <c r="G57" s="3" t="s">
        <v>190</v>
      </c>
      <c r="H57" s="3" t="s">
        <v>270</v>
      </c>
      <c r="I57" s="15">
        <v>252432</v>
      </c>
      <c r="J57" s="15" t="s">
        <v>495</v>
      </c>
      <c r="K57" s="12" t="s">
        <v>496</v>
      </c>
      <c r="L57" s="62" t="s">
        <v>5</v>
      </c>
      <c r="M57" s="13">
        <v>150000</v>
      </c>
      <c r="N57" s="14" t="s">
        <v>307</v>
      </c>
      <c r="O57" s="15" t="s">
        <v>3</v>
      </c>
      <c r="P57" s="3" t="s">
        <v>122</v>
      </c>
      <c r="Q57" s="1" t="s">
        <v>0</v>
      </c>
      <c r="R57" s="55" t="s">
        <v>72</v>
      </c>
      <c r="S57" s="63"/>
      <c r="T57" t="s">
        <v>505</v>
      </c>
    </row>
    <row r="58" spans="1:20" ht="12" customHeight="1" x14ac:dyDescent="0.2">
      <c r="A58" s="59">
        <v>45944.753125000003</v>
      </c>
      <c r="B58" s="61" t="s">
        <v>140</v>
      </c>
      <c r="C58" s="15">
        <v>31496340</v>
      </c>
      <c r="D58" s="15" t="s">
        <v>275</v>
      </c>
      <c r="E58" s="3" t="s">
        <v>61</v>
      </c>
      <c r="F58" s="3" t="s">
        <v>67</v>
      </c>
      <c r="G58" s="3" t="s">
        <v>276</v>
      </c>
      <c r="H58" s="3" t="s">
        <v>277</v>
      </c>
      <c r="I58" s="12">
        <v>252850</v>
      </c>
      <c r="J58" s="15" t="s">
        <v>278</v>
      </c>
      <c r="K58" s="12" t="s">
        <v>279</v>
      </c>
      <c r="L58" s="62" t="s">
        <v>2</v>
      </c>
      <c r="M58" s="13">
        <v>100000</v>
      </c>
      <c r="N58" s="14" t="s">
        <v>280</v>
      </c>
      <c r="O58" s="15" t="s">
        <v>3</v>
      </c>
      <c r="P58" s="3" t="s">
        <v>122</v>
      </c>
      <c r="Q58" s="1" t="s">
        <v>506</v>
      </c>
      <c r="R58" s="55" t="s">
        <v>72</v>
      </c>
      <c r="S58" s="63"/>
    </row>
    <row r="59" spans="1:20" ht="12" customHeight="1" x14ac:dyDescent="0.2">
      <c r="A59" s="59">
        <v>46150</v>
      </c>
      <c r="B59" s="61" t="s">
        <v>140</v>
      </c>
      <c r="C59" s="15">
        <v>31496340</v>
      </c>
      <c r="D59" s="15" t="s">
        <v>275</v>
      </c>
      <c r="E59" s="3" t="s">
        <v>61</v>
      </c>
      <c r="F59" s="3" t="s">
        <v>67</v>
      </c>
      <c r="G59" s="3" t="s">
        <v>276</v>
      </c>
      <c r="H59" s="3" t="s">
        <v>277</v>
      </c>
      <c r="I59" s="12">
        <v>252850</v>
      </c>
      <c r="J59" s="15" t="s">
        <v>278</v>
      </c>
      <c r="K59" s="12" t="s">
        <v>279</v>
      </c>
      <c r="L59" s="62" t="s">
        <v>73</v>
      </c>
      <c r="M59" s="13">
        <v>0</v>
      </c>
      <c r="N59" s="14" t="s">
        <v>74</v>
      </c>
      <c r="O59" s="15" t="s">
        <v>64</v>
      </c>
      <c r="P59" s="3" t="s">
        <v>122</v>
      </c>
      <c r="Q59" s="1" t="s">
        <v>506</v>
      </c>
      <c r="R59" s="55" t="s">
        <v>72</v>
      </c>
      <c r="S59" s="63"/>
    </row>
    <row r="60" spans="1:20" ht="12" customHeight="1" x14ac:dyDescent="0.2">
      <c r="A60" s="59">
        <v>45939.817974537036</v>
      </c>
      <c r="B60" s="61" t="s">
        <v>141</v>
      </c>
      <c r="C60" s="15">
        <v>11315984</v>
      </c>
      <c r="D60" s="15" t="s">
        <v>281</v>
      </c>
      <c r="E60" s="3" t="s">
        <v>282</v>
      </c>
      <c r="F60" s="3" t="s">
        <v>67</v>
      </c>
      <c r="G60" s="3" t="s">
        <v>190</v>
      </c>
      <c r="H60" s="3" t="s">
        <v>283</v>
      </c>
      <c r="I60" s="15">
        <v>252431</v>
      </c>
      <c r="J60" s="15" t="s">
        <v>284</v>
      </c>
      <c r="K60" s="12" t="s">
        <v>285</v>
      </c>
      <c r="L60" s="62" t="s">
        <v>4</v>
      </c>
      <c r="M60" s="13">
        <v>0</v>
      </c>
      <c r="N60" s="14" t="s">
        <v>286</v>
      </c>
      <c r="O60" s="15" t="s">
        <v>64</v>
      </c>
      <c r="P60" s="3" t="s">
        <v>122</v>
      </c>
      <c r="Q60" s="1" t="s">
        <v>506</v>
      </c>
      <c r="R60" s="55" t="s">
        <v>72</v>
      </c>
      <c r="S60" s="63"/>
    </row>
    <row r="61" spans="1:20" ht="12" customHeight="1" x14ac:dyDescent="0.2">
      <c r="A61" s="59">
        <v>45939.817974537036</v>
      </c>
      <c r="B61" s="61" t="s">
        <v>141</v>
      </c>
      <c r="C61" s="15">
        <v>11315984</v>
      </c>
      <c r="D61" s="15" t="s">
        <v>281</v>
      </c>
      <c r="E61" s="3" t="s">
        <v>61</v>
      </c>
      <c r="F61" s="3" t="s">
        <v>67</v>
      </c>
      <c r="G61" s="3" t="s">
        <v>190</v>
      </c>
      <c r="H61" s="3" t="s">
        <v>287</v>
      </c>
      <c r="I61" s="15">
        <v>252431</v>
      </c>
      <c r="J61" s="15" t="s">
        <v>284</v>
      </c>
      <c r="K61" s="12" t="s">
        <v>285</v>
      </c>
      <c r="L61" s="62" t="s">
        <v>2</v>
      </c>
      <c r="M61" s="13">
        <v>100000</v>
      </c>
      <c r="N61" s="14" t="s">
        <v>288</v>
      </c>
      <c r="O61" s="15" t="s">
        <v>3</v>
      </c>
      <c r="P61" s="3" t="s">
        <v>122</v>
      </c>
      <c r="Q61" s="1" t="s">
        <v>506</v>
      </c>
      <c r="R61" s="55" t="s">
        <v>72</v>
      </c>
      <c r="S61" s="63"/>
    </row>
    <row r="62" spans="1:20" ht="12" customHeight="1" x14ac:dyDescent="0.2">
      <c r="A62" s="59">
        <v>46055</v>
      </c>
      <c r="B62" s="61" t="s">
        <v>141</v>
      </c>
      <c r="C62" s="15">
        <v>11315984</v>
      </c>
      <c r="D62" s="15" t="s">
        <v>281</v>
      </c>
      <c r="E62" s="3" t="s">
        <v>61</v>
      </c>
      <c r="F62" s="3" t="s">
        <v>67</v>
      </c>
      <c r="G62" s="3" t="s">
        <v>190</v>
      </c>
      <c r="H62" s="3" t="s">
        <v>287</v>
      </c>
      <c r="I62" s="15">
        <v>252431</v>
      </c>
      <c r="J62" s="15" t="s">
        <v>284</v>
      </c>
      <c r="K62" s="12" t="s">
        <v>285</v>
      </c>
      <c r="L62" s="62" t="s">
        <v>78</v>
      </c>
      <c r="M62" s="13">
        <v>500000</v>
      </c>
      <c r="N62" s="14" t="s">
        <v>289</v>
      </c>
      <c r="O62" s="15" t="s">
        <v>3</v>
      </c>
      <c r="P62" s="3" t="s">
        <v>122</v>
      </c>
      <c r="Q62" s="1" t="s">
        <v>506</v>
      </c>
      <c r="R62" s="55" t="s">
        <v>72</v>
      </c>
      <c r="S62" s="63"/>
    </row>
    <row r="63" spans="1:20" ht="12" customHeight="1" x14ac:dyDescent="0.2">
      <c r="A63" s="59">
        <v>46120</v>
      </c>
      <c r="B63" s="61" t="s">
        <v>142</v>
      </c>
      <c r="C63" s="15">
        <v>1015413288</v>
      </c>
      <c r="D63" s="15" t="s">
        <v>64</v>
      </c>
      <c r="E63" s="3" t="s">
        <v>61</v>
      </c>
      <c r="F63" s="3" t="s">
        <v>67</v>
      </c>
      <c r="G63" s="3" t="s">
        <v>183</v>
      </c>
      <c r="H63" s="3" t="s">
        <v>290</v>
      </c>
      <c r="I63" s="15">
        <v>252410</v>
      </c>
      <c r="J63" s="15" t="s">
        <v>291</v>
      </c>
      <c r="K63" s="12" t="s">
        <v>292</v>
      </c>
      <c r="L63" s="62" t="s">
        <v>47</v>
      </c>
      <c r="M63" s="13">
        <v>200000</v>
      </c>
      <c r="N63" s="12" t="s">
        <v>293</v>
      </c>
      <c r="O63" s="3" t="s">
        <v>1</v>
      </c>
      <c r="P63" s="3" t="s">
        <v>122</v>
      </c>
      <c r="Q63" s="1" t="s">
        <v>506</v>
      </c>
      <c r="R63" s="55" t="s">
        <v>64</v>
      </c>
      <c r="S63" s="63"/>
    </row>
    <row r="64" spans="1:20" ht="12" customHeight="1" x14ac:dyDescent="0.2">
      <c r="A64" s="59">
        <v>46127.67523148148</v>
      </c>
      <c r="B64" s="61" t="s">
        <v>142</v>
      </c>
      <c r="C64" s="15">
        <v>1015413288</v>
      </c>
      <c r="D64" s="15" t="s">
        <v>64</v>
      </c>
      <c r="E64" s="3" t="s">
        <v>61</v>
      </c>
      <c r="F64" s="3" t="s">
        <v>67</v>
      </c>
      <c r="G64" s="3" t="s">
        <v>183</v>
      </c>
      <c r="H64" s="3" t="s">
        <v>290</v>
      </c>
      <c r="I64" s="15">
        <v>252410</v>
      </c>
      <c r="J64" s="15" t="s">
        <v>291</v>
      </c>
      <c r="K64" s="12" t="s">
        <v>292</v>
      </c>
      <c r="L64" s="62" t="s">
        <v>2</v>
      </c>
      <c r="M64" s="13">
        <v>0</v>
      </c>
      <c r="N64" s="12" t="s">
        <v>75</v>
      </c>
      <c r="O64" s="15" t="s">
        <v>64</v>
      </c>
      <c r="P64" s="3" t="s">
        <v>122</v>
      </c>
      <c r="Q64" s="1" t="s">
        <v>506</v>
      </c>
      <c r="R64" s="55" t="s">
        <v>64</v>
      </c>
      <c r="S64" s="63"/>
    </row>
    <row r="65" spans="1:19" ht="12" customHeight="1" x14ac:dyDescent="0.2">
      <c r="A65" s="59">
        <v>46150</v>
      </c>
      <c r="B65" s="61" t="s">
        <v>142</v>
      </c>
      <c r="C65" s="15">
        <v>1015413288</v>
      </c>
      <c r="D65" s="15" t="s">
        <v>64</v>
      </c>
      <c r="E65" s="3" t="s">
        <v>61</v>
      </c>
      <c r="F65" s="3" t="s">
        <v>67</v>
      </c>
      <c r="G65" s="3" t="s">
        <v>183</v>
      </c>
      <c r="H65" s="3" t="s">
        <v>290</v>
      </c>
      <c r="I65" s="15">
        <v>252410</v>
      </c>
      <c r="J65" s="15" t="s">
        <v>291</v>
      </c>
      <c r="K65" s="12" t="s">
        <v>292</v>
      </c>
      <c r="L65" s="62" t="s">
        <v>73</v>
      </c>
      <c r="M65" s="13">
        <v>0</v>
      </c>
      <c r="N65" s="14" t="s">
        <v>74</v>
      </c>
      <c r="O65" s="15" t="s">
        <v>64</v>
      </c>
      <c r="P65" s="3" t="s">
        <v>122</v>
      </c>
      <c r="Q65" s="1" t="s">
        <v>506</v>
      </c>
      <c r="R65" s="55" t="s">
        <v>64</v>
      </c>
      <c r="S65" s="63"/>
    </row>
    <row r="66" spans="1:19" ht="12" customHeight="1" x14ac:dyDescent="0.2">
      <c r="A66" s="59">
        <v>46154.725381944445</v>
      </c>
      <c r="B66" s="61" t="s">
        <v>142</v>
      </c>
      <c r="C66" s="15">
        <v>1015413288</v>
      </c>
      <c r="D66" s="15" t="s">
        <v>64</v>
      </c>
      <c r="E66" s="3" t="s">
        <v>61</v>
      </c>
      <c r="F66" s="3" t="s">
        <v>67</v>
      </c>
      <c r="G66" s="3" t="s">
        <v>183</v>
      </c>
      <c r="H66" s="3" t="s">
        <v>290</v>
      </c>
      <c r="I66" s="15">
        <v>252410</v>
      </c>
      <c r="J66" s="15" t="s">
        <v>291</v>
      </c>
      <c r="K66" s="12" t="s">
        <v>292</v>
      </c>
      <c r="L66" s="62" t="s">
        <v>2</v>
      </c>
      <c r="M66" s="13">
        <v>0</v>
      </c>
      <c r="N66" s="12" t="s">
        <v>75</v>
      </c>
      <c r="O66" s="15" t="s">
        <v>64</v>
      </c>
      <c r="P66" s="3" t="s">
        <v>122</v>
      </c>
      <c r="Q66" s="1" t="s">
        <v>506</v>
      </c>
      <c r="R66" s="55" t="s">
        <v>64</v>
      </c>
      <c r="S66" s="63"/>
    </row>
    <row r="67" spans="1:19" ht="12" customHeight="1" x14ac:dyDescent="0.2">
      <c r="A67" s="59">
        <v>45986</v>
      </c>
      <c r="B67" s="61" t="s">
        <v>143</v>
      </c>
      <c r="C67" s="15">
        <v>1069720253</v>
      </c>
      <c r="D67" s="15" t="s">
        <v>64</v>
      </c>
      <c r="E67" s="3" t="s">
        <v>61</v>
      </c>
      <c r="F67" s="3" t="s">
        <v>67</v>
      </c>
      <c r="G67" s="3" t="s">
        <v>261</v>
      </c>
      <c r="H67" s="3" t="s">
        <v>294</v>
      </c>
      <c r="I67" s="15">
        <v>252002</v>
      </c>
      <c r="J67" s="15" t="s">
        <v>295</v>
      </c>
      <c r="K67" s="12" t="s">
        <v>296</v>
      </c>
      <c r="L67" s="62" t="s">
        <v>2</v>
      </c>
      <c r="M67" s="13">
        <v>100000</v>
      </c>
      <c r="N67" s="14" t="s">
        <v>297</v>
      </c>
      <c r="O67" s="15" t="s">
        <v>98</v>
      </c>
      <c r="P67" s="3" t="s">
        <v>122</v>
      </c>
      <c r="Q67" s="1" t="s">
        <v>506</v>
      </c>
      <c r="R67" s="55" t="s">
        <v>64</v>
      </c>
      <c r="S67" s="63"/>
    </row>
    <row r="68" spans="1:19" ht="12" customHeight="1" x14ac:dyDescent="0.2">
      <c r="A68" s="59">
        <v>46150</v>
      </c>
      <c r="B68" s="61" t="s">
        <v>143</v>
      </c>
      <c r="C68" s="15">
        <v>1069720253</v>
      </c>
      <c r="D68" s="15" t="s">
        <v>64</v>
      </c>
      <c r="E68" s="3" t="s">
        <v>61</v>
      </c>
      <c r="F68" s="3" t="s">
        <v>67</v>
      </c>
      <c r="G68" s="3" t="s">
        <v>261</v>
      </c>
      <c r="H68" s="3" t="s">
        <v>294</v>
      </c>
      <c r="I68" s="15">
        <v>252002</v>
      </c>
      <c r="J68" s="15" t="s">
        <v>295</v>
      </c>
      <c r="K68" s="12" t="s">
        <v>296</v>
      </c>
      <c r="L68" s="62" t="s">
        <v>73</v>
      </c>
      <c r="M68" s="13">
        <v>0</v>
      </c>
      <c r="N68" s="14" t="s">
        <v>74</v>
      </c>
      <c r="O68" s="15" t="s">
        <v>64</v>
      </c>
      <c r="P68" s="3" t="s">
        <v>122</v>
      </c>
      <c r="Q68" s="1" t="s">
        <v>506</v>
      </c>
      <c r="R68" s="55" t="s">
        <v>64</v>
      </c>
      <c r="S68" s="63"/>
    </row>
    <row r="69" spans="1:19" ht="12" customHeight="1" x14ac:dyDescent="0.2">
      <c r="A69" s="59">
        <v>45930.601840277777</v>
      </c>
      <c r="B69" s="61" t="s">
        <v>144</v>
      </c>
      <c r="C69" s="15">
        <v>11310744</v>
      </c>
      <c r="D69" s="15" t="s">
        <v>64</v>
      </c>
      <c r="E69" s="3" t="s">
        <v>61</v>
      </c>
      <c r="F69" s="3" t="s">
        <v>67</v>
      </c>
      <c r="G69" s="3" t="s">
        <v>190</v>
      </c>
      <c r="H69" s="3" t="s">
        <v>298</v>
      </c>
      <c r="I69" s="15" t="s">
        <v>299</v>
      </c>
      <c r="J69" s="15" t="s">
        <v>300</v>
      </c>
      <c r="K69" s="12" t="s">
        <v>301</v>
      </c>
      <c r="L69" s="144" t="s">
        <v>302</v>
      </c>
      <c r="M69" s="109">
        <v>150000</v>
      </c>
      <c r="N69" s="110" t="s">
        <v>303</v>
      </c>
      <c r="O69" s="15" t="s">
        <v>3</v>
      </c>
      <c r="P69" s="3" t="s">
        <v>122</v>
      </c>
      <c r="Q69" s="1" t="s">
        <v>506</v>
      </c>
      <c r="R69" s="55" t="s">
        <v>72</v>
      </c>
      <c r="S69" s="63"/>
    </row>
    <row r="70" spans="1:19" ht="12" customHeight="1" x14ac:dyDescent="0.2">
      <c r="A70" s="59">
        <v>46030</v>
      </c>
      <c r="B70" s="61" t="s">
        <v>144</v>
      </c>
      <c r="C70" s="15">
        <v>11310744</v>
      </c>
      <c r="D70" s="15" t="s">
        <v>64</v>
      </c>
      <c r="E70" s="3" t="s">
        <v>61</v>
      </c>
      <c r="F70" s="3" t="s">
        <v>67</v>
      </c>
      <c r="G70" s="3" t="s">
        <v>190</v>
      </c>
      <c r="H70" s="3" t="s">
        <v>298</v>
      </c>
      <c r="I70" s="15" t="s">
        <v>299</v>
      </c>
      <c r="J70" s="15" t="s">
        <v>300</v>
      </c>
      <c r="K70" s="12" t="s">
        <v>301</v>
      </c>
      <c r="L70" s="144" t="s">
        <v>102</v>
      </c>
      <c r="M70" s="109">
        <v>150000</v>
      </c>
      <c r="N70" s="110" t="s">
        <v>304</v>
      </c>
      <c r="O70" s="15" t="s">
        <v>3</v>
      </c>
      <c r="P70" s="3" t="s">
        <v>122</v>
      </c>
      <c r="Q70" s="1" t="s">
        <v>506</v>
      </c>
      <c r="R70" s="55" t="s">
        <v>72</v>
      </c>
      <c r="S70" s="63"/>
    </row>
    <row r="71" spans="1:19" ht="12" customHeight="1" x14ac:dyDescent="0.2">
      <c r="A71" s="59">
        <v>46108</v>
      </c>
      <c r="B71" s="61" t="s">
        <v>144</v>
      </c>
      <c r="C71" s="15">
        <v>11310744</v>
      </c>
      <c r="D71" s="15" t="s">
        <v>64</v>
      </c>
      <c r="E71" s="3" t="s">
        <v>61</v>
      </c>
      <c r="F71" s="3" t="s">
        <v>67</v>
      </c>
      <c r="G71" s="3" t="s">
        <v>190</v>
      </c>
      <c r="H71" s="3" t="s">
        <v>298</v>
      </c>
      <c r="I71" s="15" t="s">
        <v>299</v>
      </c>
      <c r="J71" s="15" t="s">
        <v>300</v>
      </c>
      <c r="K71" s="12" t="s">
        <v>301</v>
      </c>
      <c r="L71" s="62" t="s">
        <v>2</v>
      </c>
      <c r="M71" s="13">
        <v>100000</v>
      </c>
      <c r="N71" s="12" t="s">
        <v>305</v>
      </c>
      <c r="O71" s="15" t="s">
        <v>3</v>
      </c>
      <c r="P71" s="3" t="s">
        <v>122</v>
      </c>
      <c r="Q71" s="1" t="s">
        <v>506</v>
      </c>
      <c r="R71" s="55" t="s">
        <v>72</v>
      </c>
      <c r="S71" s="63"/>
    </row>
    <row r="72" spans="1:19" ht="12" customHeight="1" x14ac:dyDescent="0.2">
      <c r="A72" s="59">
        <v>46134</v>
      </c>
      <c r="B72" s="61" t="s">
        <v>144</v>
      </c>
      <c r="C72" s="15">
        <v>11310744</v>
      </c>
      <c r="D72" s="15" t="s">
        <v>64</v>
      </c>
      <c r="E72" s="3" t="s">
        <v>61</v>
      </c>
      <c r="F72" s="3" t="s">
        <v>67</v>
      </c>
      <c r="G72" s="3" t="s">
        <v>190</v>
      </c>
      <c r="H72" s="3" t="s">
        <v>298</v>
      </c>
      <c r="I72" s="15" t="s">
        <v>299</v>
      </c>
      <c r="J72" s="15" t="s">
        <v>300</v>
      </c>
      <c r="K72" s="12" t="s">
        <v>301</v>
      </c>
      <c r="L72" s="62" t="s">
        <v>2</v>
      </c>
      <c r="M72" s="13">
        <v>100000</v>
      </c>
      <c r="N72" s="12" t="s">
        <v>306</v>
      </c>
      <c r="O72" s="15" t="s">
        <v>3</v>
      </c>
      <c r="P72" s="3" t="s">
        <v>122</v>
      </c>
      <c r="Q72" s="1" t="s">
        <v>506</v>
      </c>
      <c r="R72" s="55" t="s">
        <v>72</v>
      </c>
      <c r="S72" s="63"/>
    </row>
    <row r="73" spans="1:19" ht="12" customHeight="1" x14ac:dyDescent="0.2">
      <c r="A73" s="59">
        <v>46136.491782407407</v>
      </c>
      <c r="B73" s="61" t="s">
        <v>144</v>
      </c>
      <c r="C73" s="15">
        <v>11310744</v>
      </c>
      <c r="D73" s="15" t="s">
        <v>64</v>
      </c>
      <c r="E73" s="3" t="s">
        <v>61</v>
      </c>
      <c r="F73" s="3" t="s">
        <v>67</v>
      </c>
      <c r="G73" s="3" t="s">
        <v>190</v>
      </c>
      <c r="H73" s="3" t="s">
        <v>298</v>
      </c>
      <c r="I73" s="15" t="s">
        <v>299</v>
      </c>
      <c r="J73" s="15" t="s">
        <v>300</v>
      </c>
      <c r="K73" s="12" t="s">
        <v>301</v>
      </c>
      <c r="L73" s="62" t="s">
        <v>77</v>
      </c>
      <c r="M73" s="13">
        <v>0</v>
      </c>
      <c r="N73" s="12" t="s">
        <v>75</v>
      </c>
      <c r="O73" s="15" t="s">
        <v>64</v>
      </c>
      <c r="P73" s="3" t="s">
        <v>122</v>
      </c>
      <c r="Q73" s="1" t="s">
        <v>506</v>
      </c>
      <c r="R73" s="55" t="s">
        <v>72</v>
      </c>
      <c r="S73" s="63"/>
    </row>
    <row r="74" spans="1:19" ht="12" customHeight="1" x14ac:dyDescent="0.2">
      <c r="A74" s="59">
        <v>45937.47283564815</v>
      </c>
      <c r="B74" s="61" t="s">
        <v>145</v>
      </c>
      <c r="C74" s="15">
        <v>1000862511</v>
      </c>
      <c r="D74" s="15" t="s">
        <v>64</v>
      </c>
      <c r="E74" s="3" t="s">
        <v>61</v>
      </c>
      <c r="F74" s="3" t="s">
        <v>105</v>
      </c>
      <c r="G74" s="3" t="s">
        <v>179</v>
      </c>
      <c r="H74" s="3" t="s">
        <v>308</v>
      </c>
      <c r="I74" s="15">
        <v>733520</v>
      </c>
      <c r="J74" s="15" t="s">
        <v>309</v>
      </c>
      <c r="K74" s="12" t="s">
        <v>310</v>
      </c>
      <c r="L74" s="62" t="s">
        <v>2</v>
      </c>
      <c r="M74" s="13">
        <v>100000</v>
      </c>
      <c r="N74" s="14" t="s">
        <v>311</v>
      </c>
      <c r="O74" s="15" t="s">
        <v>3</v>
      </c>
      <c r="P74" s="3" t="s">
        <v>122</v>
      </c>
      <c r="Q74" s="1" t="s">
        <v>506</v>
      </c>
      <c r="R74" s="55" t="s">
        <v>64</v>
      </c>
      <c r="S74" s="63"/>
    </row>
    <row r="75" spans="1:19" ht="12" customHeight="1" x14ac:dyDescent="0.2">
      <c r="A75" s="59">
        <v>45991</v>
      </c>
      <c r="B75" s="61" t="s">
        <v>146</v>
      </c>
      <c r="C75" s="15">
        <v>11223744</v>
      </c>
      <c r="D75" s="15" t="s">
        <v>312</v>
      </c>
      <c r="E75" s="3" t="s">
        <v>61</v>
      </c>
      <c r="F75" s="3" t="s">
        <v>105</v>
      </c>
      <c r="G75" s="3" t="s">
        <v>179</v>
      </c>
      <c r="H75" s="3" t="s">
        <v>313</v>
      </c>
      <c r="I75" s="15">
        <v>733520</v>
      </c>
      <c r="J75" s="15" t="s">
        <v>314</v>
      </c>
      <c r="K75" s="12" t="s">
        <v>315</v>
      </c>
      <c r="L75" s="144" t="s">
        <v>248</v>
      </c>
      <c r="M75" s="109">
        <v>100000</v>
      </c>
      <c r="N75" s="110" t="s">
        <v>316</v>
      </c>
      <c r="O75" s="15" t="s">
        <v>3</v>
      </c>
      <c r="P75" s="3" t="s">
        <v>122</v>
      </c>
      <c r="Q75" s="1" t="s">
        <v>506</v>
      </c>
      <c r="R75" s="55" t="s">
        <v>72</v>
      </c>
      <c r="S75" s="63"/>
    </row>
    <row r="76" spans="1:19" ht="12" customHeight="1" x14ac:dyDescent="0.2">
      <c r="A76" s="59">
        <v>46014</v>
      </c>
      <c r="B76" s="61" t="s">
        <v>146</v>
      </c>
      <c r="C76" s="15">
        <v>11223744</v>
      </c>
      <c r="D76" s="15" t="s">
        <v>312</v>
      </c>
      <c r="E76" s="3" t="s">
        <v>61</v>
      </c>
      <c r="F76" s="3" t="s">
        <v>105</v>
      </c>
      <c r="G76" s="3" t="s">
        <v>179</v>
      </c>
      <c r="H76" s="3" t="s">
        <v>313</v>
      </c>
      <c r="I76" s="15">
        <v>733520</v>
      </c>
      <c r="J76" s="15" t="s">
        <v>314</v>
      </c>
      <c r="K76" s="12" t="s">
        <v>315</v>
      </c>
      <c r="L76" s="144" t="s">
        <v>66</v>
      </c>
      <c r="M76" s="109">
        <v>100000</v>
      </c>
      <c r="N76" s="110" t="s">
        <v>317</v>
      </c>
      <c r="O76" s="15" t="s">
        <v>3</v>
      </c>
      <c r="P76" s="3" t="s">
        <v>122</v>
      </c>
      <c r="Q76" s="1" t="s">
        <v>506</v>
      </c>
      <c r="R76" s="55" t="s">
        <v>72</v>
      </c>
      <c r="S76" s="63"/>
    </row>
    <row r="77" spans="1:19" ht="12" customHeight="1" x14ac:dyDescent="0.2">
      <c r="A77" s="59">
        <v>46051</v>
      </c>
      <c r="B77" s="61" t="s">
        <v>146</v>
      </c>
      <c r="C77" s="15">
        <v>11223744</v>
      </c>
      <c r="D77" s="15" t="s">
        <v>312</v>
      </c>
      <c r="E77" s="3" t="s">
        <v>61</v>
      </c>
      <c r="F77" s="3" t="s">
        <v>105</v>
      </c>
      <c r="G77" s="3" t="s">
        <v>179</v>
      </c>
      <c r="H77" s="3" t="s">
        <v>313</v>
      </c>
      <c r="I77" s="15">
        <v>733520</v>
      </c>
      <c r="J77" s="15" t="s">
        <v>314</v>
      </c>
      <c r="K77" s="12" t="s">
        <v>315</v>
      </c>
      <c r="L77" s="62" t="s">
        <v>5</v>
      </c>
      <c r="M77" s="13">
        <v>150000</v>
      </c>
      <c r="N77" s="14" t="s">
        <v>318</v>
      </c>
      <c r="O77" s="15" t="s">
        <v>3</v>
      </c>
      <c r="P77" s="3" t="s">
        <v>122</v>
      </c>
      <c r="Q77" s="1" t="s">
        <v>506</v>
      </c>
      <c r="R77" s="55" t="s">
        <v>72</v>
      </c>
      <c r="S77" s="63"/>
    </row>
    <row r="78" spans="1:19" ht="12" customHeight="1" x14ac:dyDescent="0.2">
      <c r="A78" s="59">
        <v>45937</v>
      </c>
      <c r="B78" s="61" t="s">
        <v>147</v>
      </c>
      <c r="C78" s="15">
        <v>79912646</v>
      </c>
      <c r="D78" s="15" t="s">
        <v>64</v>
      </c>
      <c r="E78" s="3" t="s">
        <v>61</v>
      </c>
      <c r="F78" s="3" t="s">
        <v>105</v>
      </c>
      <c r="G78" s="3" t="s">
        <v>179</v>
      </c>
      <c r="H78" s="3" t="s">
        <v>319</v>
      </c>
      <c r="I78" s="15">
        <v>733520</v>
      </c>
      <c r="J78" s="15" t="s">
        <v>320</v>
      </c>
      <c r="K78" s="12" t="s">
        <v>321</v>
      </c>
      <c r="L78" s="62" t="s">
        <v>2</v>
      </c>
      <c r="M78" s="13">
        <v>100000</v>
      </c>
      <c r="N78" s="14" t="s">
        <v>322</v>
      </c>
      <c r="O78" s="15" t="s">
        <v>3</v>
      </c>
      <c r="P78" s="3" t="s">
        <v>122</v>
      </c>
      <c r="Q78" s="1" t="s">
        <v>506</v>
      </c>
      <c r="R78" s="55" t="s">
        <v>64</v>
      </c>
      <c r="S78" s="63"/>
    </row>
    <row r="79" spans="1:19" ht="12" customHeight="1" x14ac:dyDescent="0.2">
      <c r="A79" s="59">
        <v>45937.499710648146</v>
      </c>
      <c r="B79" s="61" t="s">
        <v>147</v>
      </c>
      <c r="C79" s="15">
        <v>79912646</v>
      </c>
      <c r="D79" s="15" t="s">
        <v>64</v>
      </c>
      <c r="E79" s="3" t="s">
        <v>61</v>
      </c>
      <c r="F79" s="3" t="s">
        <v>105</v>
      </c>
      <c r="G79" s="3" t="s">
        <v>179</v>
      </c>
      <c r="H79" s="3" t="s">
        <v>319</v>
      </c>
      <c r="I79" s="15">
        <v>733520</v>
      </c>
      <c r="J79" s="15" t="s">
        <v>320</v>
      </c>
      <c r="K79" s="12" t="s">
        <v>321</v>
      </c>
      <c r="L79" s="144" t="s">
        <v>323</v>
      </c>
      <c r="M79" s="109">
        <v>300000</v>
      </c>
      <c r="N79" s="110" t="s">
        <v>324</v>
      </c>
      <c r="O79" s="15" t="s">
        <v>3</v>
      </c>
      <c r="P79" s="3" t="s">
        <v>122</v>
      </c>
      <c r="Q79" s="1" t="s">
        <v>506</v>
      </c>
      <c r="R79" s="55" t="s">
        <v>64</v>
      </c>
      <c r="S79" s="63"/>
    </row>
    <row r="80" spans="1:19" ht="12" customHeight="1" x14ac:dyDescent="0.2">
      <c r="A80" s="59">
        <v>45945</v>
      </c>
      <c r="B80" s="61" t="s">
        <v>147</v>
      </c>
      <c r="C80" s="15">
        <v>79912646</v>
      </c>
      <c r="D80" s="15" t="s">
        <v>64</v>
      </c>
      <c r="E80" s="3" t="s">
        <v>61</v>
      </c>
      <c r="F80" s="3" t="s">
        <v>105</v>
      </c>
      <c r="G80" s="3" t="s">
        <v>179</v>
      </c>
      <c r="H80" s="3" t="s">
        <v>319</v>
      </c>
      <c r="I80" s="15">
        <v>733520</v>
      </c>
      <c r="J80" s="15" t="s">
        <v>320</v>
      </c>
      <c r="K80" s="12" t="s">
        <v>321</v>
      </c>
      <c r="L80" s="62" t="s">
        <v>108</v>
      </c>
      <c r="M80" s="13">
        <v>200000</v>
      </c>
      <c r="N80" s="14" t="s">
        <v>325</v>
      </c>
      <c r="O80" s="15" t="s">
        <v>96</v>
      </c>
      <c r="P80" s="3" t="s">
        <v>122</v>
      </c>
      <c r="Q80" s="1" t="s">
        <v>506</v>
      </c>
      <c r="R80" s="55" t="s">
        <v>64</v>
      </c>
      <c r="S80" s="63"/>
    </row>
    <row r="81" spans="1:20" ht="12" customHeight="1" x14ac:dyDescent="0.2">
      <c r="A81" s="59">
        <v>45986</v>
      </c>
      <c r="B81" s="61" t="s">
        <v>147</v>
      </c>
      <c r="C81" s="15">
        <v>79912646</v>
      </c>
      <c r="D81" s="15" t="s">
        <v>64</v>
      </c>
      <c r="E81" s="3" t="s">
        <v>61</v>
      </c>
      <c r="F81" s="3" t="s">
        <v>105</v>
      </c>
      <c r="G81" s="3" t="s">
        <v>179</v>
      </c>
      <c r="H81" s="3" t="s">
        <v>319</v>
      </c>
      <c r="I81" s="15">
        <v>733520</v>
      </c>
      <c r="J81" s="15" t="s">
        <v>320</v>
      </c>
      <c r="K81" s="12" t="s">
        <v>321</v>
      </c>
      <c r="L81" s="144" t="s">
        <v>63</v>
      </c>
      <c r="M81" s="109">
        <v>200000</v>
      </c>
      <c r="N81" s="110" t="s">
        <v>326</v>
      </c>
      <c r="O81" s="15" t="s">
        <v>3</v>
      </c>
      <c r="P81" s="3" t="s">
        <v>122</v>
      </c>
      <c r="Q81" s="1" t="s">
        <v>506</v>
      </c>
      <c r="R81" s="55" t="s">
        <v>64</v>
      </c>
      <c r="S81" s="63"/>
    </row>
    <row r="82" spans="1:20" ht="12" customHeight="1" x14ac:dyDescent="0.2">
      <c r="A82" s="59">
        <v>46128</v>
      </c>
      <c r="B82" s="61" t="s">
        <v>147</v>
      </c>
      <c r="C82" s="15">
        <v>79912646</v>
      </c>
      <c r="D82" s="15" t="s">
        <v>64</v>
      </c>
      <c r="E82" s="3" t="s">
        <v>61</v>
      </c>
      <c r="F82" s="3" t="s">
        <v>105</v>
      </c>
      <c r="G82" s="3" t="s">
        <v>179</v>
      </c>
      <c r="H82" s="3" t="s">
        <v>319</v>
      </c>
      <c r="I82" s="15">
        <v>733520</v>
      </c>
      <c r="J82" s="15" t="s">
        <v>320</v>
      </c>
      <c r="K82" s="12" t="s">
        <v>321</v>
      </c>
      <c r="L82" s="62" t="s">
        <v>2</v>
      </c>
      <c r="M82" s="13">
        <v>100000</v>
      </c>
      <c r="N82" s="12">
        <v>960093</v>
      </c>
      <c r="O82" s="15" t="s">
        <v>50</v>
      </c>
      <c r="P82" s="3" t="s">
        <v>122</v>
      </c>
      <c r="Q82" s="1" t="s">
        <v>506</v>
      </c>
      <c r="R82" s="55" t="s">
        <v>64</v>
      </c>
      <c r="S82" s="63"/>
    </row>
    <row r="83" spans="1:20" ht="12" customHeight="1" x14ac:dyDescent="0.2">
      <c r="A83" s="59">
        <v>46132.844201388885</v>
      </c>
      <c r="B83" s="61" t="s">
        <v>147</v>
      </c>
      <c r="C83" s="15">
        <v>79912646</v>
      </c>
      <c r="D83" s="15" t="s">
        <v>64</v>
      </c>
      <c r="E83" s="3" t="s">
        <v>61</v>
      </c>
      <c r="F83" s="3" t="s">
        <v>105</v>
      </c>
      <c r="G83" s="3" t="s">
        <v>179</v>
      </c>
      <c r="H83" s="3" t="s">
        <v>319</v>
      </c>
      <c r="I83" s="15">
        <v>733520</v>
      </c>
      <c r="J83" s="15" t="s">
        <v>320</v>
      </c>
      <c r="K83" s="12" t="s">
        <v>321</v>
      </c>
      <c r="L83" s="62" t="s">
        <v>73</v>
      </c>
      <c r="M83" s="13">
        <v>0</v>
      </c>
      <c r="N83" s="12" t="s">
        <v>75</v>
      </c>
      <c r="O83" s="15" t="s">
        <v>64</v>
      </c>
      <c r="P83" s="3" t="s">
        <v>122</v>
      </c>
      <c r="Q83" s="1" t="s">
        <v>506</v>
      </c>
      <c r="R83" s="55" t="s">
        <v>64</v>
      </c>
      <c r="S83" s="63"/>
    </row>
    <row r="84" spans="1:20" ht="12" customHeight="1" x14ac:dyDescent="0.2">
      <c r="A84" s="59">
        <v>46150</v>
      </c>
      <c r="B84" s="61" t="s">
        <v>147</v>
      </c>
      <c r="C84" s="15">
        <v>79912646</v>
      </c>
      <c r="D84" s="15" t="s">
        <v>64</v>
      </c>
      <c r="E84" s="3" t="s">
        <v>61</v>
      </c>
      <c r="F84" s="3" t="s">
        <v>105</v>
      </c>
      <c r="G84" s="3" t="s">
        <v>179</v>
      </c>
      <c r="H84" s="3" t="s">
        <v>319</v>
      </c>
      <c r="I84" s="15">
        <v>733520</v>
      </c>
      <c r="J84" s="15" t="s">
        <v>320</v>
      </c>
      <c r="K84" s="12" t="s">
        <v>321</v>
      </c>
      <c r="L84" s="62" t="s">
        <v>68</v>
      </c>
      <c r="M84" s="13">
        <v>0</v>
      </c>
      <c r="N84" s="14" t="s">
        <v>74</v>
      </c>
      <c r="O84" s="15" t="s">
        <v>64</v>
      </c>
      <c r="P84" s="3" t="s">
        <v>122</v>
      </c>
      <c r="Q84" s="1" t="s">
        <v>506</v>
      </c>
      <c r="R84" s="55" t="s">
        <v>64</v>
      </c>
      <c r="S84" s="63"/>
    </row>
    <row r="85" spans="1:20" ht="12" customHeight="1" x14ac:dyDescent="0.2">
      <c r="A85" s="59">
        <v>46014</v>
      </c>
      <c r="B85" s="61" t="s">
        <v>148</v>
      </c>
      <c r="C85" s="15">
        <v>1018492143</v>
      </c>
      <c r="D85" s="15" t="s">
        <v>327</v>
      </c>
      <c r="E85" s="3" t="s">
        <v>61</v>
      </c>
      <c r="F85" s="3" t="s">
        <v>67</v>
      </c>
      <c r="G85" s="3" t="s">
        <v>190</v>
      </c>
      <c r="H85" s="3" t="s">
        <v>191</v>
      </c>
      <c r="I85" s="15">
        <v>252430</v>
      </c>
      <c r="J85" s="15" t="s">
        <v>328</v>
      </c>
      <c r="K85" s="12" t="s">
        <v>329</v>
      </c>
      <c r="L85" s="62" t="s">
        <v>221</v>
      </c>
      <c r="M85" s="13">
        <v>100000</v>
      </c>
      <c r="N85" s="14" t="s">
        <v>330</v>
      </c>
      <c r="O85" s="15" t="s">
        <v>3</v>
      </c>
      <c r="P85" s="3" t="s">
        <v>122</v>
      </c>
      <c r="Q85" s="1" t="s">
        <v>506</v>
      </c>
      <c r="R85" s="55" t="s">
        <v>72</v>
      </c>
      <c r="S85" s="63"/>
    </row>
    <row r="86" spans="1:20" ht="12" customHeight="1" x14ac:dyDescent="0.2">
      <c r="A86" s="59">
        <v>46150</v>
      </c>
      <c r="B86" s="61" t="s">
        <v>148</v>
      </c>
      <c r="C86" s="15">
        <v>1018492143</v>
      </c>
      <c r="D86" s="15" t="s">
        <v>327</v>
      </c>
      <c r="E86" s="3" t="s">
        <v>61</v>
      </c>
      <c r="F86" s="3" t="s">
        <v>67</v>
      </c>
      <c r="G86" s="3" t="s">
        <v>190</v>
      </c>
      <c r="H86" s="3" t="s">
        <v>191</v>
      </c>
      <c r="I86" s="15">
        <v>252430</v>
      </c>
      <c r="J86" s="15" t="s">
        <v>328</v>
      </c>
      <c r="K86" s="12" t="s">
        <v>329</v>
      </c>
      <c r="L86" s="62" t="s">
        <v>73</v>
      </c>
      <c r="M86" s="13">
        <v>0</v>
      </c>
      <c r="N86" s="14" t="s">
        <v>74</v>
      </c>
      <c r="O86" s="15" t="s">
        <v>64</v>
      </c>
      <c r="P86" s="3" t="s">
        <v>122</v>
      </c>
      <c r="Q86" s="1" t="s">
        <v>506</v>
      </c>
      <c r="R86" s="55" t="s">
        <v>72</v>
      </c>
      <c r="S86" s="63"/>
    </row>
    <row r="87" spans="1:20" ht="12" customHeight="1" x14ac:dyDescent="0.2">
      <c r="A87" s="59">
        <v>45945.644768518519</v>
      </c>
      <c r="B87" s="61" t="s">
        <v>149</v>
      </c>
      <c r="C87" s="15">
        <v>1034659000</v>
      </c>
      <c r="D87" s="15" t="s">
        <v>64</v>
      </c>
      <c r="E87" s="3" t="s">
        <v>61</v>
      </c>
      <c r="F87" s="3" t="s">
        <v>492</v>
      </c>
      <c r="G87" s="3" t="s">
        <v>491</v>
      </c>
      <c r="H87" s="3" t="s">
        <v>331</v>
      </c>
      <c r="I87" s="15">
        <v>110921</v>
      </c>
      <c r="J87" s="15" t="s">
        <v>332</v>
      </c>
      <c r="K87" s="12" t="s">
        <v>333</v>
      </c>
      <c r="L87" s="62" t="s">
        <v>2</v>
      </c>
      <c r="M87" s="13">
        <v>100000</v>
      </c>
      <c r="N87" s="14" t="s">
        <v>334</v>
      </c>
      <c r="O87" s="15" t="s">
        <v>96</v>
      </c>
      <c r="P87" s="3" t="s">
        <v>122</v>
      </c>
      <c r="Q87" s="1" t="s">
        <v>506</v>
      </c>
      <c r="R87" s="55" t="s">
        <v>64</v>
      </c>
      <c r="S87" s="63"/>
    </row>
    <row r="88" spans="1:20" ht="12" customHeight="1" x14ac:dyDescent="0.2">
      <c r="A88" s="59">
        <v>46055</v>
      </c>
      <c r="B88" s="61" t="s">
        <v>150</v>
      </c>
      <c r="C88" s="15">
        <v>1014248041</v>
      </c>
      <c r="D88" s="15" t="s">
        <v>64</v>
      </c>
      <c r="E88" s="3" t="s">
        <v>61</v>
      </c>
      <c r="F88" s="3" t="s">
        <v>67</v>
      </c>
      <c r="G88" s="3" t="s">
        <v>190</v>
      </c>
      <c r="H88" s="3" t="s">
        <v>335</v>
      </c>
      <c r="I88" s="15">
        <v>252430</v>
      </c>
      <c r="J88" s="15" t="s">
        <v>336</v>
      </c>
      <c r="K88" s="12" t="s">
        <v>337</v>
      </c>
      <c r="L88" s="62" t="s">
        <v>5</v>
      </c>
      <c r="M88" s="13">
        <v>150000</v>
      </c>
      <c r="N88" s="14" t="s">
        <v>338</v>
      </c>
      <c r="O88" s="15" t="s">
        <v>3</v>
      </c>
      <c r="P88" s="3" t="s">
        <v>122</v>
      </c>
      <c r="Q88" s="1" t="s">
        <v>506</v>
      </c>
      <c r="R88" s="55" t="s">
        <v>64</v>
      </c>
      <c r="S88" s="63"/>
    </row>
    <row r="89" spans="1:20" ht="12" customHeight="1" x14ac:dyDescent="0.2">
      <c r="A89" s="59">
        <v>46128</v>
      </c>
      <c r="B89" s="61" t="s">
        <v>151</v>
      </c>
      <c r="C89" s="15">
        <v>52286781</v>
      </c>
      <c r="D89" s="15" t="s">
        <v>64</v>
      </c>
      <c r="E89" s="3" t="s">
        <v>61</v>
      </c>
      <c r="F89" s="3" t="s">
        <v>105</v>
      </c>
      <c r="G89" s="3" t="s">
        <v>339</v>
      </c>
      <c r="H89" s="3" t="s">
        <v>340</v>
      </c>
      <c r="I89" s="15">
        <v>730520</v>
      </c>
      <c r="J89" s="15" t="s">
        <v>341</v>
      </c>
      <c r="K89" s="12" t="s">
        <v>342</v>
      </c>
      <c r="L89" s="62" t="s">
        <v>2</v>
      </c>
      <c r="M89" s="13">
        <v>100000</v>
      </c>
      <c r="N89" s="12">
        <v>252036</v>
      </c>
      <c r="O89" s="15" t="s">
        <v>50</v>
      </c>
      <c r="P89" s="3" t="s">
        <v>122</v>
      </c>
      <c r="Q89" s="1" t="s">
        <v>506</v>
      </c>
      <c r="R89" s="55" t="s">
        <v>64</v>
      </c>
      <c r="S89" s="63"/>
    </row>
    <row r="90" spans="1:20" ht="12" customHeight="1" x14ac:dyDescent="0.2">
      <c r="A90" s="59">
        <v>46128.794606481482</v>
      </c>
      <c r="B90" s="61" t="s">
        <v>151</v>
      </c>
      <c r="C90" s="15">
        <v>52286781</v>
      </c>
      <c r="D90" s="15" t="s">
        <v>64</v>
      </c>
      <c r="E90" s="3" t="s">
        <v>61</v>
      </c>
      <c r="F90" s="3" t="s">
        <v>105</v>
      </c>
      <c r="G90" s="3" t="s">
        <v>339</v>
      </c>
      <c r="H90" s="3" t="s">
        <v>340</v>
      </c>
      <c r="I90" s="15">
        <v>730520</v>
      </c>
      <c r="J90" s="15" t="s">
        <v>341</v>
      </c>
      <c r="K90" s="12" t="s">
        <v>342</v>
      </c>
      <c r="L90" s="62" t="s">
        <v>77</v>
      </c>
      <c r="M90" s="13">
        <v>0</v>
      </c>
      <c r="N90" s="12" t="s">
        <v>75</v>
      </c>
      <c r="O90" s="15" t="s">
        <v>64</v>
      </c>
      <c r="P90" s="3" t="s">
        <v>122</v>
      </c>
      <c r="Q90" s="1" t="s">
        <v>506</v>
      </c>
      <c r="R90" s="55" t="s">
        <v>64</v>
      </c>
      <c r="S90" s="63"/>
    </row>
    <row r="91" spans="1:20" ht="12" customHeight="1" x14ac:dyDescent="0.2">
      <c r="A91" s="59">
        <v>46048</v>
      </c>
      <c r="B91" s="61" t="s">
        <v>152</v>
      </c>
      <c r="C91" s="15">
        <v>3209263</v>
      </c>
      <c r="D91" s="15" t="s">
        <v>64</v>
      </c>
      <c r="E91" s="3" t="s">
        <v>61</v>
      </c>
      <c r="F91" s="3" t="s">
        <v>67</v>
      </c>
      <c r="G91" s="3" t="s">
        <v>190</v>
      </c>
      <c r="H91" s="3" t="s">
        <v>494</v>
      </c>
      <c r="I91" s="15">
        <v>252431</v>
      </c>
      <c r="J91" s="15" t="s">
        <v>343</v>
      </c>
      <c r="K91" s="12" t="s">
        <v>344</v>
      </c>
      <c r="L91" s="62" t="s">
        <v>5</v>
      </c>
      <c r="M91" s="13">
        <v>150000</v>
      </c>
      <c r="N91" s="14" t="s">
        <v>345</v>
      </c>
      <c r="O91" s="15" t="s">
        <v>3</v>
      </c>
      <c r="P91" s="3" t="s">
        <v>122</v>
      </c>
      <c r="Q91" s="1" t="s">
        <v>0</v>
      </c>
      <c r="R91" s="55" t="s">
        <v>64</v>
      </c>
      <c r="S91" s="63"/>
      <c r="T91" t="s">
        <v>505</v>
      </c>
    </row>
    <row r="92" spans="1:20" ht="12" customHeight="1" x14ac:dyDescent="0.2">
      <c r="A92" s="59">
        <v>46117</v>
      </c>
      <c r="B92" s="61" t="s">
        <v>152</v>
      </c>
      <c r="C92" s="15">
        <v>3209263</v>
      </c>
      <c r="D92" s="15" t="s">
        <v>64</v>
      </c>
      <c r="E92" s="3" t="s">
        <v>61</v>
      </c>
      <c r="F92" s="3" t="s">
        <v>67</v>
      </c>
      <c r="G92" s="3" t="s">
        <v>190</v>
      </c>
      <c r="H92" s="3" t="s">
        <v>494</v>
      </c>
      <c r="I92" s="15">
        <v>252431</v>
      </c>
      <c r="J92" s="15" t="s">
        <v>343</v>
      </c>
      <c r="K92" s="12" t="s">
        <v>344</v>
      </c>
      <c r="L92" s="62" t="s">
        <v>97</v>
      </c>
      <c r="M92" s="13">
        <v>100000</v>
      </c>
      <c r="N92" s="14" t="s">
        <v>346</v>
      </c>
      <c r="O92" s="15" t="s">
        <v>3</v>
      </c>
      <c r="P92" s="3" t="s">
        <v>122</v>
      </c>
      <c r="Q92" s="1" t="s">
        <v>0</v>
      </c>
      <c r="R92" s="55" t="s">
        <v>64</v>
      </c>
      <c r="S92" s="63"/>
      <c r="T92" t="s">
        <v>505</v>
      </c>
    </row>
    <row r="93" spans="1:20" ht="12" customHeight="1" x14ac:dyDescent="0.2">
      <c r="A93" s="59">
        <v>46150</v>
      </c>
      <c r="B93" s="61" t="s">
        <v>152</v>
      </c>
      <c r="C93" s="15">
        <v>3209263</v>
      </c>
      <c r="D93" s="15" t="s">
        <v>64</v>
      </c>
      <c r="E93" s="3" t="s">
        <v>61</v>
      </c>
      <c r="F93" s="3" t="s">
        <v>67</v>
      </c>
      <c r="G93" s="3" t="s">
        <v>190</v>
      </c>
      <c r="H93" s="3" t="s">
        <v>494</v>
      </c>
      <c r="I93" s="15">
        <v>252431</v>
      </c>
      <c r="J93" s="15" t="s">
        <v>343</v>
      </c>
      <c r="K93" s="12" t="s">
        <v>344</v>
      </c>
      <c r="L93" s="62" t="s">
        <v>73</v>
      </c>
      <c r="M93" s="13">
        <v>0</v>
      </c>
      <c r="N93" s="14" t="s">
        <v>74</v>
      </c>
      <c r="O93" s="15" t="s">
        <v>64</v>
      </c>
      <c r="P93" s="3" t="s">
        <v>122</v>
      </c>
      <c r="Q93" s="1" t="s">
        <v>0</v>
      </c>
      <c r="R93" s="55" t="s">
        <v>64</v>
      </c>
      <c r="S93" s="63"/>
      <c r="T93" t="s">
        <v>505</v>
      </c>
    </row>
    <row r="94" spans="1:20" ht="12" customHeight="1" x14ac:dyDescent="0.2">
      <c r="A94" s="59">
        <v>46126</v>
      </c>
      <c r="B94" s="61" t="s">
        <v>153</v>
      </c>
      <c r="C94" s="15">
        <v>79427033</v>
      </c>
      <c r="D94" s="15" t="s">
        <v>347</v>
      </c>
      <c r="E94" s="3" t="s">
        <v>61</v>
      </c>
      <c r="F94" s="3" t="s">
        <v>492</v>
      </c>
      <c r="G94" s="3" t="s">
        <v>491</v>
      </c>
      <c r="H94" s="3" t="s">
        <v>348</v>
      </c>
      <c r="I94" s="15">
        <v>111921</v>
      </c>
      <c r="J94" s="15" t="s">
        <v>349</v>
      </c>
      <c r="K94" s="12" t="s">
        <v>350</v>
      </c>
      <c r="L94" s="62" t="s">
        <v>2</v>
      </c>
      <c r="M94" s="13">
        <v>0</v>
      </c>
      <c r="N94" s="12" t="s">
        <v>75</v>
      </c>
      <c r="O94" s="15" t="s">
        <v>64</v>
      </c>
      <c r="P94" s="3" t="s">
        <v>122</v>
      </c>
      <c r="Q94" s="1" t="s">
        <v>506</v>
      </c>
      <c r="R94" s="55" t="s">
        <v>72</v>
      </c>
      <c r="S94" s="63"/>
    </row>
    <row r="95" spans="1:20" ht="12" customHeight="1" x14ac:dyDescent="0.2">
      <c r="A95" s="59">
        <v>46126</v>
      </c>
      <c r="B95" s="61" t="s">
        <v>153</v>
      </c>
      <c r="C95" s="15">
        <v>79427033</v>
      </c>
      <c r="D95" s="15" t="s">
        <v>347</v>
      </c>
      <c r="E95" s="3" t="s">
        <v>61</v>
      </c>
      <c r="F95" s="3" t="s">
        <v>492</v>
      </c>
      <c r="G95" s="3" t="s">
        <v>491</v>
      </c>
      <c r="H95" s="3" t="s">
        <v>348</v>
      </c>
      <c r="I95" s="15">
        <v>111921</v>
      </c>
      <c r="J95" s="15" t="s">
        <v>349</v>
      </c>
      <c r="K95" s="12" t="s">
        <v>350</v>
      </c>
      <c r="L95" s="62" t="s">
        <v>2</v>
      </c>
      <c r="M95" s="13">
        <v>100000</v>
      </c>
      <c r="N95" s="14" t="s">
        <v>351</v>
      </c>
      <c r="O95" s="15" t="s">
        <v>3</v>
      </c>
      <c r="P95" s="3" t="s">
        <v>122</v>
      </c>
      <c r="Q95" s="1" t="s">
        <v>506</v>
      </c>
      <c r="R95" s="55" t="s">
        <v>72</v>
      </c>
      <c r="S95" s="63"/>
    </row>
    <row r="96" spans="1:20" ht="12" customHeight="1" x14ac:dyDescent="0.2">
      <c r="A96" s="59">
        <v>45950.462789351855</v>
      </c>
      <c r="B96" s="61" t="s">
        <v>154</v>
      </c>
      <c r="C96" s="15">
        <v>11312576</v>
      </c>
      <c r="D96" s="15" t="s">
        <v>64</v>
      </c>
      <c r="E96" s="3" t="s">
        <v>61</v>
      </c>
      <c r="F96" s="3" t="s">
        <v>67</v>
      </c>
      <c r="G96" s="3" t="s">
        <v>190</v>
      </c>
      <c r="H96" s="3" t="s">
        <v>352</v>
      </c>
      <c r="I96" s="15" t="s">
        <v>353</v>
      </c>
      <c r="J96" s="15" t="s">
        <v>354</v>
      </c>
      <c r="K96" s="12" t="s">
        <v>355</v>
      </c>
      <c r="L96" s="62" t="s">
        <v>2</v>
      </c>
      <c r="M96" s="13">
        <v>100000</v>
      </c>
      <c r="N96" s="14" t="s">
        <v>356</v>
      </c>
      <c r="O96" s="15" t="s">
        <v>3</v>
      </c>
      <c r="P96" s="3" t="s">
        <v>122</v>
      </c>
      <c r="Q96" s="1" t="s">
        <v>506</v>
      </c>
      <c r="R96" s="55" t="s">
        <v>64</v>
      </c>
      <c r="S96" s="63"/>
    </row>
    <row r="97" spans="1:20" ht="12" customHeight="1" x14ac:dyDescent="0.2">
      <c r="A97" s="64">
        <v>46168</v>
      </c>
      <c r="B97" s="61" t="s">
        <v>154</v>
      </c>
      <c r="C97" s="15">
        <v>11312576</v>
      </c>
      <c r="D97" s="15" t="s">
        <v>64</v>
      </c>
      <c r="E97" s="3" t="s">
        <v>61</v>
      </c>
      <c r="F97" s="3" t="s">
        <v>67</v>
      </c>
      <c r="G97" s="3" t="s">
        <v>190</v>
      </c>
      <c r="H97" s="3" t="s">
        <v>352</v>
      </c>
      <c r="I97" s="15">
        <v>252430</v>
      </c>
      <c r="J97" s="15" t="s">
        <v>354</v>
      </c>
      <c r="K97" s="12" t="s">
        <v>355</v>
      </c>
      <c r="L97" s="62" t="s">
        <v>8</v>
      </c>
      <c r="M97" s="13">
        <v>20000</v>
      </c>
      <c r="N97" s="148" t="s">
        <v>466</v>
      </c>
      <c r="O97" s="149" t="s">
        <v>98</v>
      </c>
      <c r="P97" s="3" t="s">
        <v>122</v>
      </c>
      <c r="Q97" s="1" t="s">
        <v>506</v>
      </c>
      <c r="R97" s="55" t="s">
        <v>64</v>
      </c>
    </row>
    <row r="98" spans="1:20" ht="12" customHeight="1" x14ac:dyDescent="0.2">
      <c r="A98" s="59">
        <v>46114</v>
      </c>
      <c r="B98" s="61" t="s">
        <v>155</v>
      </c>
      <c r="C98" s="15">
        <v>1003517850</v>
      </c>
      <c r="D98" s="15" t="s">
        <v>64</v>
      </c>
      <c r="E98" s="3" t="s">
        <v>61</v>
      </c>
      <c r="F98" s="3" t="s">
        <v>67</v>
      </c>
      <c r="G98" s="3" t="s">
        <v>261</v>
      </c>
      <c r="H98" s="3" t="s">
        <v>504</v>
      </c>
      <c r="I98" s="15">
        <v>252211</v>
      </c>
      <c r="J98" s="15" t="s">
        <v>498</v>
      </c>
      <c r="K98" s="155" t="s">
        <v>500</v>
      </c>
      <c r="L98" s="62" t="s">
        <v>97</v>
      </c>
      <c r="M98" s="13">
        <v>100000</v>
      </c>
      <c r="N98" s="14" t="s">
        <v>359</v>
      </c>
      <c r="O98" s="15" t="s">
        <v>101</v>
      </c>
      <c r="P98" s="3" t="s">
        <v>122</v>
      </c>
      <c r="Q98" s="1" t="s">
        <v>0</v>
      </c>
      <c r="R98" s="55" t="s">
        <v>64</v>
      </c>
      <c r="S98" s="63"/>
      <c r="T98" t="s">
        <v>505</v>
      </c>
    </row>
    <row r="99" spans="1:20" ht="12" customHeight="1" x14ac:dyDescent="0.2">
      <c r="A99" s="59">
        <v>45963</v>
      </c>
      <c r="B99" s="61" t="s">
        <v>156</v>
      </c>
      <c r="C99" s="15">
        <v>11303585</v>
      </c>
      <c r="D99" s="15" t="s">
        <v>64</v>
      </c>
      <c r="E99" s="3" t="s">
        <v>61</v>
      </c>
      <c r="F99" s="3" t="s">
        <v>67</v>
      </c>
      <c r="G99" s="3" t="s">
        <v>190</v>
      </c>
      <c r="H99" s="3" t="s">
        <v>360</v>
      </c>
      <c r="I99" s="12">
        <v>252430</v>
      </c>
      <c r="J99" s="15" t="s">
        <v>357</v>
      </c>
      <c r="K99" s="12" t="s">
        <v>361</v>
      </c>
      <c r="L99" s="62" t="s">
        <v>2</v>
      </c>
      <c r="M99" s="13">
        <v>100000</v>
      </c>
      <c r="N99" s="14" t="s">
        <v>362</v>
      </c>
      <c r="O99" s="15" t="s">
        <v>3</v>
      </c>
      <c r="P99" s="3" t="s">
        <v>122</v>
      </c>
      <c r="Q99" s="1" t="s">
        <v>506</v>
      </c>
      <c r="R99" s="55" t="s">
        <v>64</v>
      </c>
      <c r="S99" s="63"/>
    </row>
    <row r="100" spans="1:20" ht="12" customHeight="1" x14ac:dyDescent="0.2">
      <c r="A100" s="49">
        <v>45831</v>
      </c>
      <c r="B100" s="61" t="s">
        <v>157</v>
      </c>
      <c r="C100" s="15">
        <v>51709795</v>
      </c>
      <c r="D100" s="15" t="s">
        <v>363</v>
      </c>
      <c r="E100" s="3" t="s">
        <v>61</v>
      </c>
      <c r="F100" s="3" t="s">
        <v>67</v>
      </c>
      <c r="G100" s="3" t="s">
        <v>364</v>
      </c>
      <c r="H100" s="3" t="s">
        <v>365</v>
      </c>
      <c r="I100" s="15">
        <v>250210</v>
      </c>
      <c r="J100" s="15" t="s">
        <v>357</v>
      </c>
      <c r="K100" s="12" t="s">
        <v>366</v>
      </c>
      <c r="L100" s="62" t="s">
        <v>4</v>
      </c>
      <c r="M100" s="13">
        <v>200000</v>
      </c>
      <c r="N100" s="14" t="s">
        <v>367</v>
      </c>
      <c r="O100" s="15" t="s">
        <v>3</v>
      </c>
      <c r="P100" s="3" t="s">
        <v>122</v>
      </c>
      <c r="Q100" s="1" t="s">
        <v>506</v>
      </c>
      <c r="R100" s="55" t="s">
        <v>72</v>
      </c>
      <c r="S100" s="63"/>
    </row>
    <row r="101" spans="1:20" ht="12" customHeight="1" x14ac:dyDescent="0.2">
      <c r="A101" s="49">
        <v>45931</v>
      </c>
      <c r="B101" s="61" t="s">
        <v>157</v>
      </c>
      <c r="C101" s="15">
        <v>51709795</v>
      </c>
      <c r="D101" s="15" t="s">
        <v>363</v>
      </c>
      <c r="E101" s="3" t="s">
        <v>61</v>
      </c>
      <c r="F101" s="3" t="s">
        <v>67</v>
      </c>
      <c r="G101" s="3" t="s">
        <v>364</v>
      </c>
      <c r="H101" s="3" t="s">
        <v>365</v>
      </c>
      <c r="I101" s="15">
        <v>250210</v>
      </c>
      <c r="J101" s="15" t="s">
        <v>357</v>
      </c>
      <c r="K101" s="12" t="s">
        <v>366</v>
      </c>
      <c r="L101" s="62" t="s">
        <v>2</v>
      </c>
      <c r="M101" s="13">
        <v>100000</v>
      </c>
      <c r="N101" s="14" t="s">
        <v>368</v>
      </c>
      <c r="O101" s="15" t="s">
        <v>3</v>
      </c>
      <c r="P101" s="3" t="s">
        <v>122</v>
      </c>
      <c r="Q101" s="1" t="s">
        <v>506</v>
      </c>
      <c r="R101" s="55" t="s">
        <v>72</v>
      </c>
      <c r="S101" s="63"/>
    </row>
    <row r="102" spans="1:20" ht="12" customHeight="1" x14ac:dyDescent="0.2">
      <c r="A102" s="59">
        <v>46150</v>
      </c>
      <c r="B102" s="61" t="s">
        <v>157</v>
      </c>
      <c r="C102" s="15">
        <v>51709795</v>
      </c>
      <c r="D102" s="15" t="s">
        <v>363</v>
      </c>
      <c r="E102" s="3" t="s">
        <v>61</v>
      </c>
      <c r="F102" s="3" t="s">
        <v>67</v>
      </c>
      <c r="G102" s="3" t="s">
        <v>364</v>
      </c>
      <c r="H102" s="3" t="s">
        <v>365</v>
      </c>
      <c r="I102" s="15">
        <v>250210</v>
      </c>
      <c r="J102" s="15" t="s">
        <v>357</v>
      </c>
      <c r="K102" s="12" t="s">
        <v>366</v>
      </c>
      <c r="L102" s="62" t="s">
        <v>73</v>
      </c>
      <c r="M102" s="13">
        <v>0</v>
      </c>
      <c r="N102" s="14" t="s">
        <v>74</v>
      </c>
      <c r="O102" s="15" t="s">
        <v>64</v>
      </c>
      <c r="P102" s="3" t="s">
        <v>122</v>
      </c>
      <c r="Q102" s="1" t="s">
        <v>506</v>
      </c>
      <c r="R102" s="55" t="s">
        <v>72</v>
      </c>
      <c r="S102" s="63"/>
    </row>
    <row r="103" spans="1:20" ht="12" customHeight="1" x14ac:dyDescent="0.2">
      <c r="A103" s="64">
        <v>46118</v>
      </c>
      <c r="B103" s="61" t="s">
        <v>158</v>
      </c>
      <c r="C103" s="15">
        <v>39577546</v>
      </c>
      <c r="D103" s="15" t="s">
        <v>64</v>
      </c>
      <c r="E103" s="3" t="s">
        <v>61</v>
      </c>
      <c r="F103" s="3" t="s">
        <v>67</v>
      </c>
      <c r="G103" s="3" t="s">
        <v>190</v>
      </c>
      <c r="H103" s="3" t="s">
        <v>369</v>
      </c>
      <c r="I103" s="15">
        <v>252442</v>
      </c>
      <c r="J103" s="15" t="s">
        <v>357</v>
      </c>
      <c r="K103" s="12" t="s">
        <v>370</v>
      </c>
      <c r="L103" s="62" t="s">
        <v>47</v>
      </c>
      <c r="M103" s="13">
        <v>200000</v>
      </c>
      <c r="N103" s="14" t="s">
        <v>371</v>
      </c>
      <c r="O103" s="15" t="s">
        <v>3</v>
      </c>
      <c r="P103" s="3" t="s">
        <v>122</v>
      </c>
      <c r="Q103" s="1" t="s">
        <v>506</v>
      </c>
      <c r="R103" s="55" t="s">
        <v>64</v>
      </c>
      <c r="S103" s="63"/>
    </row>
    <row r="104" spans="1:20" ht="12" customHeight="1" x14ac:dyDescent="0.2">
      <c r="A104" s="64">
        <v>46144</v>
      </c>
      <c r="B104" s="61" t="s">
        <v>158</v>
      </c>
      <c r="C104" s="15">
        <v>39577546</v>
      </c>
      <c r="D104" s="15" t="s">
        <v>64</v>
      </c>
      <c r="E104" s="3" t="s">
        <v>61</v>
      </c>
      <c r="F104" s="3" t="s">
        <v>67</v>
      </c>
      <c r="G104" s="3" t="s">
        <v>190</v>
      </c>
      <c r="H104" s="3" t="s">
        <v>369</v>
      </c>
      <c r="I104" s="15">
        <v>252442</v>
      </c>
      <c r="J104" s="15" t="s">
        <v>357</v>
      </c>
      <c r="K104" s="12" t="s">
        <v>370</v>
      </c>
      <c r="L104" s="62" t="s">
        <v>76</v>
      </c>
      <c r="M104" s="13">
        <v>200000</v>
      </c>
      <c r="N104" s="65" t="s">
        <v>372</v>
      </c>
      <c r="O104" s="15" t="s">
        <v>3</v>
      </c>
      <c r="P104" s="3" t="s">
        <v>122</v>
      </c>
      <c r="Q104" s="1" t="s">
        <v>506</v>
      </c>
      <c r="R104" s="55" t="s">
        <v>64</v>
      </c>
      <c r="S104" s="63"/>
    </row>
    <row r="105" spans="1:20" ht="12" customHeight="1" x14ac:dyDescent="0.2">
      <c r="A105" s="59">
        <v>46144.603310185186</v>
      </c>
      <c r="B105" s="61" t="s">
        <v>158</v>
      </c>
      <c r="C105" s="15">
        <v>39577546</v>
      </c>
      <c r="D105" s="15" t="s">
        <v>64</v>
      </c>
      <c r="E105" s="3" t="s">
        <v>61</v>
      </c>
      <c r="F105" s="3" t="s">
        <v>67</v>
      </c>
      <c r="G105" s="3" t="s">
        <v>190</v>
      </c>
      <c r="H105" s="3" t="s">
        <v>369</v>
      </c>
      <c r="I105" s="15">
        <v>252442</v>
      </c>
      <c r="J105" s="15" t="s">
        <v>357</v>
      </c>
      <c r="K105" s="12" t="s">
        <v>370</v>
      </c>
      <c r="L105" s="62" t="s">
        <v>68</v>
      </c>
      <c r="M105" s="13">
        <v>0</v>
      </c>
      <c r="N105" s="12" t="s">
        <v>75</v>
      </c>
      <c r="O105" s="15" t="s">
        <v>64</v>
      </c>
      <c r="P105" s="3" t="s">
        <v>122</v>
      </c>
      <c r="Q105" s="1" t="s">
        <v>506</v>
      </c>
      <c r="R105" s="55" t="s">
        <v>64</v>
      </c>
      <c r="S105" s="63"/>
    </row>
    <row r="106" spans="1:20" ht="12" customHeight="1" x14ac:dyDescent="0.2">
      <c r="A106" s="59">
        <v>46147.839861111112</v>
      </c>
      <c r="B106" s="61" t="s">
        <v>158</v>
      </c>
      <c r="C106" s="15">
        <v>39577546</v>
      </c>
      <c r="D106" s="15" t="s">
        <v>64</v>
      </c>
      <c r="E106" s="3" t="s">
        <v>61</v>
      </c>
      <c r="F106" s="3" t="s">
        <v>67</v>
      </c>
      <c r="G106" s="3" t="s">
        <v>190</v>
      </c>
      <c r="H106" s="3" t="s">
        <v>369</v>
      </c>
      <c r="I106" s="15">
        <v>252442</v>
      </c>
      <c r="J106" s="15" t="s">
        <v>357</v>
      </c>
      <c r="K106" s="12" t="s">
        <v>370</v>
      </c>
      <c r="L106" s="62" t="s">
        <v>2</v>
      </c>
      <c r="M106" s="13">
        <v>0</v>
      </c>
      <c r="N106" s="12" t="s">
        <v>75</v>
      </c>
      <c r="O106" s="15" t="s">
        <v>64</v>
      </c>
      <c r="P106" s="3" t="s">
        <v>122</v>
      </c>
      <c r="Q106" s="1" t="s">
        <v>506</v>
      </c>
      <c r="R106" s="55" t="s">
        <v>64</v>
      </c>
      <c r="S106" s="63"/>
    </row>
    <row r="107" spans="1:20" ht="12" customHeight="1" x14ac:dyDescent="0.2">
      <c r="A107" s="64">
        <v>46181</v>
      </c>
      <c r="B107" s="61" t="s">
        <v>158</v>
      </c>
      <c r="C107" s="15">
        <v>39577546</v>
      </c>
      <c r="D107" s="15" t="s">
        <v>64</v>
      </c>
      <c r="E107" s="3" t="s">
        <v>61</v>
      </c>
      <c r="F107" s="3" t="s">
        <v>67</v>
      </c>
      <c r="G107" s="3" t="s">
        <v>190</v>
      </c>
      <c r="H107" s="3" t="s">
        <v>369</v>
      </c>
      <c r="I107" s="15">
        <v>252442</v>
      </c>
      <c r="J107" s="15" t="s">
        <v>357</v>
      </c>
      <c r="K107" s="12" t="s">
        <v>370</v>
      </c>
      <c r="L107" s="62" t="s">
        <v>465</v>
      </c>
      <c r="M107" s="13">
        <v>180000</v>
      </c>
      <c r="N107" s="148" t="s">
        <v>467</v>
      </c>
      <c r="O107" s="149" t="s">
        <v>98</v>
      </c>
      <c r="P107" s="3" t="s">
        <v>122</v>
      </c>
      <c r="Q107" s="1" t="s">
        <v>506</v>
      </c>
      <c r="R107" s="55" t="s">
        <v>64</v>
      </c>
    </row>
    <row r="108" spans="1:20" ht="12" customHeight="1" x14ac:dyDescent="0.2">
      <c r="A108" s="49">
        <v>46059</v>
      </c>
      <c r="B108" s="61" t="s">
        <v>159</v>
      </c>
      <c r="C108" s="15">
        <v>39790944</v>
      </c>
      <c r="D108" s="15" t="s">
        <v>64</v>
      </c>
      <c r="E108" s="3" t="s">
        <v>61</v>
      </c>
      <c r="F108" s="3" t="s">
        <v>67</v>
      </c>
      <c r="G108" s="3" t="s">
        <v>190</v>
      </c>
      <c r="H108" s="3" t="s">
        <v>373</v>
      </c>
      <c r="I108" s="15">
        <v>252431</v>
      </c>
      <c r="J108" s="15" t="s">
        <v>357</v>
      </c>
      <c r="K108" s="12" t="s">
        <v>374</v>
      </c>
      <c r="L108" s="62" t="s">
        <v>5</v>
      </c>
      <c r="M108" s="13">
        <v>150000</v>
      </c>
      <c r="N108" s="14" t="s">
        <v>375</v>
      </c>
      <c r="O108" s="15" t="s">
        <v>3</v>
      </c>
      <c r="P108" s="3" t="s">
        <v>122</v>
      </c>
      <c r="Q108" s="1" t="s">
        <v>506</v>
      </c>
      <c r="R108" s="55" t="s">
        <v>64</v>
      </c>
      <c r="S108" s="63"/>
    </row>
    <row r="109" spans="1:20" ht="12" customHeight="1" x14ac:dyDescent="0.2">
      <c r="A109" s="59">
        <v>46100</v>
      </c>
      <c r="B109" s="61" t="s">
        <v>159</v>
      </c>
      <c r="C109" s="15">
        <v>39790944</v>
      </c>
      <c r="D109" s="15" t="s">
        <v>64</v>
      </c>
      <c r="E109" s="3" t="s">
        <v>61</v>
      </c>
      <c r="F109" s="3" t="s">
        <v>67</v>
      </c>
      <c r="G109" s="3" t="s">
        <v>190</v>
      </c>
      <c r="H109" s="3" t="s">
        <v>373</v>
      </c>
      <c r="I109" s="15">
        <v>252431</v>
      </c>
      <c r="J109" s="15" t="s">
        <v>357</v>
      </c>
      <c r="K109" s="12" t="s">
        <v>374</v>
      </c>
      <c r="L109" s="62" t="s">
        <v>47</v>
      </c>
      <c r="M109" s="13">
        <v>200000</v>
      </c>
      <c r="N109" s="12" t="s">
        <v>376</v>
      </c>
      <c r="O109" s="15" t="s">
        <v>3</v>
      </c>
      <c r="P109" s="3" t="s">
        <v>122</v>
      </c>
      <c r="Q109" s="1" t="s">
        <v>506</v>
      </c>
      <c r="R109" s="55" t="s">
        <v>64</v>
      </c>
    </row>
    <row r="110" spans="1:20" ht="12" customHeight="1" x14ac:dyDescent="0.2">
      <c r="A110" s="64">
        <v>46183</v>
      </c>
      <c r="B110" s="61" t="s">
        <v>159</v>
      </c>
      <c r="C110" s="15">
        <v>39790944</v>
      </c>
      <c r="D110" s="15" t="s">
        <v>64</v>
      </c>
      <c r="E110" s="3" t="s">
        <v>61</v>
      </c>
      <c r="F110" s="3" t="s">
        <v>67</v>
      </c>
      <c r="G110" s="3" t="s">
        <v>190</v>
      </c>
      <c r="H110" s="3" t="s">
        <v>373</v>
      </c>
      <c r="I110" s="15">
        <v>252431</v>
      </c>
      <c r="J110" s="15" t="s">
        <v>357</v>
      </c>
      <c r="K110" s="12" t="s">
        <v>374</v>
      </c>
      <c r="L110" s="62" t="s">
        <v>8</v>
      </c>
      <c r="M110" s="13">
        <v>20000</v>
      </c>
      <c r="N110" s="148" t="s">
        <v>468</v>
      </c>
      <c r="O110" s="149" t="s">
        <v>98</v>
      </c>
      <c r="P110" s="3" t="s">
        <v>122</v>
      </c>
      <c r="Q110" s="1" t="s">
        <v>506</v>
      </c>
      <c r="R110" s="55" t="s">
        <v>64</v>
      </c>
    </row>
    <row r="111" spans="1:20" ht="12" customHeight="1" x14ac:dyDescent="0.2">
      <c r="A111" s="59">
        <v>46129</v>
      </c>
      <c r="B111" s="61" t="s">
        <v>160</v>
      </c>
      <c r="C111" s="15">
        <v>39567642</v>
      </c>
      <c r="D111" s="15" t="s">
        <v>377</v>
      </c>
      <c r="E111" s="3" t="s">
        <v>61</v>
      </c>
      <c r="F111" s="3" t="s">
        <v>67</v>
      </c>
      <c r="G111" s="3" t="s">
        <v>190</v>
      </c>
      <c r="H111" s="3" t="s">
        <v>378</v>
      </c>
      <c r="I111" s="15">
        <v>252431</v>
      </c>
      <c r="J111" s="15" t="s">
        <v>357</v>
      </c>
      <c r="K111" s="12" t="s">
        <v>379</v>
      </c>
      <c r="L111" s="62" t="s">
        <v>47</v>
      </c>
      <c r="M111" s="13">
        <v>200000</v>
      </c>
      <c r="N111" s="12" t="s">
        <v>380</v>
      </c>
      <c r="O111" s="15" t="s">
        <v>1</v>
      </c>
      <c r="P111" s="3" t="s">
        <v>122</v>
      </c>
      <c r="Q111" s="1" t="s">
        <v>0</v>
      </c>
      <c r="R111" s="55" t="s">
        <v>72</v>
      </c>
      <c r="T111" t="s">
        <v>505</v>
      </c>
    </row>
    <row r="112" spans="1:20" ht="12" customHeight="1" x14ac:dyDescent="0.2">
      <c r="A112" s="64">
        <v>46129.829293981478</v>
      </c>
      <c r="B112" s="61" t="s">
        <v>160</v>
      </c>
      <c r="C112" s="15">
        <v>39567642</v>
      </c>
      <c r="D112" s="15" t="s">
        <v>377</v>
      </c>
      <c r="E112" s="3" t="s">
        <v>61</v>
      </c>
      <c r="F112" s="3" t="s">
        <v>67</v>
      </c>
      <c r="G112" s="3" t="s">
        <v>190</v>
      </c>
      <c r="H112" s="3" t="s">
        <v>378</v>
      </c>
      <c r="I112" s="15">
        <v>252431</v>
      </c>
      <c r="J112" s="15" t="s">
        <v>357</v>
      </c>
      <c r="K112" s="12" t="s">
        <v>379</v>
      </c>
      <c r="L112" s="62" t="s">
        <v>73</v>
      </c>
      <c r="M112" s="13">
        <v>0</v>
      </c>
      <c r="N112" s="12" t="s">
        <v>75</v>
      </c>
      <c r="O112" s="15" t="s">
        <v>64</v>
      </c>
      <c r="P112" s="3" t="s">
        <v>122</v>
      </c>
      <c r="Q112" s="1" t="s">
        <v>0</v>
      </c>
      <c r="R112" s="55" t="s">
        <v>72</v>
      </c>
      <c r="T112" t="s">
        <v>505</v>
      </c>
    </row>
    <row r="113" spans="1:20" ht="12" customHeight="1" x14ac:dyDescent="0.2">
      <c r="A113" s="64">
        <v>46129.832349537035</v>
      </c>
      <c r="B113" s="61" t="s">
        <v>160</v>
      </c>
      <c r="C113" s="15">
        <v>39567642</v>
      </c>
      <c r="D113" s="15" t="s">
        <v>377</v>
      </c>
      <c r="E113" s="3" t="s">
        <v>61</v>
      </c>
      <c r="F113" s="3" t="s">
        <v>67</v>
      </c>
      <c r="G113" s="3" t="s">
        <v>190</v>
      </c>
      <c r="H113" s="3" t="s">
        <v>378</v>
      </c>
      <c r="I113" s="15">
        <v>252431</v>
      </c>
      <c r="J113" s="15" t="s">
        <v>357</v>
      </c>
      <c r="K113" s="12" t="s">
        <v>379</v>
      </c>
      <c r="L113" s="62" t="s">
        <v>2</v>
      </c>
      <c r="M113" s="13">
        <v>0</v>
      </c>
      <c r="N113" s="12" t="s">
        <v>75</v>
      </c>
      <c r="O113" s="15" t="s">
        <v>64</v>
      </c>
      <c r="P113" s="3" t="s">
        <v>122</v>
      </c>
      <c r="Q113" s="1" t="s">
        <v>0</v>
      </c>
      <c r="R113" s="55" t="s">
        <v>72</v>
      </c>
      <c r="T113" t="s">
        <v>505</v>
      </c>
    </row>
    <row r="114" spans="1:20" ht="12" customHeight="1" x14ac:dyDescent="0.2">
      <c r="A114" s="64">
        <v>46146</v>
      </c>
      <c r="B114" s="61" t="s">
        <v>160</v>
      </c>
      <c r="C114" s="15">
        <v>39567642</v>
      </c>
      <c r="D114" s="15" t="s">
        <v>377</v>
      </c>
      <c r="E114" s="3" t="s">
        <v>61</v>
      </c>
      <c r="F114" s="3" t="s">
        <v>67</v>
      </c>
      <c r="G114" s="3" t="s">
        <v>190</v>
      </c>
      <c r="H114" s="3" t="s">
        <v>378</v>
      </c>
      <c r="I114" s="15">
        <v>252431</v>
      </c>
      <c r="J114" s="15" t="s">
        <v>357</v>
      </c>
      <c r="K114" s="12" t="s">
        <v>379</v>
      </c>
      <c r="L114" s="62" t="s">
        <v>104</v>
      </c>
      <c r="M114" s="13">
        <v>300000</v>
      </c>
      <c r="N114" s="65" t="s">
        <v>381</v>
      </c>
      <c r="O114" s="15" t="s">
        <v>1</v>
      </c>
      <c r="P114" s="3" t="s">
        <v>122</v>
      </c>
      <c r="Q114" s="1" t="s">
        <v>0</v>
      </c>
      <c r="R114" s="55" t="s">
        <v>72</v>
      </c>
      <c r="T114" t="s">
        <v>505</v>
      </c>
    </row>
    <row r="115" spans="1:20" ht="12" customHeight="1" x14ac:dyDescent="0.2">
      <c r="A115" s="64">
        <v>46146.730821759258</v>
      </c>
      <c r="B115" s="61" t="s">
        <v>160</v>
      </c>
      <c r="C115" s="15">
        <v>39567642</v>
      </c>
      <c r="D115" s="15" t="s">
        <v>377</v>
      </c>
      <c r="E115" s="3" t="s">
        <v>61</v>
      </c>
      <c r="F115" s="3" t="s">
        <v>67</v>
      </c>
      <c r="G115" s="3" t="s">
        <v>190</v>
      </c>
      <c r="H115" s="3" t="s">
        <v>378</v>
      </c>
      <c r="I115" s="15">
        <v>252431</v>
      </c>
      <c r="J115" s="15" t="s">
        <v>357</v>
      </c>
      <c r="K115" s="12" t="s">
        <v>379</v>
      </c>
      <c r="L115" s="62" t="s">
        <v>77</v>
      </c>
      <c r="M115" s="13">
        <v>0</v>
      </c>
      <c r="N115" s="12" t="s">
        <v>75</v>
      </c>
      <c r="O115" s="15" t="s">
        <v>64</v>
      </c>
      <c r="P115" s="3" t="s">
        <v>122</v>
      </c>
      <c r="Q115" s="1" t="s">
        <v>0</v>
      </c>
      <c r="R115" s="55" t="s">
        <v>72</v>
      </c>
      <c r="T115" t="s">
        <v>505</v>
      </c>
    </row>
    <row r="116" spans="1:20" ht="12" customHeight="1" x14ac:dyDescent="0.2">
      <c r="A116" s="64">
        <v>46146.732476851852</v>
      </c>
      <c r="B116" s="61" t="s">
        <v>160</v>
      </c>
      <c r="C116" s="15">
        <v>39567642</v>
      </c>
      <c r="D116" s="15" t="s">
        <v>377</v>
      </c>
      <c r="E116" s="3" t="s">
        <v>61</v>
      </c>
      <c r="F116" s="3" t="s">
        <v>67</v>
      </c>
      <c r="G116" s="3" t="s">
        <v>190</v>
      </c>
      <c r="H116" s="3" t="s">
        <v>378</v>
      </c>
      <c r="I116" s="15">
        <v>252431</v>
      </c>
      <c r="J116" s="15" t="s">
        <v>357</v>
      </c>
      <c r="K116" s="12" t="s">
        <v>379</v>
      </c>
      <c r="L116" s="62" t="s">
        <v>49</v>
      </c>
      <c r="M116" s="13">
        <v>0</v>
      </c>
      <c r="N116" s="12" t="s">
        <v>75</v>
      </c>
      <c r="O116" s="15" t="s">
        <v>64</v>
      </c>
      <c r="P116" s="3" t="s">
        <v>122</v>
      </c>
      <c r="Q116" s="1" t="s">
        <v>0</v>
      </c>
      <c r="R116" s="55" t="s">
        <v>72</v>
      </c>
      <c r="T116" t="s">
        <v>505</v>
      </c>
    </row>
    <row r="117" spans="1:20" ht="12" customHeight="1" x14ac:dyDescent="0.2">
      <c r="A117" s="64">
        <v>46146.734560185185</v>
      </c>
      <c r="B117" s="61" t="s">
        <v>160</v>
      </c>
      <c r="C117" s="15">
        <v>39567642</v>
      </c>
      <c r="D117" s="15" t="s">
        <v>377</v>
      </c>
      <c r="E117" s="3" t="s">
        <v>61</v>
      </c>
      <c r="F117" s="3" t="s">
        <v>67</v>
      </c>
      <c r="G117" s="3" t="s">
        <v>190</v>
      </c>
      <c r="H117" s="3" t="s">
        <v>378</v>
      </c>
      <c r="I117" s="15">
        <v>252431</v>
      </c>
      <c r="J117" s="15" t="s">
        <v>357</v>
      </c>
      <c r="K117" s="12" t="s">
        <v>379</v>
      </c>
      <c r="L117" s="62" t="s">
        <v>8</v>
      </c>
      <c r="M117" s="13">
        <v>0</v>
      </c>
      <c r="N117" s="12" t="s">
        <v>75</v>
      </c>
      <c r="O117" s="15" t="s">
        <v>64</v>
      </c>
      <c r="P117" s="3" t="s">
        <v>122</v>
      </c>
      <c r="Q117" s="1" t="s">
        <v>0</v>
      </c>
      <c r="R117" s="55" t="s">
        <v>72</v>
      </c>
      <c r="T117" t="s">
        <v>505</v>
      </c>
    </row>
    <row r="118" spans="1:20" ht="12" customHeight="1" x14ac:dyDescent="0.2">
      <c r="A118" s="64">
        <v>46145</v>
      </c>
      <c r="B118" s="61" t="s">
        <v>160</v>
      </c>
      <c r="C118" s="15">
        <v>39567642</v>
      </c>
      <c r="D118" s="15" t="s">
        <v>377</v>
      </c>
      <c r="E118" s="3" t="s">
        <v>61</v>
      </c>
      <c r="F118" s="3" t="s">
        <v>67</v>
      </c>
      <c r="G118" s="3" t="s">
        <v>190</v>
      </c>
      <c r="H118" s="3" t="s">
        <v>378</v>
      </c>
      <c r="I118" s="15">
        <v>252431</v>
      </c>
      <c r="J118" s="15" t="s">
        <v>357</v>
      </c>
      <c r="K118" s="12" t="s">
        <v>379</v>
      </c>
      <c r="L118" s="62" t="s">
        <v>76</v>
      </c>
      <c r="M118" s="13">
        <v>200000</v>
      </c>
      <c r="N118" s="65" t="s">
        <v>457</v>
      </c>
      <c r="O118" s="15" t="s">
        <v>3</v>
      </c>
      <c r="P118" s="3" t="s">
        <v>122</v>
      </c>
      <c r="Q118" s="1" t="s">
        <v>0</v>
      </c>
      <c r="R118" s="55" t="s">
        <v>72</v>
      </c>
      <c r="T118" t="s">
        <v>505</v>
      </c>
    </row>
    <row r="119" spans="1:20" ht="12" customHeight="1" x14ac:dyDescent="0.2">
      <c r="A119" s="64">
        <v>46158</v>
      </c>
      <c r="B119" s="61" t="s">
        <v>160</v>
      </c>
      <c r="C119" s="15">
        <v>39567642</v>
      </c>
      <c r="D119" s="15" t="s">
        <v>377</v>
      </c>
      <c r="E119" s="3" t="s">
        <v>61</v>
      </c>
      <c r="F119" s="3" t="s">
        <v>67</v>
      </c>
      <c r="G119" s="3" t="s">
        <v>190</v>
      </c>
      <c r="H119" s="3" t="s">
        <v>378</v>
      </c>
      <c r="I119" s="15">
        <v>252431</v>
      </c>
      <c r="J119" s="15" t="s">
        <v>357</v>
      </c>
      <c r="K119" s="12" t="s">
        <v>379</v>
      </c>
      <c r="L119" s="62" t="s">
        <v>49</v>
      </c>
      <c r="M119" s="13">
        <v>0</v>
      </c>
      <c r="N119" s="12" t="s">
        <v>75</v>
      </c>
      <c r="O119" s="15" t="s">
        <v>64</v>
      </c>
      <c r="P119" s="3" t="s">
        <v>122</v>
      </c>
      <c r="Q119" s="1" t="s">
        <v>0</v>
      </c>
      <c r="R119" s="55" t="s">
        <v>72</v>
      </c>
      <c r="T119" t="s">
        <v>505</v>
      </c>
    </row>
    <row r="120" spans="1:20" ht="12" customHeight="1" x14ac:dyDescent="0.2">
      <c r="A120" s="64">
        <v>46072</v>
      </c>
      <c r="B120" s="61" t="s">
        <v>161</v>
      </c>
      <c r="C120" s="15">
        <v>55169200</v>
      </c>
      <c r="D120" s="15" t="s">
        <v>64</v>
      </c>
      <c r="E120" s="3" t="s">
        <v>61</v>
      </c>
      <c r="F120" s="3" t="s">
        <v>91</v>
      </c>
      <c r="G120" s="3" t="s">
        <v>92</v>
      </c>
      <c r="H120" s="3" t="s">
        <v>382</v>
      </c>
      <c r="I120" s="15">
        <v>410010</v>
      </c>
      <c r="J120" s="15" t="s">
        <v>357</v>
      </c>
      <c r="K120" s="12" t="s">
        <v>384</v>
      </c>
      <c r="L120" s="62" t="s">
        <v>8</v>
      </c>
      <c r="M120" s="13">
        <v>300000</v>
      </c>
      <c r="N120" s="14" t="s">
        <v>385</v>
      </c>
      <c r="O120" s="15" t="s">
        <v>50</v>
      </c>
      <c r="P120" s="3" t="s">
        <v>122</v>
      </c>
      <c r="Q120" s="1" t="s">
        <v>506</v>
      </c>
      <c r="R120" s="55" t="s">
        <v>64</v>
      </c>
    </row>
    <row r="121" spans="1:20" ht="12" customHeight="1" x14ac:dyDescent="0.2">
      <c r="A121" s="64">
        <v>46078</v>
      </c>
      <c r="B121" s="61" t="s">
        <v>161</v>
      </c>
      <c r="C121" s="15">
        <v>55169200</v>
      </c>
      <c r="D121" s="15" t="s">
        <v>64</v>
      </c>
      <c r="E121" s="3" t="s">
        <v>61</v>
      </c>
      <c r="F121" s="3" t="s">
        <v>91</v>
      </c>
      <c r="G121" s="3" t="s">
        <v>92</v>
      </c>
      <c r="H121" s="3" t="s">
        <v>382</v>
      </c>
      <c r="I121" s="15">
        <v>410010</v>
      </c>
      <c r="J121" s="15" t="s">
        <v>357</v>
      </c>
      <c r="K121" s="12" t="s">
        <v>384</v>
      </c>
      <c r="L121" s="62" t="s">
        <v>78</v>
      </c>
      <c r="M121" s="13">
        <v>500000</v>
      </c>
      <c r="N121" s="14" t="s">
        <v>386</v>
      </c>
      <c r="O121" s="15" t="s">
        <v>50</v>
      </c>
      <c r="P121" s="3" t="s">
        <v>122</v>
      </c>
      <c r="Q121" s="1" t="s">
        <v>506</v>
      </c>
      <c r="R121" s="55" t="s">
        <v>64</v>
      </c>
    </row>
    <row r="122" spans="1:20" ht="12" customHeight="1" x14ac:dyDescent="0.2">
      <c r="A122" s="64">
        <v>46110</v>
      </c>
      <c r="B122" s="61" t="s">
        <v>161</v>
      </c>
      <c r="C122" s="15">
        <v>55169200</v>
      </c>
      <c r="D122" s="15" t="s">
        <v>64</v>
      </c>
      <c r="E122" s="3" t="s">
        <v>61</v>
      </c>
      <c r="F122" s="3" t="s">
        <v>91</v>
      </c>
      <c r="G122" s="3" t="s">
        <v>92</v>
      </c>
      <c r="H122" s="3" t="s">
        <v>382</v>
      </c>
      <c r="I122" s="15">
        <v>410010</v>
      </c>
      <c r="J122" s="15" t="s">
        <v>357</v>
      </c>
      <c r="K122" s="12" t="s">
        <v>384</v>
      </c>
      <c r="L122" s="62" t="s">
        <v>47</v>
      </c>
      <c r="M122" s="13">
        <v>200000</v>
      </c>
      <c r="N122" s="12" t="s">
        <v>387</v>
      </c>
      <c r="O122" s="15" t="s">
        <v>3</v>
      </c>
      <c r="P122" s="3" t="s">
        <v>122</v>
      </c>
      <c r="Q122" s="1" t="s">
        <v>506</v>
      </c>
      <c r="R122" s="55" t="s">
        <v>64</v>
      </c>
    </row>
    <row r="123" spans="1:20" ht="12" customHeight="1" x14ac:dyDescent="0.2">
      <c r="A123" s="64">
        <v>46118</v>
      </c>
      <c r="B123" s="61" t="s">
        <v>161</v>
      </c>
      <c r="C123" s="15">
        <v>55169200</v>
      </c>
      <c r="D123" s="15" t="s">
        <v>64</v>
      </c>
      <c r="E123" s="3" t="s">
        <v>61</v>
      </c>
      <c r="F123" s="3" t="s">
        <v>91</v>
      </c>
      <c r="G123" s="3" t="s">
        <v>92</v>
      </c>
      <c r="H123" s="3" t="s">
        <v>382</v>
      </c>
      <c r="I123" s="15">
        <v>410010</v>
      </c>
      <c r="J123" s="15" t="s">
        <v>357</v>
      </c>
      <c r="K123" s="12" t="s">
        <v>384</v>
      </c>
      <c r="L123" s="62" t="s">
        <v>97</v>
      </c>
      <c r="M123" s="13">
        <v>100000</v>
      </c>
      <c r="N123" s="14" t="s">
        <v>388</v>
      </c>
      <c r="O123" s="15" t="s">
        <v>50</v>
      </c>
      <c r="P123" s="3" t="s">
        <v>122</v>
      </c>
      <c r="Q123" s="1" t="s">
        <v>506</v>
      </c>
      <c r="R123" s="55" t="s">
        <v>64</v>
      </c>
    </row>
    <row r="124" spans="1:20" ht="12" customHeight="1" x14ac:dyDescent="0.2">
      <c r="A124" s="64">
        <v>46126</v>
      </c>
      <c r="B124" s="61" t="s">
        <v>161</v>
      </c>
      <c r="C124" s="15">
        <v>55169200</v>
      </c>
      <c r="D124" s="15" t="s">
        <v>64</v>
      </c>
      <c r="E124" s="3" t="s">
        <v>61</v>
      </c>
      <c r="F124" s="3" t="s">
        <v>91</v>
      </c>
      <c r="G124" s="3" t="s">
        <v>92</v>
      </c>
      <c r="H124" s="3" t="s">
        <v>382</v>
      </c>
      <c r="I124" s="15">
        <v>410010</v>
      </c>
      <c r="J124" s="15" t="s">
        <v>357</v>
      </c>
      <c r="K124" s="12" t="s">
        <v>384</v>
      </c>
      <c r="L124" s="62" t="s">
        <v>8</v>
      </c>
      <c r="M124" s="13">
        <v>0</v>
      </c>
      <c r="N124" s="12" t="s">
        <v>75</v>
      </c>
      <c r="O124" s="15" t="s">
        <v>64</v>
      </c>
      <c r="P124" s="3" t="s">
        <v>122</v>
      </c>
      <c r="Q124" s="1" t="s">
        <v>506</v>
      </c>
      <c r="R124" s="55" t="s">
        <v>64</v>
      </c>
    </row>
    <row r="125" spans="1:20" ht="12" customHeight="1" x14ac:dyDescent="0.2">
      <c r="A125" s="64">
        <v>46126</v>
      </c>
      <c r="B125" s="61" t="s">
        <v>161</v>
      </c>
      <c r="C125" s="15">
        <v>55169200</v>
      </c>
      <c r="D125" s="15" t="s">
        <v>64</v>
      </c>
      <c r="E125" s="3" t="s">
        <v>61</v>
      </c>
      <c r="F125" s="3" t="s">
        <v>91</v>
      </c>
      <c r="G125" s="3" t="s">
        <v>92</v>
      </c>
      <c r="H125" s="3" t="s">
        <v>382</v>
      </c>
      <c r="I125" s="15">
        <v>410010</v>
      </c>
      <c r="J125" s="15" t="s">
        <v>357</v>
      </c>
      <c r="K125" s="12" t="s">
        <v>384</v>
      </c>
      <c r="L125" s="62" t="s">
        <v>2</v>
      </c>
      <c r="M125" s="13">
        <v>100000</v>
      </c>
      <c r="N125" s="12" t="s">
        <v>389</v>
      </c>
      <c r="O125" s="15" t="s">
        <v>3</v>
      </c>
      <c r="P125" s="3" t="s">
        <v>122</v>
      </c>
      <c r="Q125" s="1" t="s">
        <v>506</v>
      </c>
      <c r="R125" s="55" t="s">
        <v>64</v>
      </c>
    </row>
    <row r="126" spans="1:20" ht="12" customHeight="1" x14ac:dyDescent="0.2">
      <c r="A126" s="64">
        <v>46140</v>
      </c>
      <c r="B126" s="61" t="s">
        <v>161</v>
      </c>
      <c r="C126" s="15">
        <v>55169200</v>
      </c>
      <c r="D126" s="15" t="s">
        <v>64</v>
      </c>
      <c r="E126" s="3" t="s">
        <v>61</v>
      </c>
      <c r="F126" s="3" t="s">
        <v>91</v>
      </c>
      <c r="G126" s="3" t="s">
        <v>92</v>
      </c>
      <c r="H126" s="3" t="s">
        <v>382</v>
      </c>
      <c r="I126" s="15">
        <v>410010</v>
      </c>
      <c r="J126" s="15" t="s">
        <v>357</v>
      </c>
      <c r="K126" s="12" t="s">
        <v>384</v>
      </c>
      <c r="L126" s="62" t="s">
        <v>48</v>
      </c>
      <c r="M126" s="13">
        <v>1000000</v>
      </c>
      <c r="N126" s="65" t="s">
        <v>390</v>
      </c>
      <c r="O126" s="15" t="s">
        <v>50</v>
      </c>
      <c r="P126" s="3" t="s">
        <v>122</v>
      </c>
      <c r="Q126" s="1" t="s">
        <v>506</v>
      </c>
      <c r="R126" s="55" t="s">
        <v>64</v>
      </c>
    </row>
    <row r="127" spans="1:20" ht="12" customHeight="1" x14ac:dyDescent="0.2">
      <c r="A127" s="64">
        <v>46140.703321759262</v>
      </c>
      <c r="B127" s="61" t="s">
        <v>161</v>
      </c>
      <c r="C127" s="15">
        <v>55169200</v>
      </c>
      <c r="D127" s="15" t="s">
        <v>64</v>
      </c>
      <c r="E127" s="3" t="s">
        <v>61</v>
      </c>
      <c r="F127" s="3" t="s">
        <v>91</v>
      </c>
      <c r="G127" s="3" t="s">
        <v>92</v>
      </c>
      <c r="H127" s="3" t="s">
        <v>382</v>
      </c>
      <c r="I127" s="15">
        <v>410010</v>
      </c>
      <c r="J127" s="15" t="s">
        <v>357</v>
      </c>
      <c r="K127" s="12" t="s">
        <v>384</v>
      </c>
      <c r="L127" s="62" t="s">
        <v>78</v>
      </c>
      <c r="M127" s="13">
        <v>0</v>
      </c>
      <c r="N127" s="12" t="s">
        <v>75</v>
      </c>
      <c r="O127" s="15" t="s">
        <v>64</v>
      </c>
      <c r="P127" s="3" t="s">
        <v>122</v>
      </c>
      <c r="Q127" s="1" t="s">
        <v>506</v>
      </c>
      <c r="R127" s="55" t="s">
        <v>64</v>
      </c>
    </row>
    <row r="128" spans="1:20" ht="12" customHeight="1" x14ac:dyDescent="0.2">
      <c r="A128" s="64">
        <v>46140.706759259258</v>
      </c>
      <c r="B128" s="61" t="s">
        <v>161</v>
      </c>
      <c r="C128" s="15">
        <v>55169200</v>
      </c>
      <c r="D128" s="15" t="s">
        <v>64</v>
      </c>
      <c r="E128" s="3" t="s">
        <v>61</v>
      </c>
      <c r="F128" s="3" t="s">
        <v>91</v>
      </c>
      <c r="G128" s="3" t="s">
        <v>92</v>
      </c>
      <c r="H128" s="3" t="s">
        <v>382</v>
      </c>
      <c r="I128" s="15">
        <v>410010</v>
      </c>
      <c r="J128" s="15" t="s">
        <v>357</v>
      </c>
      <c r="K128" s="12" t="s">
        <v>384</v>
      </c>
      <c r="L128" s="62" t="s">
        <v>8</v>
      </c>
      <c r="M128" s="13">
        <v>0</v>
      </c>
      <c r="N128" s="12" t="s">
        <v>75</v>
      </c>
      <c r="O128" s="15" t="s">
        <v>64</v>
      </c>
      <c r="P128" s="3" t="s">
        <v>122</v>
      </c>
      <c r="Q128" s="1" t="s">
        <v>506</v>
      </c>
      <c r="R128" s="55" t="s">
        <v>64</v>
      </c>
    </row>
    <row r="129" spans="1:20" ht="12" customHeight="1" x14ac:dyDescent="0.2">
      <c r="A129" s="64">
        <v>46140.714814814812</v>
      </c>
      <c r="B129" s="61" t="s">
        <v>161</v>
      </c>
      <c r="C129" s="15">
        <v>55169200</v>
      </c>
      <c r="D129" s="15" t="s">
        <v>64</v>
      </c>
      <c r="E129" s="3" t="s">
        <v>61</v>
      </c>
      <c r="F129" s="3" t="s">
        <v>91</v>
      </c>
      <c r="G129" s="3" t="s">
        <v>92</v>
      </c>
      <c r="H129" s="3" t="s">
        <v>382</v>
      </c>
      <c r="I129" s="15">
        <v>410010</v>
      </c>
      <c r="J129" s="15" t="s">
        <v>357</v>
      </c>
      <c r="K129" s="12" t="s">
        <v>384</v>
      </c>
      <c r="L129" s="62" t="s">
        <v>73</v>
      </c>
      <c r="M129" s="13">
        <v>0</v>
      </c>
      <c r="N129" s="12" t="s">
        <v>75</v>
      </c>
      <c r="O129" s="15" t="s">
        <v>64</v>
      </c>
      <c r="P129" s="3" t="s">
        <v>122</v>
      </c>
      <c r="Q129" s="1" t="s">
        <v>506</v>
      </c>
      <c r="R129" s="55" t="s">
        <v>64</v>
      </c>
    </row>
    <row r="130" spans="1:20" ht="12" customHeight="1" x14ac:dyDescent="0.2">
      <c r="A130" s="64">
        <v>46140.717083333337</v>
      </c>
      <c r="B130" s="61" t="s">
        <v>161</v>
      </c>
      <c r="C130" s="15">
        <v>55169200</v>
      </c>
      <c r="D130" s="15" t="s">
        <v>64</v>
      </c>
      <c r="E130" s="3" t="s">
        <v>61</v>
      </c>
      <c r="F130" s="3" t="s">
        <v>91</v>
      </c>
      <c r="G130" s="3" t="s">
        <v>92</v>
      </c>
      <c r="H130" s="3" t="s">
        <v>382</v>
      </c>
      <c r="I130" s="15">
        <v>410010</v>
      </c>
      <c r="J130" s="15" t="s">
        <v>357</v>
      </c>
      <c r="K130" s="12" t="s">
        <v>384</v>
      </c>
      <c r="L130" s="62" t="s">
        <v>80</v>
      </c>
      <c r="M130" s="13">
        <v>0</v>
      </c>
      <c r="N130" s="12" t="s">
        <v>75</v>
      </c>
      <c r="O130" s="15" t="s">
        <v>64</v>
      </c>
      <c r="P130" s="3" t="s">
        <v>122</v>
      </c>
      <c r="Q130" s="1" t="s">
        <v>506</v>
      </c>
      <c r="R130" s="55" t="s">
        <v>64</v>
      </c>
    </row>
    <row r="131" spans="1:20" ht="12" customHeight="1" x14ac:dyDescent="0.2">
      <c r="A131" s="64">
        <v>46140.719884259262</v>
      </c>
      <c r="B131" s="61" t="s">
        <v>161</v>
      </c>
      <c r="C131" s="15">
        <v>55169200</v>
      </c>
      <c r="D131" s="15" t="s">
        <v>64</v>
      </c>
      <c r="E131" s="3" t="s">
        <v>61</v>
      </c>
      <c r="F131" s="3" t="s">
        <v>91</v>
      </c>
      <c r="G131" s="3" t="s">
        <v>92</v>
      </c>
      <c r="H131" s="3" t="s">
        <v>382</v>
      </c>
      <c r="I131" s="15">
        <v>410010</v>
      </c>
      <c r="J131" s="15" t="s">
        <v>357</v>
      </c>
      <c r="K131" s="12" t="s">
        <v>384</v>
      </c>
      <c r="L131" s="62" t="s">
        <v>77</v>
      </c>
      <c r="M131" s="13">
        <v>0</v>
      </c>
      <c r="N131" s="12" t="s">
        <v>75</v>
      </c>
      <c r="O131" s="15" t="s">
        <v>64</v>
      </c>
      <c r="P131" s="3" t="s">
        <v>122</v>
      </c>
      <c r="Q131" s="1" t="s">
        <v>506</v>
      </c>
      <c r="R131" s="55" t="s">
        <v>64</v>
      </c>
    </row>
    <row r="132" spans="1:20" ht="12" customHeight="1" x14ac:dyDescent="0.2">
      <c r="A132" s="64">
        <v>46147</v>
      </c>
      <c r="B132" s="61" t="s">
        <v>161</v>
      </c>
      <c r="C132" s="15">
        <v>55169200</v>
      </c>
      <c r="D132" s="15" t="s">
        <v>64</v>
      </c>
      <c r="E132" s="3" t="s">
        <v>61</v>
      </c>
      <c r="F132" s="3" t="s">
        <v>91</v>
      </c>
      <c r="G132" s="3" t="s">
        <v>92</v>
      </c>
      <c r="H132" s="3" t="s">
        <v>382</v>
      </c>
      <c r="I132" s="15">
        <v>410010</v>
      </c>
      <c r="J132" s="15" t="s">
        <v>357</v>
      </c>
      <c r="K132" s="12" t="s">
        <v>384</v>
      </c>
      <c r="L132" s="62" t="s">
        <v>95</v>
      </c>
      <c r="M132" s="13">
        <v>100000</v>
      </c>
      <c r="N132" s="65" t="s">
        <v>391</v>
      </c>
      <c r="O132" s="15" t="s">
        <v>3</v>
      </c>
      <c r="P132" s="3" t="s">
        <v>122</v>
      </c>
      <c r="Q132" s="1" t="s">
        <v>506</v>
      </c>
      <c r="R132" s="55" t="s">
        <v>64</v>
      </c>
    </row>
    <row r="133" spans="1:20" ht="12" customHeight="1" x14ac:dyDescent="0.2">
      <c r="A133" s="64">
        <v>46147.72965277778</v>
      </c>
      <c r="B133" s="61" t="s">
        <v>161</v>
      </c>
      <c r="C133" s="15">
        <v>55169200</v>
      </c>
      <c r="D133" s="15" t="s">
        <v>64</v>
      </c>
      <c r="E133" s="3" t="s">
        <v>61</v>
      </c>
      <c r="F133" s="3" t="s">
        <v>91</v>
      </c>
      <c r="G133" s="3" t="s">
        <v>92</v>
      </c>
      <c r="H133" s="3" t="s">
        <v>382</v>
      </c>
      <c r="I133" s="15">
        <v>410010</v>
      </c>
      <c r="J133" s="15" t="s">
        <v>357</v>
      </c>
      <c r="K133" s="12" t="s">
        <v>384</v>
      </c>
      <c r="L133" s="62" t="s">
        <v>2</v>
      </c>
      <c r="M133" s="13">
        <v>0</v>
      </c>
      <c r="N133" s="12" t="s">
        <v>75</v>
      </c>
      <c r="O133" s="15" t="s">
        <v>64</v>
      </c>
      <c r="P133" s="3" t="s">
        <v>122</v>
      </c>
      <c r="Q133" s="1" t="s">
        <v>506</v>
      </c>
      <c r="R133" s="55" t="s">
        <v>64</v>
      </c>
    </row>
    <row r="134" spans="1:20" ht="12" customHeight="1" x14ac:dyDescent="0.2">
      <c r="A134" s="64">
        <v>46168</v>
      </c>
      <c r="B134" s="61" t="s">
        <v>161</v>
      </c>
      <c r="C134" s="15">
        <v>55169200</v>
      </c>
      <c r="D134" s="15" t="s">
        <v>64</v>
      </c>
      <c r="E134" s="3" t="s">
        <v>61</v>
      </c>
      <c r="F134" s="3" t="s">
        <v>91</v>
      </c>
      <c r="G134" s="3" t="s">
        <v>92</v>
      </c>
      <c r="H134" s="3" t="s">
        <v>382</v>
      </c>
      <c r="I134" s="15">
        <v>410010</v>
      </c>
      <c r="J134" s="15" t="s">
        <v>357</v>
      </c>
      <c r="K134" s="12" t="s">
        <v>384</v>
      </c>
      <c r="L134" s="62" t="s">
        <v>8</v>
      </c>
      <c r="M134" s="13">
        <v>20000</v>
      </c>
      <c r="N134" s="148" t="s">
        <v>469</v>
      </c>
      <c r="O134" s="149" t="s">
        <v>98</v>
      </c>
      <c r="P134" s="3" t="s">
        <v>122</v>
      </c>
      <c r="Q134" s="1" t="s">
        <v>506</v>
      </c>
      <c r="R134" s="55" t="s">
        <v>64</v>
      </c>
    </row>
    <row r="135" spans="1:20" ht="12" customHeight="1" x14ac:dyDescent="0.2">
      <c r="A135" s="64">
        <v>46183</v>
      </c>
      <c r="B135" s="61" t="s">
        <v>161</v>
      </c>
      <c r="C135" s="15">
        <v>55169200</v>
      </c>
      <c r="D135" s="15" t="s">
        <v>64</v>
      </c>
      <c r="E135" s="3" t="s">
        <v>61</v>
      </c>
      <c r="F135" s="3" t="s">
        <v>91</v>
      </c>
      <c r="G135" s="3" t="s">
        <v>92</v>
      </c>
      <c r="H135" s="3" t="s">
        <v>382</v>
      </c>
      <c r="I135" s="15">
        <v>410010</v>
      </c>
      <c r="J135" s="15" t="s">
        <v>357</v>
      </c>
      <c r="K135" s="12" t="s">
        <v>384</v>
      </c>
      <c r="L135" s="62" t="s">
        <v>8</v>
      </c>
      <c r="M135" s="13">
        <v>20000</v>
      </c>
      <c r="N135" s="148" t="s">
        <v>470</v>
      </c>
      <c r="O135" s="149" t="s">
        <v>98</v>
      </c>
      <c r="P135" s="3" t="s">
        <v>122</v>
      </c>
      <c r="Q135" s="1" t="s">
        <v>506</v>
      </c>
      <c r="R135" s="55" t="s">
        <v>64</v>
      </c>
    </row>
    <row r="136" spans="1:20" ht="12" customHeight="1" x14ac:dyDescent="0.2">
      <c r="A136" s="64">
        <v>46183</v>
      </c>
      <c r="B136" s="61" t="s">
        <v>161</v>
      </c>
      <c r="C136" s="15">
        <v>55169200</v>
      </c>
      <c r="D136" s="15" t="s">
        <v>64</v>
      </c>
      <c r="E136" s="3" t="s">
        <v>61</v>
      </c>
      <c r="F136" s="3" t="s">
        <v>91</v>
      </c>
      <c r="G136" s="3" t="s">
        <v>92</v>
      </c>
      <c r="H136" s="3" t="s">
        <v>382</v>
      </c>
      <c r="I136" s="15">
        <v>410010</v>
      </c>
      <c r="J136" s="15" t="s">
        <v>357</v>
      </c>
      <c r="K136" s="12" t="s">
        <v>384</v>
      </c>
      <c r="L136" s="62" t="s">
        <v>8</v>
      </c>
      <c r="M136" s="13">
        <v>20000</v>
      </c>
      <c r="N136" s="148" t="s">
        <v>471</v>
      </c>
      <c r="O136" s="149" t="s">
        <v>98</v>
      </c>
      <c r="P136" s="3" t="s">
        <v>122</v>
      </c>
      <c r="Q136" s="1" t="s">
        <v>506</v>
      </c>
      <c r="R136" s="55" t="s">
        <v>64</v>
      </c>
    </row>
    <row r="137" spans="1:20" ht="12" customHeight="1" x14ac:dyDescent="0.2">
      <c r="A137" s="64">
        <v>46253</v>
      </c>
      <c r="B137" s="61" t="s">
        <v>161</v>
      </c>
      <c r="C137" s="15">
        <v>55169200</v>
      </c>
      <c r="D137" s="15" t="s">
        <v>64</v>
      </c>
      <c r="E137" s="3" t="s">
        <v>61</v>
      </c>
      <c r="F137" s="3" t="s">
        <v>91</v>
      </c>
      <c r="G137" s="3" t="s">
        <v>92</v>
      </c>
      <c r="H137" s="3" t="s">
        <v>382</v>
      </c>
      <c r="I137" s="15">
        <v>410010</v>
      </c>
      <c r="J137" s="15" t="s">
        <v>357</v>
      </c>
      <c r="K137" s="12" t="s">
        <v>384</v>
      </c>
      <c r="L137" s="62" t="s">
        <v>475</v>
      </c>
      <c r="M137" s="13">
        <v>140000</v>
      </c>
      <c r="N137" s="150" t="s">
        <v>476</v>
      </c>
      <c r="O137" s="149" t="s">
        <v>3</v>
      </c>
      <c r="P137" s="149" t="s">
        <v>122</v>
      </c>
      <c r="Q137" s="1" t="s">
        <v>506</v>
      </c>
      <c r="R137" s="55" t="s">
        <v>64</v>
      </c>
    </row>
    <row r="138" spans="1:20" ht="12" customHeight="1" x14ac:dyDescent="0.2">
      <c r="A138" s="64">
        <v>46149</v>
      </c>
      <c r="B138" s="61" t="s">
        <v>162</v>
      </c>
      <c r="C138" s="15">
        <v>39568234</v>
      </c>
      <c r="D138" s="15" t="s">
        <v>392</v>
      </c>
      <c r="E138" s="3" t="s">
        <v>61</v>
      </c>
      <c r="F138" s="3" t="s">
        <v>62</v>
      </c>
      <c r="G138" s="3" t="s">
        <v>65</v>
      </c>
      <c r="H138" s="3" t="s">
        <v>393</v>
      </c>
      <c r="I138" s="15">
        <v>760032</v>
      </c>
      <c r="J138" s="15" t="s">
        <v>357</v>
      </c>
      <c r="K138" s="12" t="s">
        <v>394</v>
      </c>
      <c r="L138" s="62" t="s">
        <v>95</v>
      </c>
      <c r="M138" s="13">
        <v>100000</v>
      </c>
      <c r="N138" s="65" t="s">
        <v>395</v>
      </c>
      <c r="O138" s="15" t="s">
        <v>3</v>
      </c>
      <c r="P138" s="3" t="s">
        <v>122</v>
      </c>
      <c r="Q138" s="1" t="s">
        <v>506</v>
      </c>
      <c r="R138" s="55" t="s">
        <v>72</v>
      </c>
    </row>
    <row r="139" spans="1:20" ht="12" customHeight="1" x14ac:dyDescent="0.2">
      <c r="A139" s="64">
        <v>46149</v>
      </c>
      <c r="B139" s="61" t="s">
        <v>162</v>
      </c>
      <c r="C139" s="15">
        <v>39568234</v>
      </c>
      <c r="D139" s="15" t="s">
        <v>392</v>
      </c>
      <c r="E139" s="3" t="s">
        <v>61</v>
      </c>
      <c r="F139" s="3" t="s">
        <v>62</v>
      </c>
      <c r="G139" s="3" t="s">
        <v>65</v>
      </c>
      <c r="H139" s="3" t="s">
        <v>393</v>
      </c>
      <c r="I139" s="15">
        <v>760032</v>
      </c>
      <c r="J139" s="15" t="s">
        <v>357</v>
      </c>
      <c r="K139" s="12" t="s">
        <v>394</v>
      </c>
      <c r="L139" s="62" t="s">
        <v>77</v>
      </c>
      <c r="M139" s="13">
        <v>0</v>
      </c>
      <c r="N139" s="12" t="s">
        <v>75</v>
      </c>
      <c r="O139" s="15" t="s">
        <v>64</v>
      </c>
      <c r="P139" s="3" t="s">
        <v>122</v>
      </c>
      <c r="Q139" s="1" t="s">
        <v>506</v>
      </c>
      <c r="R139" s="55" t="s">
        <v>72</v>
      </c>
    </row>
    <row r="140" spans="1:20" ht="12" customHeight="1" x14ac:dyDescent="0.2">
      <c r="A140" s="64">
        <v>45829</v>
      </c>
      <c r="B140" s="61" t="s">
        <v>163</v>
      </c>
      <c r="C140" s="15">
        <v>19288893</v>
      </c>
      <c r="D140" s="15" t="s">
        <v>396</v>
      </c>
      <c r="E140" s="3" t="s">
        <v>61</v>
      </c>
      <c r="F140" s="3" t="s">
        <v>67</v>
      </c>
      <c r="G140" s="3" t="s">
        <v>276</v>
      </c>
      <c r="H140" s="3" t="s">
        <v>397</v>
      </c>
      <c r="I140" s="15">
        <v>252850</v>
      </c>
      <c r="J140" s="15" t="s">
        <v>357</v>
      </c>
      <c r="K140" s="12" t="s">
        <v>398</v>
      </c>
      <c r="L140" s="62" t="s">
        <v>94</v>
      </c>
      <c r="M140" s="13">
        <v>120000</v>
      </c>
      <c r="N140" s="14" t="s">
        <v>399</v>
      </c>
      <c r="O140" s="15" t="s">
        <v>3</v>
      </c>
      <c r="P140" s="3" t="s">
        <v>122</v>
      </c>
      <c r="Q140" s="1" t="s">
        <v>506</v>
      </c>
      <c r="R140" s="55" t="s">
        <v>72</v>
      </c>
    </row>
    <row r="141" spans="1:20" ht="12" customHeight="1" x14ac:dyDescent="0.2">
      <c r="A141" s="64">
        <v>45947</v>
      </c>
      <c r="B141" s="61" t="s">
        <v>163</v>
      </c>
      <c r="C141" s="15">
        <v>19288893</v>
      </c>
      <c r="D141" s="15" t="s">
        <v>396</v>
      </c>
      <c r="E141" s="3" t="s">
        <v>61</v>
      </c>
      <c r="F141" s="3" t="s">
        <v>67</v>
      </c>
      <c r="G141" s="3" t="s">
        <v>276</v>
      </c>
      <c r="H141" s="3" t="s">
        <v>397</v>
      </c>
      <c r="I141" s="15">
        <v>252850</v>
      </c>
      <c r="J141" s="15" t="s">
        <v>357</v>
      </c>
      <c r="K141" s="12" t="s">
        <v>398</v>
      </c>
      <c r="L141" s="62" t="s">
        <v>2</v>
      </c>
      <c r="M141" s="13">
        <v>100000</v>
      </c>
      <c r="N141" s="14" t="s">
        <v>400</v>
      </c>
      <c r="O141" s="15" t="s">
        <v>3</v>
      </c>
      <c r="P141" s="3" t="s">
        <v>122</v>
      </c>
      <c r="Q141" s="1" t="s">
        <v>506</v>
      </c>
      <c r="R141" s="55" t="s">
        <v>72</v>
      </c>
    </row>
    <row r="142" spans="1:20" ht="12" customHeight="1" x14ac:dyDescent="0.2">
      <c r="A142" s="64">
        <v>45980</v>
      </c>
      <c r="B142" s="61" t="s">
        <v>164</v>
      </c>
      <c r="C142" s="15">
        <v>35253687</v>
      </c>
      <c r="D142" s="15" t="s">
        <v>401</v>
      </c>
      <c r="E142" s="3" t="s">
        <v>61</v>
      </c>
      <c r="F142" s="3" t="s">
        <v>67</v>
      </c>
      <c r="G142" s="3" t="s">
        <v>261</v>
      </c>
      <c r="H142" s="3" t="s">
        <v>503</v>
      </c>
      <c r="I142" s="15">
        <v>252211</v>
      </c>
      <c r="J142" s="15" t="s">
        <v>357</v>
      </c>
      <c r="K142" s="155" t="s">
        <v>358</v>
      </c>
      <c r="L142" s="144" t="s">
        <v>100</v>
      </c>
      <c r="M142" s="109">
        <v>300000</v>
      </c>
      <c r="N142" s="110" t="s">
        <v>403</v>
      </c>
      <c r="O142" s="15" t="s">
        <v>7</v>
      </c>
      <c r="P142" s="3" t="s">
        <v>122</v>
      </c>
      <c r="Q142" s="1" t="s">
        <v>0</v>
      </c>
      <c r="R142" s="55" t="s">
        <v>72</v>
      </c>
      <c r="T142" t="s">
        <v>505</v>
      </c>
    </row>
    <row r="143" spans="1:20" ht="12" customHeight="1" x14ac:dyDescent="0.2">
      <c r="A143" s="64">
        <v>46012</v>
      </c>
      <c r="B143" s="61" t="s">
        <v>164</v>
      </c>
      <c r="C143" s="15">
        <v>35253687</v>
      </c>
      <c r="D143" s="15" t="s">
        <v>401</v>
      </c>
      <c r="E143" s="3" t="s">
        <v>61</v>
      </c>
      <c r="F143" s="3" t="s">
        <v>67</v>
      </c>
      <c r="G143" s="3" t="s">
        <v>261</v>
      </c>
      <c r="H143" s="3" t="s">
        <v>503</v>
      </c>
      <c r="I143" s="15">
        <v>252211</v>
      </c>
      <c r="J143" s="15" t="s">
        <v>357</v>
      </c>
      <c r="K143" s="155" t="s">
        <v>358</v>
      </c>
      <c r="L143" s="144" t="s">
        <v>99</v>
      </c>
      <c r="M143" s="109">
        <v>100000</v>
      </c>
      <c r="N143" s="110" t="s">
        <v>404</v>
      </c>
      <c r="O143" s="15" t="s">
        <v>3</v>
      </c>
      <c r="P143" s="3" t="s">
        <v>122</v>
      </c>
      <c r="Q143" s="1" t="s">
        <v>0</v>
      </c>
      <c r="R143" s="55" t="s">
        <v>72</v>
      </c>
      <c r="T143" t="s">
        <v>505</v>
      </c>
    </row>
    <row r="144" spans="1:20" ht="12" customHeight="1" x14ac:dyDescent="0.2">
      <c r="A144" s="64">
        <v>46055</v>
      </c>
      <c r="B144" s="61" t="s">
        <v>164</v>
      </c>
      <c r="C144" s="15">
        <v>35253687</v>
      </c>
      <c r="D144" s="15" t="s">
        <v>401</v>
      </c>
      <c r="E144" s="3" t="s">
        <v>61</v>
      </c>
      <c r="F144" s="3" t="s">
        <v>67</v>
      </c>
      <c r="G144" s="3" t="s">
        <v>261</v>
      </c>
      <c r="H144" s="3" t="s">
        <v>503</v>
      </c>
      <c r="I144" s="15">
        <v>252211</v>
      </c>
      <c r="J144" s="15" t="s">
        <v>357</v>
      </c>
      <c r="K144" s="155" t="s">
        <v>358</v>
      </c>
      <c r="L144" s="62" t="s">
        <v>103</v>
      </c>
      <c r="M144" s="13">
        <v>300000</v>
      </c>
      <c r="N144" s="14" t="s">
        <v>405</v>
      </c>
      <c r="O144" s="15" t="s">
        <v>98</v>
      </c>
      <c r="P144" s="3" t="s">
        <v>122</v>
      </c>
      <c r="Q144" s="1" t="s">
        <v>0</v>
      </c>
      <c r="R144" s="55" t="s">
        <v>72</v>
      </c>
      <c r="T144" t="s">
        <v>505</v>
      </c>
    </row>
    <row r="145" spans="1:20" ht="12" customHeight="1" x14ac:dyDescent="0.2">
      <c r="A145" s="64">
        <v>46150</v>
      </c>
      <c r="B145" s="61" t="s">
        <v>164</v>
      </c>
      <c r="C145" s="15">
        <v>35253687</v>
      </c>
      <c r="D145" s="15" t="s">
        <v>401</v>
      </c>
      <c r="E145" s="3" t="s">
        <v>61</v>
      </c>
      <c r="F145" s="3" t="s">
        <v>67</v>
      </c>
      <c r="G145" s="3" t="s">
        <v>261</v>
      </c>
      <c r="H145" s="3" t="s">
        <v>503</v>
      </c>
      <c r="I145" s="15">
        <v>252211</v>
      </c>
      <c r="J145" s="15" t="s">
        <v>357</v>
      </c>
      <c r="K145" s="155" t="s">
        <v>358</v>
      </c>
      <c r="L145" s="62" t="s">
        <v>406</v>
      </c>
      <c r="M145" s="13">
        <v>0</v>
      </c>
      <c r="N145" s="14" t="s">
        <v>74</v>
      </c>
      <c r="O145" s="15" t="s">
        <v>64</v>
      </c>
      <c r="P145" s="3" t="s">
        <v>122</v>
      </c>
      <c r="Q145" s="1" t="s">
        <v>0</v>
      </c>
      <c r="R145" s="55" t="s">
        <v>72</v>
      </c>
      <c r="T145" t="s">
        <v>505</v>
      </c>
    </row>
    <row r="146" spans="1:20" ht="12" customHeight="1" x14ac:dyDescent="0.2">
      <c r="A146" s="64">
        <v>46150</v>
      </c>
      <c r="B146" s="61" t="s">
        <v>164</v>
      </c>
      <c r="C146" s="15">
        <v>35253687</v>
      </c>
      <c r="D146" s="15" t="s">
        <v>401</v>
      </c>
      <c r="E146" s="3" t="s">
        <v>61</v>
      </c>
      <c r="F146" s="3" t="s">
        <v>67</v>
      </c>
      <c r="G146" s="3" t="s">
        <v>261</v>
      </c>
      <c r="H146" s="3" t="s">
        <v>503</v>
      </c>
      <c r="I146" s="15">
        <v>252211</v>
      </c>
      <c r="J146" s="15" t="s">
        <v>357</v>
      </c>
      <c r="K146" s="155" t="s">
        <v>358</v>
      </c>
      <c r="L146" s="62" t="s">
        <v>273</v>
      </c>
      <c r="M146" s="13">
        <v>500000</v>
      </c>
      <c r="N146" s="65" t="s">
        <v>407</v>
      </c>
      <c r="O146" s="15" t="s">
        <v>7</v>
      </c>
      <c r="P146" s="3" t="s">
        <v>122</v>
      </c>
      <c r="Q146" s="1" t="s">
        <v>0</v>
      </c>
      <c r="R146" s="55" t="s">
        <v>72</v>
      </c>
      <c r="T146" t="s">
        <v>505</v>
      </c>
    </row>
    <row r="147" spans="1:20" ht="12" customHeight="1" x14ac:dyDescent="0.2">
      <c r="A147" s="64">
        <v>46150.794074074074</v>
      </c>
      <c r="B147" s="61" t="s">
        <v>164</v>
      </c>
      <c r="C147" s="15">
        <v>35253687</v>
      </c>
      <c r="D147" s="15" t="s">
        <v>401</v>
      </c>
      <c r="E147" s="3" t="s">
        <v>61</v>
      </c>
      <c r="F147" s="3" t="s">
        <v>67</v>
      </c>
      <c r="G147" s="3" t="s">
        <v>261</v>
      </c>
      <c r="H147" s="3" t="s">
        <v>503</v>
      </c>
      <c r="I147" s="15">
        <v>252211</v>
      </c>
      <c r="J147" s="15" t="s">
        <v>357</v>
      </c>
      <c r="K147" s="155" t="s">
        <v>358</v>
      </c>
      <c r="L147" s="62" t="s">
        <v>73</v>
      </c>
      <c r="M147" s="13">
        <v>0</v>
      </c>
      <c r="N147" s="12" t="s">
        <v>75</v>
      </c>
      <c r="O147" s="15" t="s">
        <v>64</v>
      </c>
      <c r="P147" s="3" t="s">
        <v>122</v>
      </c>
      <c r="Q147" s="1" t="s">
        <v>0</v>
      </c>
      <c r="R147" s="55" t="s">
        <v>72</v>
      </c>
      <c r="T147" t="s">
        <v>505</v>
      </c>
    </row>
    <row r="148" spans="1:20" ht="12" customHeight="1" x14ac:dyDescent="0.2">
      <c r="A148" s="64">
        <v>46150.794895833336</v>
      </c>
      <c r="B148" s="61" t="s">
        <v>164</v>
      </c>
      <c r="C148" s="15">
        <v>35253687</v>
      </c>
      <c r="D148" s="15" t="s">
        <v>401</v>
      </c>
      <c r="E148" s="3" t="s">
        <v>61</v>
      </c>
      <c r="F148" s="3" t="s">
        <v>67</v>
      </c>
      <c r="G148" s="3" t="s">
        <v>261</v>
      </c>
      <c r="H148" s="3" t="s">
        <v>503</v>
      </c>
      <c r="I148" s="15">
        <v>252211</v>
      </c>
      <c r="J148" s="15" t="s">
        <v>357</v>
      </c>
      <c r="K148" s="155" t="s">
        <v>358</v>
      </c>
      <c r="L148" s="62" t="s">
        <v>8</v>
      </c>
      <c r="M148" s="13">
        <v>0</v>
      </c>
      <c r="N148" s="12" t="s">
        <v>75</v>
      </c>
      <c r="O148" s="15" t="s">
        <v>64</v>
      </c>
      <c r="P148" s="3" t="s">
        <v>122</v>
      </c>
      <c r="Q148" s="1" t="s">
        <v>0</v>
      </c>
      <c r="R148" s="55" t="s">
        <v>72</v>
      </c>
      <c r="T148" t="s">
        <v>505</v>
      </c>
    </row>
    <row r="149" spans="1:20" ht="12" customHeight="1" x14ac:dyDescent="0.2">
      <c r="A149" s="64">
        <v>46150.796053240738</v>
      </c>
      <c r="B149" s="61" t="s">
        <v>164</v>
      </c>
      <c r="C149" s="15">
        <v>35253687</v>
      </c>
      <c r="D149" s="15" t="s">
        <v>401</v>
      </c>
      <c r="E149" s="3" t="s">
        <v>61</v>
      </c>
      <c r="F149" s="3" t="s">
        <v>67</v>
      </c>
      <c r="G149" s="3" t="s">
        <v>261</v>
      </c>
      <c r="H149" s="3" t="s">
        <v>503</v>
      </c>
      <c r="I149" s="15">
        <v>252211</v>
      </c>
      <c r="J149" s="15" t="s">
        <v>357</v>
      </c>
      <c r="K149" s="155" t="s">
        <v>358</v>
      </c>
      <c r="L149" s="62" t="s">
        <v>77</v>
      </c>
      <c r="M149" s="13">
        <v>0</v>
      </c>
      <c r="N149" s="12" t="s">
        <v>75</v>
      </c>
      <c r="O149" s="15" t="s">
        <v>64</v>
      </c>
      <c r="P149" s="3" t="s">
        <v>122</v>
      </c>
      <c r="Q149" s="1" t="s">
        <v>0</v>
      </c>
      <c r="R149" s="55" t="s">
        <v>72</v>
      </c>
      <c r="T149" t="s">
        <v>505</v>
      </c>
    </row>
    <row r="150" spans="1:20" ht="12" customHeight="1" x14ac:dyDescent="0.2">
      <c r="A150" s="64">
        <v>46247</v>
      </c>
      <c r="B150" s="61" t="s">
        <v>164</v>
      </c>
      <c r="C150" s="15">
        <v>35253687</v>
      </c>
      <c r="D150" s="15" t="s">
        <v>401</v>
      </c>
      <c r="E150" s="3" t="s">
        <v>61</v>
      </c>
      <c r="F150" s="3" t="s">
        <v>67</v>
      </c>
      <c r="G150" s="3" t="s">
        <v>261</v>
      </c>
      <c r="H150" s="3" t="s">
        <v>503</v>
      </c>
      <c r="I150" s="15">
        <v>252211</v>
      </c>
      <c r="J150" s="15" t="s">
        <v>357</v>
      </c>
      <c r="K150" s="155" t="s">
        <v>358</v>
      </c>
      <c r="L150" s="62" t="s">
        <v>478</v>
      </c>
      <c r="M150" s="13">
        <v>500000</v>
      </c>
      <c r="N150" s="150" t="s">
        <v>477</v>
      </c>
      <c r="O150" s="149" t="s">
        <v>98</v>
      </c>
      <c r="P150" s="149" t="s">
        <v>122</v>
      </c>
      <c r="Q150" s="1" t="s">
        <v>0</v>
      </c>
      <c r="R150" s="55" t="s">
        <v>72</v>
      </c>
      <c r="T150" t="s">
        <v>505</v>
      </c>
    </row>
    <row r="151" spans="1:20" ht="12" customHeight="1" x14ac:dyDescent="0.2">
      <c r="A151" s="64">
        <v>46116</v>
      </c>
      <c r="B151" s="61" t="s">
        <v>165</v>
      </c>
      <c r="C151" s="15">
        <v>1069733480</v>
      </c>
      <c r="D151" s="15" t="s">
        <v>64</v>
      </c>
      <c r="E151" s="3" t="s">
        <v>61</v>
      </c>
      <c r="F151" s="3" t="s">
        <v>67</v>
      </c>
      <c r="G151" s="3" t="s">
        <v>261</v>
      </c>
      <c r="H151" s="3" t="s">
        <v>503</v>
      </c>
      <c r="I151" s="15">
        <v>252211</v>
      </c>
      <c r="J151" s="15" t="s">
        <v>499</v>
      </c>
      <c r="K151" s="155" t="s">
        <v>502</v>
      </c>
      <c r="L151" s="62" t="s">
        <v>97</v>
      </c>
      <c r="M151" s="13">
        <v>100000</v>
      </c>
      <c r="N151" s="14" t="s">
        <v>408</v>
      </c>
      <c r="O151" s="15" t="s">
        <v>101</v>
      </c>
      <c r="P151" s="3" t="s">
        <v>122</v>
      </c>
      <c r="Q151" s="1" t="s">
        <v>0</v>
      </c>
      <c r="R151" s="156" t="s">
        <v>64</v>
      </c>
      <c r="T151" t="s">
        <v>505</v>
      </c>
    </row>
    <row r="152" spans="1:20" ht="12" customHeight="1" x14ac:dyDescent="0.2">
      <c r="A152" s="64">
        <v>46141.745196759257</v>
      </c>
      <c r="B152" s="61" t="s">
        <v>166</v>
      </c>
      <c r="C152" s="15">
        <v>52774800</v>
      </c>
      <c r="D152" s="15" t="s">
        <v>64</v>
      </c>
      <c r="E152" s="3" t="s">
        <v>61</v>
      </c>
      <c r="F152" s="3" t="s">
        <v>67</v>
      </c>
      <c r="G152" s="3" t="s">
        <v>261</v>
      </c>
      <c r="H152" s="3" t="s">
        <v>409</v>
      </c>
      <c r="I152" s="15">
        <v>252212</v>
      </c>
      <c r="J152" s="15" t="s">
        <v>295</v>
      </c>
      <c r="K152" s="12" t="s">
        <v>296</v>
      </c>
      <c r="L152" s="62" t="s">
        <v>73</v>
      </c>
      <c r="M152" s="13">
        <v>0</v>
      </c>
      <c r="N152" s="12" t="s">
        <v>75</v>
      </c>
      <c r="O152" s="15" t="s">
        <v>64</v>
      </c>
      <c r="P152" s="3" t="s">
        <v>122</v>
      </c>
      <c r="Q152" s="1" t="s">
        <v>506</v>
      </c>
      <c r="R152" s="55" t="s">
        <v>64</v>
      </c>
    </row>
    <row r="153" spans="1:20" ht="12" customHeight="1" x14ac:dyDescent="0.2">
      <c r="A153" s="64">
        <v>46142</v>
      </c>
      <c r="B153" s="61" t="s">
        <v>166</v>
      </c>
      <c r="C153" s="15">
        <v>52774800</v>
      </c>
      <c r="D153" s="15" t="s">
        <v>64</v>
      </c>
      <c r="E153" s="3" t="s">
        <v>61</v>
      </c>
      <c r="F153" s="3" t="s">
        <v>67</v>
      </c>
      <c r="G153" s="3" t="s">
        <v>261</v>
      </c>
      <c r="H153" s="3" t="s">
        <v>409</v>
      </c>
      <c r="I153" s="15">
        <v>252212</v>
      </c>
      <c r="J153" s="15" t="s">
        <v>295</v>
      </c>
      <c r="K153" s="12" t="s">
        <v>296</v>
      </c>
      <c r="L153" s="62" t="s">
        <v>95</v>
      </c>
      <c r="M153" s="13">
        <v>100000</v>
      </c>
      <c r="N153" s="65" t="s">
        <v>410</v>
      </c>
      <c r="O153" s="15" t="s">
        <v>101</v>
      </c>
      <c r="P153" s="3" t="s">
        <v>122</v>
      </c>
      <c r="Q153" s="1" t="s">
        <v>506</v>
      </c>
      <c r="R153" s="55" t="s">
        <v>64</v>
      </c>
    </row>
    <row r="154" spans="1:20" ht="12" customHeight="1" x14ac:dyDescent="0.2">
      <c r="A154" s="64">
        <v>46150</v>
      </c>
      <c r="B154" s="61" t="s">
        <v>167</v>
      </c>
      <c r="C154" s="15">
        <v>11223414</v>
      </c>
      <c r="D154" s="15" t="s">
        <v>64</v>
      </c>
      <c r="E154" s="3" t="s">
        <v>61</v>
      </c>
      <c r="F154" s="3" t="s">
        <v>67</v>
      </c>
      <c r="G154" s="3" t="s">
        <v>190</v>
      </c>
      <c r="H154" s="3" t="s">
        <v>411</v>
      </c>
      <c r="I154" s="15">
        <v>252432</v>
      </c>
      <c r="J154" s="15" t="s">
        <v>412</v>
      </c>
      <c r="K154" s="12" t="s">
        <v>413</v>
      </c>
      <c r="L154" s="62" t="s">
        <v>76</v>
      </c>
      <c r="M154" s="13">
        <v>200000</v>
      </c>
      <c r="N154" s="65" t="s">
        <v>414</v>
      </c>
      <c r="O154" s="15" t="s">
        <v>3</v>
      </c>
      <c r="P154" s="3" t="s">
        <v>122</v>
      </c>
      <c r="Q154" s="1" t="s">
        <v>506</v>
      </c>
      <c r="R154" s="55" t="s">
        <v>64</v>
      </c>
    </row>
    <row r="155" spans="1:20" ht="12" customHeight="1" x14ac:dyDescent="0.2">
      <c r="A155" s="64">
        <v>46150.774016203701</v>
      </c>
      <c r="B155" s="61" t="s">
        <v>167</v>
      </c>
      <c r="C155" s="15">
        <v>11223414</v>
      </c>
      <c r="D155" s="15" t="s">
        <v>64</v>
      </c>
      <c r="E155" s="3" t="s">
        <v>61</v>
      </c>
      <c r="F155" s="3" t="s">
        <v>67</v>
      </c>
      <c r="G155" s="3" t="s">
        <v>190</v>
      </c>
      <c r="H155" s="3" t="s">
        <v>411</v>
      </c>
      <c r="I155" s="15">
        <v>252432</v>
      </c>
      <c r="J155" s="15" t="s">
        <v>412</v>
      </c>
      <c r="K155" s="12" t="s">
        <v>413</v>
      </c>
      <c r="L155" s="62" t="s">
        <v>8</v>
      </c>
      <c r="M155" s="13">
        <v>0</v>
      </c>
      <c r="N155" s="12" t="s">
        <v>75</v>
      </c>
      <c r="O155" s="15" t="s">
        <v>64</v>
      </c>
      <c r="P155" s="3" t="s">
        <v>122</v>
      </c>
      <c r="Q155" s="1" t="s">
        <v>506</v>
      </c>
      <c r="R155" s="55" t="s">
        <v>64</v>
      </c>
    </row>
    <row r="156" spans="1:20" ht="12" customHeight="1" x14ac:dyDescent="0.2">
      <c r="A156" s="64">
        <v>46150.775810185187</v>
      </c>
      <c r="B156" s="61" t="s">
        <v>167</v>
      </c>
      <c r="C156" s="15">
        <v>11223414</v>
      </c>
      <c r="D156" s="15" t="s">
        <v>64</v>
      </c>
      <c r="E156" s="3" t="s">
        <v>61</v>
      </c>
      <c r="F156" s="3" t="s">
        <v>67</v>
      </c>
      <c r="G156" s="3" t="s">
        <v>190</v>
      </c>
      <c r="H156" s="3" t="s">
        <v>411</v>
      </c>
      <c r="I156" s="15">
        <v>252432</v>
      </c>
      <c r="J156" s="15" t="s">
        <v>412</v>
      </c>
      <c r="K156" s="12" t="s">
        <v>413</v>
      </c>
      <c r="L156" s="62" t="s">
        <v>8</v>
      </c>
      <c r="M156" s="13">
        <v>0</v>
      </c>
      <c r="N156" s="12" t="s">
        <v>75</v>
      </c>
      <c r="O156" s="15" t="s">
        <v>64</v>
      </c>
      <c r="P156" s="3" t="s">
        <v>122</v>
      </c>
      <c r="Q156" s="1" t="s">
        <v>506</v>
      </c>
      <c r="R156" s="55" t="s">
        <v>64</v>
      </c>
    </row>
    <row r="157" spans="1:20" ht="12" customHeight="1" x14ac:dyDescent="0.2">
      <c r="A157" s="64">
        <v>45980</v>
      </c>
      <c r="B157" s="61" t="s">
        <v>168</v>
      </c>
      <c r="C157" s="15">
        <v>1003515620</v>
      </c>
      <c r="D157" s="15" t="s">
        <v>415</v>
      </c>
      <c r="E157" s="3" t="s">
        <v>61</v>
      </c>
      <c r="F157" s="3" t="s">
        <v>67</v>
      </c>
      <c r="G157" s="3" t="s">
        <v>261</v>
      </c>
      <c r="H157" s="3" t="s">
        <v>503</v>
      </c>
      <c r="I157" s="15">
        <v>252211</v>
      </c>
      <c r="J157" s="15" t="s">
        <v>402</v>
      </c>
      <c r="K157" s="155" t="s">
        <v>416</v>
      </c>
      <c r="L157" s="62" t="s">
        <v>2</v>
      </c>
      <c r="M157" s="13">
        <v>100000</v>
      </c>
      <c r="N157" s="14" t="s">
        <v>417</v>
      </c>
      <c r="O157" s="15" t="s">
        <v>7</v>
      </c>
      <c r="P157" s="3" t="s">
        <v>122</v>
      </c>
      <c r="Q157" s="1" t="s">
        <v>0</v>
      </c>
      <c r="R157" s="55" t="s">
        <v>72</v>
      </c>
      <c r="T157" t="s">
        <v>505</v>
      </c>
    </row>
    <row r="158" spans="1:20" ht="12" customHeight="1" x14ac:dyDescent="0.2">
      <c r="A158" s="64">
        <v>46050</v>
      </c>
      <c r="B158" s="61" t="s">
        <v>168</v>
      </c>
      <c r="C158" s="15">
        <v>1003515620</v>
      </c>
      <c r="D158" s="15" t="s">
        <v>415</v>
      </c>
      <c r="E158" s="3" t="s">
        <v>61</v>
      </c>
      <c r="F158" s="3" t="s">
        <v>67</v>
      </c>
      <c r="G158" s="3" t="s">
        <v>261</v>
      </c>
      <c r="H158" s="3" t="s">
        <v>503</v>
      </c>
      <c r="I158" s="15">
        <v>252211</v>
      </c>
      <c r="J158" s="15" t="s">
        <v>402</v>
      </c>
      <c r="K158" s="155" t="s">
        <v>416</v>
      </c>
      <c r="L158" s="62" t="s">
        <v>103</v>
      </c>
      <c r="M158" s="13">
        <v>300000</v>
      </c>
      <c r="N158" s="14" t="s">
        <v>418</v>
      </c>
      <c r="O158" s="15" t="s">
        <v>3</v>
      </c>
      <c r="P158" s="3" t="s">
        <v>122</v>
      </c>
      <c r="Q158" s="1" t="s">
        <v>0</v>
      </c>
      <c r="R158" s="55" t="s">
        <v>72</v>
      </c>
      <c r="T158" t="s">
        <v>505</v>
      </c>
    </row>
    <row r="159" spans="1:20" ht="12" customHeight="1" x14ac:dyDescent="0.2">
      <c r="A159" s="64">
        <v>46055</v>
      </c>
      <c r="B159" s="61" t="s">
        <v>168</v>
      </c>
      <c r="C159" s="15">
        <v>1003515620</v>
      </c>
      <c r="D159" s="15" t="s">
        <v>415</v>
      </c>
      <c r="E159" s="3" t="s">
        <v>61</v>
      </c>
      <c r="F159" s="3" t="s">
        <v>67</v>
      </c>
      <c r="G159" s="3" t="s">
        <v>261</v>
      </c>
      <c r="H159" s="3" t="s">
        <v>503</v>
      </c>
      <c r="I159" s="15">
        <v>252211</v>
      </c>
      <c r="J159" s="15" t="s">
        <v>402</v>
      </c>
      <c r="K159" s="155" t="s">
        <v>416</v>
      </c>
      <c r="L159" s="62" t="s">
        <v>5</v>
      </c>
      <c r="M159" s="13">
        <v>150000</v>
      </c>
      <c r="N159" s="14" t="s">
        <v>419</v>
      </c>
      <c r="O159" s="15" t="s">
        <v>3</v>
      </c>
      <c r="P159" s="3" t="s">
        <v>122</v>
      </c>
      <c r="Q159" s="1" t="s">
        <v>0</v>
      </c>
      <c r="R159" s="55" t="s">
        <v>72</v>
      </c>
      <c r="T159" t="s">
        <v>505</v>
      </c>
    </row>
    <row r="160" spans="1:20" ht="12" customHeight="1" x14ac:dyDescent="0.2">
      <c r="A160" s="64">
        <v>46150</v>
      </c>
      <c r="B160" s="61" t="s">
        <v>168</v>
      </c>
      <c r="C160" s="15">
        <v>1003515620</v>
      </c>
      <c r="D160" s="15" t="s">
        <v>415</v>
      </c>
      <c r="E160" s="3" t="s">
        <v>61</v>
      </c>
      <c r="F160" s="3" t="s">
        <v>67</v>
      </c>
      <c r="G160" s="3" t="s">
        <v>261</v>
      </c>
      <c r="H160" s="3" t="s">
        <v>503</v>
      </c>
      <c r="I160" s="15">
        <v>252211</v>
      </c>
      <c r="J160" s="15" t="s">
        <v>402</v>
      </c>
      <c r="K160" s="155" t="s">
        <v>416</v>
      </c>
      <c r="L160" s="62" t="s">
        <v>76</v>
      </c>
      <c r="M160" s="13">
        <v>200000</v>
      </c>
      <c r="N160" s="65" t="s">
        <v>420</v>
      </c>
      <c r="O160" s="15" t="s">
        <v>3</v>
      </c>
      <c r="P160" s="3" t="s">
        <v>122</v>
      </c>
      <c r="Q160" s="1" t="s">
        <v>0</v>
      </c>
      <c r="R160" s="55" t="s">
        <v>72</v>
      </c>
      <c r="T160" t="s">
        <v>505</v>
      </c>
    </row>
    <row r="161" spans="1:20" ht="12" customHeight="1" x14ac:dyDescent="0.2">
      <c r="A161" s="64">
        <v>46150.809872685182</v>
      </c>
      <c r="B161" s="61" t="s">
        <v>168</v>
      </c>
      <c r="C161" s="15">
        <v>1003515620</v>
      </c>
      <c r="D161" s="15" t="s">
        <v>415</v>
      </c>
      <c r="E161" s="3" t="s">
        <v>61</v>
      </c>
      <c r="F161" s="3" t="s">
        <v>67</v>
      </c>
      <c r="G161" s="3" t="s">
        <v>261</v>
      </c>
      <c r="H161" s="3" t="s">
        <v>503</v>
      </c>
      <c r="I161" s="15">
        <v>252211</v>
      </c>
      <c r="J161" s="15" t="s">
        <v>402</v>
      </c>
      <c r="K161" s="155" t="s">
        <v>416</v>
      </c>
      <c r="L161" s="62" t="s">
        <v>2</v>
      </c>
      <c r="M161" s="13">
        <v>0</v>
      </c>
      <c r="N161" s="12" t="s">
        <v>75</v>
      </c>
      <c r="O161" s="15" t="s">
        <v>64</v>
      </c>
      <c r="P161" s="3" t="s">
        <v>122</v>
      </c>
      <c r="Q161" s="1" t="s">
        <v>0</v>
      </c>
      <c r="R161" s="55" t="s">
        <v>72</v>
      </c>
      <c r="T161" t="s">
        <v>505</v>
      </c>
    </row>
    <row r="162" spans="1:20" ht="12" customHeight="1" x14ac:dyDescent="0.2">
      <c r="A162" s="64">
        <v>46150.810960648145</v>
      </c>
      <c r="B162" s="61" t="s">
        <v>168</v>
      </c>
      <c r="C162" s="15">
        <v>1003515620</v>
      </c>
      <c r="D162" s="15" t="s">
        <v>415</v>
      </c>
      <c r="E162" s="3" t="s">
        <v>61</v>
      </c>
      <c r="F162" s="3" t="s">
        <v>67</v>
      </c>
      <c r="G162" s="3" t="s">
        <v>261</v>
      </c>
      <c r="H162" s="3" t="s">
        <v>503</v>
      </c>
      <c r="I162" s="15">
        <v>252211</v>
      </c>
      <c r="J162" s="15" t="s">
        <v>402</v>
      </c>
      <c r="K162" s="155" t="s">
        <v>416</v>
      </c>
      <c r="L162" s="62" t="s">
        <v>77</v>
      </c>
      <c r="M162" s="13">
        <v>0</v>
      </c>
      <c r="N162" s="12" t="s">
        <v>75</v>
      </c>
      <c r="O162" s="15" t="s">
        <v>64</v>
      </c>
      <c r="P162" s="3" t="s">
        <v>122</v>
      </c>
      <c r="Q162" s="1" t="s">
        <v>0</v>
      </c>
      <c r="R162" s="55" t="s">
        <v>72</v>
      </c>
      <c r="T162" t="s">
        <v>505</v>
      </c>
    </row>
    <row r="163" spans="1:20" ht="12" customHeight="1" x14ac:dyDescent="0.2">
      <c r="A163" s="64">
        <v>46149</v>
      </c>
      <c r="B163" s="61" t="s">
        <v>169</v>
      </c>
      <c r="C163" s="15">
        <v>11314129</v>
      </c>
      <c r="D163" s="15" t="s">
        <v>421</v>
      </c>
      <c r="E163" s="3" t="s">
        <v>61</v>
      </c>
      <c r="F163" s="3" t="s">
        <v>62</v>
      </c>
      <c r="G163" s="3" t="s">
        <v>65</v>
      </c>
      <c r="H163" s="3" t="s">
        <v>422</v>
      </c>
      <c r="I163" s="15">
        <v>760007</v>
      </c>
      <c r="J163" s="15" t="s">
        <v>423</v>
      </c>
      <c r="K163" s="12" t="s">
        <v>424</v>
      </c>
      <c r="L163" s="62" t="s">
        <v>95</v>
      </c>
      <c r="M163" s="13">
        <v>100000</v>
      </c>
      <c r="N163" s="65" t="s">
        <v>425</v>
      </c>
      <c r="O163" s="15" t="s">
        <v>101</v>
      </c>
      <c r="P163" s="3" t="s">
        <v>122</v>
      </c>
      <c r="Q163" s="1" t="s">
        <v>506</v>
      </c>
      <c r="R163" s="55" t="s">
        <v>72</v>
      </c>
    </row>
    <row r="164" spans="1:20" ht="12" customHeight="1" x14ac:dyDescent="0.2">
      <c r="A164" s="64">
        <v>46149.853993055556</v>
      </c>
      <c r="B164" s="61" t="s">
        <v>169</v>
      </c>
      <c r="C164" s="15">
        <v>11314129</v>
      </c>
      <c r="D164" s="15" t="s">
        <v>421</v>
      </c>
      <c r="E164" s="3" t="s">
        <v>61</v>
      </c>
      <c r="F164" s="3" t="s">
        <v>62</v>
      </c>
      <c r="G164" s="3" t="s">
        <v>65</v>
      </c>
      <c r="H164" s="3" t="s">
        <v>422</v>
      </c>
      <c r="I164" s="15">
        <v>760007</v>
      </c>
      <c r="J164" s="15" t="s">
        <v>423</v>
      </c>
      <c r="K164" s="12" t="s">
        <v>424</v>
      </c>
      <c r="L164" s="62" t="s">
        <v>77</v>
      </c>
      <c r="M164" s="13">
        <v>0</v>
      </c>
      <c r="N164" s="12" t="s">
        <v>75</v>
      </c>
      <c r="O164" s="15" t="s">
        <v>64</v>
      </c>
      <c r="P164" s="3" t="s">
        <v>122</v>
      </c>
      <c r="Q164" s="1" t="s">
        <v>506</v>
      </c>
      <c r="R164" s="55" t="s">
        <v>72</v>
      </c>
    </row>
    <row r="165" spans="1:20" ht="12" customHeight="1" x14ac:dyDescent="0.2">
      <c r="A165" s="64">
        <v>46132</v>
      </c>
      <c r="B165" s="61" t="s">
        <v>170</v>
      </c>
      <c r="C165" s="15">
        <v>51722032</v>
      </c>
      <c r="D165" s="15" t="s">
        <v>64</v>
      </c>
      <c r="E165" s="3" t="s">
        <v>61</v>
      </c>
      <c r="F165" s="3" t="s">
        <v>67</v>
      </c>
      <c r="G165" s="3" t="s">
        <v>426</v>
      </c>
      <c r="H165" s="3" t="s">
        <v>427</v>
      </c>
      <c r="I165" s="15">
        <v>250240</v>
      </c>
      <c r="J165" s="15" t="s">
        <v>428</v>
      </c>
      <c r="K165" s="12" t="s">
        <v>429</v>
      </c>
      <c r="L165" s="62" t="s">
        <v>47</v>
      </c>
      <c r="M165" s="13">
        <v>200000</v>
      </c>
      <c r="N165" s="12" t="s">
        <v>430</v>
      </c>
      <c r="O165" s="15" t="s">
        <v>1</v>
      </c>
      <c r="P165" s="3" t="s">
        <v>122</v>
      </c>
      <c r="Q165" s="1" t="s">
        <v>506</v>
      </c>
      <c r="R165" s="55" t="s">
        <v>64</v>
      </c>
    </row>
    <row r="166" spans="1:20" ht="12" customHeight="1" x14ac:dyDescent="0.2">
      <c r="A166" s="64">
        <v>46134.698923611111</v>
      </c>
      <c r="B166" s="61" t="s">
        <v>170</v>
      </c>
      <c r="C166" s="15">
        <v>51722032</v>
      </c>
      <c r="D166" s="15" t="s">
        <v>64</v>
      </c>
      <c r="E166" s="3" t="s">
        <v>61</v>
      </c>
      <c r="F166" s="3" t="s">
        <v>67</v>
      </c>
      <c r="G166" s="3" t="s">
        <v>426</v>
      </c>
      <c r="H166" s="3" t="s">
        <v>427</v>
      </c>
      <c r="I166" s="15">
        <v>250240</v>
      </c>
      <c r="J166" s="15" t="s">
        <v>428</v>
      </c>
      <c r="K166" s="12" t="s">
        <v>429</v>
      </c>
      <c r="L166" s="62" t="s">
        <v>77</v>
      </c>
      <c r="M166" s="13">
        <v>0</v>
      </c>
      <c r="N166" s="12" t="s">
        <v>75</v>
      </c>
      <c r="O166" s="15" t="s">
        <v>64</v>
      </c>
      <c r="P166" s="3" t="s">
        <v>122</v>
      </c>
      <c r="Q166" s="1" t="s">
        <v>506</v>
      </c>
      <c r="R166" s="55" t="s">
        <v>64</v>
      </c>
    </row>
    <row r="167" spans="1:20" ht="12" customHeight="1" x14ac:dyDescent="0.2">
      <c r="A167" s="64">
        <v>46149</v>
      </c>
      <c r="B167" s="61" t="s">
        <v>170</v>
      </c>
      <c r="C167" s="15">
        <v>51722032</v>
      </c>
      <c r="D167" s="15" t="s">
        <v>64</v>
      </c>
      <c r="E167" s="3" t="s">
        <v>61</v>
      </c>
      <c r="F167" s="3" t="s">
        <v>67</v>
      </c>
      <c r="G167" s="3" t="s">
        <v>426</v>
      </c>
      <c r="H167" s="3" t="s">
        <v>427</v>
      </c>
      <c r="I167" s="15">
        <v>250240</v>
      </c>
      <c r="J167" s="15" t="s">
        <v>428</v>
      </c>
      <c r="K167" s="12" t="s">
        <v>429</v>
      </c>
      <c r="L167" s="62" t="s">
        <v>95</v>
      </c>
      <c r="M167" s="13">
        <v>100000</v>
      </c>
      <c r="N167" s="65" t="s">
        <v>431</v>
      </c>
      <c r="O167" s="15" t="s">
        <v>1</v>
      </c>
      <c r="P167" s="3" t="s">
        <v>122</v>
      </c>
      <c r="Q167" s="1" t="s">
        <v>506</v>
      </c>
      <c r="R167" s="55" t="s">
        <v>64</v>
      </c>
    </row>
    <row r="168" spans="1:20" ht="12" customHeight="1" x14ac:dyDescent="0.2">
      <c r="A168" s="64">
        <v>46149.810393518521</v>
      </c>
      <c r="B168" s="61" t="s">
        <v>170</v>
      </c>
      <c r="C168" s="15">
        <v>51722032</v>
      </c>
      <c r="D168" s="15" t="s">
        <v>64</v>
      </c>
      <c r="E168" s="3" t="s">
        <v>61</v>
      </c>
      <c r="F168" s="3" t="s">
        <v>67</v>
      </c>
      <c r="G168" s="3" t="s">
        <v>426</v>
      </c>
      <c r="H168" s="3" t="s">
        <v>427</v>
      </c>
      <c r="I168" s="15">
        <v>250240</v>
      </c>
      <c r="J168" s="15" t="s">
        <v>428</v>
      </c>
      <c r="K168" s="12" t="s">
        <v>429</v>
      </c>
      <c r="L168" s="62" t="s">
        <v>80</v>
      </c>
      <c r="M168" s="13">
        <v>0</v>
      </c>
      <c r="N168" s="12" t="s">
        <v>75</v>
      </c>
      <c r="O168" s="15" t="s">
        <v>64</v>
      </c>
      <c r="P168" s="3" t="s">
        <v>122</v>
      </c>
      <c r="Q168" s="1" t="s">
        <v>506</v>
      </c>
      <c r="R168" s="55" t="s">
        <v>64</v>
      </c>
    </row>
    <row r="169" spans="1:20" ht="12" customHeight="1" x14ac:dyDescent="0.2">
      <c r="A169" s="64">
        <v>46117</v>
      </c>
      <c r="B169" s="61" t="s">
        <v>171</v>
      </c>
      <c r="C169" s="15">
        <v>39568047</v>
      </c>
      <c r="D169" s="15" t="s">
        <v>64</v>
      </c>
      <c r="E169" s="3" t="s">
        <v>61</v>
      </c>
      <c r="F169" s="3" t="s">
        <v>67</v>
      </c>
      <c r="G169" s="3" t="s">
        <v>190</v>
      </c>
      <c r="H169" s="3" t="s">
        <v>432</v>
      </c>
      <c r="I169" s="15">
        <v>252432</v>
      </c>
      <c r="J169" s="15" t="s">
        <v>433</v>
      </c>
      <c r="K169" s="12" t="s">
        <v>434</v>
      </c>
      <c r="L169" s="62" t="s">
        <v>97</v>
      </c>
      <c r="M169" s="13">
        <v>100000</v>
      </c>
      <c r="N169" s="14" t="s">
        <v>435</v>
      </c>
      <c r="O169" s="15" t="s">
        <v>3</v>
      </c>
      <c r="P169" s="3" t="s">
        <v>122</v>
      </c>
      <c r="Q169" s="1" t="s">
        <v>506</v>
      </c>
      <c r="R169" s="55" t="s">
        <v>64</v>
      </c>
    </row>
    <row r="170" spans="1:20" ht="12" customHeight="1" x14ac:dyDescent="0.2">
      <c r="A170" s="64">
        <v>46150</v>
      </c>
      <c r="B170" s="61" t="s">
        <v>171</v>
      </c>
      <c r="C170" s="15">
        <v>39568047</v>
      </c>
      <c r="D170" s="15" t="s">
        <v>64</v>
      </c>
      <c r="E170" s="3" t="s">
        <v>61</v>
      </c>
      <c r="F170" s="3" t="s">
        <v>67</v>
      </c>
      <c r="G170" s="3" t="s">
        <v>190</v>
      </c>
      <c r="H170" s="3" t="s">
        <v>432</v>
      </c>
      <c r="I170" s="15">
        <v>252432</v>
      </c>
      <c r="J170" s="15" t="s">
        <v>433</v>
      </c>
      <c r="K170" s="12" t="s">
        <v>434</v>
      </c>
      <c r="L170" s="62" t="s">
        <v>73</v>
      </c>
      <c r="M170" s="13">
        <v>0</v>
      </c>
      <c r="N170" s="14" t="s">
        <v>74</v>
      </c>
      <c r="O170" s="15" t="s">
        <v>64</v>
      </c>
      <c r="P170" s="3" t="s">
        <v>122</v>
      </c>
      <c r="Q170" s="1" t="s">
        <v>506</v>
      </c>
      <c r="R170" s="55" t="s">
        <v>64</v>
      </c>
    </row>
    <row r="171" spans="1:20" ht="12" customHeight="1" x14ac:dyDescent="0.2">
      <c r="A171" s="64">
        <v>46137</v>
      </c>
      <c r="B171" s="61" t="s">
        <v>172</v>
      </c>
      <c r="C171" s="15">
        <v>1071988369</v>
      </c>
      <c r="D171" s="15" t="s">
        <v>64</v>
      </c>
      <c r="E171" s="3" t="s">
        <v>61</v>
      </c>
      <c r="F171" s="3" t="s">
        <v>67</v>
      </c>
      <c r="G171" s="3" t="s">
        <v>110</v>
      </c>
      <c r="H171" s="3" t="s">
        <v>436</v>
      </c>
      <c r="I171" s="15">
        <v>250030</v>
      </c>
      <c r="J171" s="15" t="s">
        <v>437</v>
      </c>
      <c r="K171" s="12" t="s">
        <v>438</v>
      </c>
      <c r="L171" s="62" t="s">
        <v>2</v>
      </c>
      <c r="M171" s="13">
        <v>100000</v>
      </c>
      <c r="N171" s="12" t="s">
        <v>439</v>
      </c>
      <c r="O171" s="15" t="s">
        <v>3</v>
      </c>
      <c r="P171" s="3" t="s">
        <v>122</v>
      </c>
      <c r="Q171" s="1" t="s">
        <v>506</v>
      </c>
      <c r="R171" s="55" t="s">
        <v>64</v>
      </c>
    </row>
    <row r="172" spans="1:20" ht="12" customHeight="1" x14ac:dyDescent="0.2">
      <c r="A172" s="64">
        <v>46137.84915509259</v>
      </c>
      <c r="B172" s="61" t="s">
        <v>172</v>
      </c>
      <c r="C172" s="15">
        <v>1071988369</v>
      </c>
      <c r="D172" s="15" t="s">
        <v>64</v>
      </c>
      <c r="E172" s="3" t="s">
        <v>61</v>
      </c>
      <c r="F172" s="3" t="s">
        <v>67</v>
      </c>
      <c r="G172" s="3" t="s">
        <v>110</v>
      </c>
      <c r="H172" s="3" t="s">
        <v>436</v>
      </c>
      <c r="I172" s="15">
        <v>250030</v>
      </c>
      <c r="J172" s="15" t="s">
        <v>437</v>
      </c>
      <c r="K172" s="12" t="s">
        <v>438</v>
      </c>
      <c r="L172" s="62" t="s">
        <v>49</v>
      </c>
      <c r="M172" s="13">
        <v>0</v>
      </c>
      <c r="N172" s="12" t="s">
        <v>75</v>
      </c>
      <c r="O172" s="15" t="s">
        <v>64</v>
      </c>
      <c r="P172" s="3" t="s">
        <v>122</v>
      </c>
      <c r="Q172" s="1" t="s">
        <v>506</v>
      </c>
      <c r="R172" s="55" t="s">
        <v>64</v>
      </c>
    </row>
    <row r="173" spans="1:20" ht="12" customHeight="1" x14ac:dyDescent="0.2">
      <c r="A173" s="64">
        <v>45930.84684027778</v>
      </c>
      <c r="B173" s="61" t="s">
        <v>173</v>
      </c>
      <c r="C173" s="15">
        <v>1070610815</v>
      </c>
      <c r="D173" s="15" t="s">
        <v>440</v>
      </c>
      <c r="E173" s="3" t="s">
        <v>61</v>
      </c>
      <c r="F173" s="3" t="s">
        <v>67</v>
      </c>
      <c r="G173" s="3" t="s">
        <v>190</v>
      </c>
      <c r="H173" s="3" t="s">
        <v>378</v>
      </c>
      <c r="I173" s="15">
        <v>252431</v>
      </c>
      <c r="J173" s="15" t="s">
        <v>271</v>
      </c>
      <c r="K173" s="12" t="s">
        <v>441</v>
      </c>
      <c r="L173" s="145" t="s">
        <v>99</v>
      </c>
      <c r="M173" s="146">
        <v>200000</v>
      </c>
      <c r="N173" s="147" t="s">
        <v>442</v>
      </c>
      <c r="O173" s="15" t="s">
        <v>3</v>
      </c>
      <c r="P173" s="3" t="s">
        <v>122</v>
      </c>
      <c r="Q173" s="1" t="s">
        <v>0</v>
      </c>
      <c r="R173" s="55" t="s">
        <v>72</v>
      </c>
      <c r="T173" t="s">
        <v>505</v>
      </c>
    </row>
    <row r="174" spans="1:20" ht="12" customHeight="1" x14ac:dyDescent="0.2">
      <c r="A174" s="64">
        <v>46012</v>
      </c>
      <c r="B174" s="61" t="s">
        <v>173</v>
      </c>
      <c r="C174" s="15">
        <v>1070610815</v>
      </c>
      <c r="D174" s="15" t="s">
        <v>440</v>
      </c>
      <c r="E174" s="3" t="s">
        <v>61</v>
      </c>
      <c r="F174" s="3" t="s">
        <v>67</v>
      </c>
      <c r="G174" s="3" t="s">
        <v>190</v>
      </c>
      <c r="H174" s="3" t="s">
        <v>378</v>
      </c>
      <c r="I174" s="15">
        <v>252431</v>
      </c>
      <c r="J174" s="15" t="s">
        <v>271</v>
      </c>
      <c r="K174" s="12" t="s">
        <v>441</v>
      </c>
      <c r="L174" s="145" t="s">
        <v>107</v>
      </c>
      <c r="M174" s="146">
        <v>100000</v>
      </c>
      <c r="N174" s="147" t="s">
        <v>443</v>
      </c>
      <c r="O174" s="15" t="s">
        <v>3</v>
      </c>
      <c r="P174" s="3" t="s">
        <v>122</v>
      </c>
      <c r="Q174" s="1" t="s">
        <v>0</v>
      </c>
      <c r="R174" s="55" t="s">
        <v>72</v>
      </c>
      <c r="T174" t="s">
        <v>505</v>
      </c>
    </row>
    <row r="175" spans="1:20" ht="12" customHeight="1" x14ac:dyDescent="0.2">
      <c r="A175" s="64">
        <v>46026</v>
      </c>
      <c r="B175" s="61" t="s">
        <v>173</v>
      </c>
      <c r="C175" s="15">
        <v>1070610815</v>
      </c>
      <c r="D175" s="15" t="s">
        <v>440</v>
      </c>
      <c r="E175" s="3" t="s">
        <v>61</v>
      </c>
      <c r="F175" s="3" t="s">
        <v>67</v>
      </c>
      <c r="G175" s="3" t="s">
        <v>190</v>
      </c>
      <c r="H175" s="3" t="s">
        <v>378</v>
      </c>
      <c r="I175" s="15">
        <v>252431</v>
      </c>
      <c r="J175" s="15" t="s">
        <v>271</v>
      </c>
      <c r="K175" s="12" t="s">
        <v>441</v>
      </c>
      <c r="L175" s="145" t="s">
        <v>100</v>
      </c>
      <c r="M175" s="146">
        <v>100000</v>
      </c>
      <c r="N175" s="147" t="s">
        <v>444</v>
      </c>
      <c r="O175" s="15" t="s">
        <v>3</v>
      </c>
      <c r="P175" s="3" t="s">
        <v>122</v>
      </c>
      <c r="Q175" s="1" t="s">
        <v>0</v>
      </c>
      <c r="R175" s="55" t="s">
        <v>72</v>
      </c>
      <c r="T175" t="s">
        <v>505</v>
      </c>
    </row>
    <row r="176" spans="1:20" ht="12" customHeight="1" x14ac:dyDescent="0.2">
      <c r="A176" s="64">
        <v>46146</v>
      </c>
      <c r="B176" s="61" t="s">
        <v>173</v>
      </c>
      <c r="C176" s="15">
        <v>1070610815</v>
      </c>
      <c r="D176" s="15" t="s">
        <v>440</v>
      </c>
      <c r="E176" s="3" t="s">
        <v>61</v>
      </c>
      <c r="F176" s="3" t="s">
        <v>67</v>
      </c>
      <c r="G176" s="3" t="s">
        <v>190</v>
      </c>
      <c r="H176" s="3" t="s">
        <v>378</v>
      </c>
      <c r="I176" s="15">
        <v>252431</v>
      </c>
      <c r="J176" s="15" t="s">
        <v>271</v>
      </c>
      <c r="K176" s="12" t="s">
        <v>441</v>
      </c>
      <c r="L176" s="62" t="s">
        <v>104</v>
      </c>
      <c r="M176" s="13">
        <v>300000</v>
      </c>
      <c r="N176" s="65" t="s">
        <v>445</v>
      </c>
      <c r="O176" s="15" t="s">
        <v>1</v>
      </c>
      <c r="P176" s="3" t="s">
        <v>122</v>
      </c>
      <c r="Q176" s="1" t="s">
        <v>0</v>
      </c>
      <c r="R176" s="55" t="s">
        <v>72</v>
      </c>
      <c r="T176" t="s">
        <v>505</v>
      </c>
    </row>
    <row r="177" spans="1:20" ht="12" customHeight="1" x14ac:dyDescent="0.2">
      <c r="A177" s="64">
        <v>46146</v>
      </c>
      <c r="B177" s="61" t="s">
        <v>173</v>
      </c>
      <c r="C177" s="15">
        <v>1070610815</v>
      </c>
      <c r="D177" s="15" t="s">
        <v>440</v>
      </c>
      <c r="E177" s="3" t="s">
        <v>61</v>
      </c>
      <c r="F177" s="3" t="s">
        <v>67</v>
      </c>
      <c r="G177" s="3" t="s">
        <v>190</v>
      </c>
      <c r="H177" s="3" t="s">
        <v>378</v>
      </c>
      <c r="I177" s="15">
        <v>252431</v>
      </c>
      <c r="J177" s="15" t="s">
        <v>271</v>
      </c>
      <c r="K177" s="12" t="s">
        <v>441</v>
      </c>
      <c r="L177" s="62" t="s">
        <v>104</v>
      </c>
      <c r="M177" s="13">
        <v>300000</v>
      </c>
      <c r="N177" s="65" t="s">
        <v>446</v>
      </c>
      <c r="O177" s="15" t="s">
        <v>1</v>
      </c>
      <c r="P177" s="3" t="s">
        <v>122</v>
      </c>
      <c r="Q177" s="1" t="s">
        <v>0</v>
      </c>
      <c r="R177" s="55" t="s">
        <v>72</v>
      </c>
      <c r="T177" t="s">
        <v>505</v>
      </c>
    </row>
    <row r="178" spans="1:20" ht="12" customHeight="1" x14ac:dyDescent="0.2">
      <c r="A178" s="64">
        <v>46146.750775462962</v>
      </c>
      <c r="B178" s="61" t="s">
        <v>173</v>
      </c>
      <c r="C178" s="15">
        <v>1070610815</v>
      </c>
      <c r="D178" s="15" t="s">
        <v>440</v>
      </c>
      <c r="E178" s="3" t="s">
        <v>61</v>
      </c>
      <c r="F178" s="3" t="s">
        <v>67</v>
      </c>
      <c r="G178" s="3" t="s">
        <v>190</v>
      </c>
      <c r="H178" s="3" t="s">
        <v>378</v>
      </c>
      <c r="I178" s="15">
        <v>252431</v>
      </c>
      <c r="J178" s="15" t="s">
        <v>271</v>
      </c>
      <c r="K178" s="12" t="s">
        <v>441</v>
      </c>
      <c r="L178" s="62" t="s">
        <v>73</v>
      </c>
      <c r="M178" s="13">
        <v>0</v>
      </c>
      <c r="N178" s="12" t="s">
        <v>75</v>
      </c>
      <c r="O178" s="15" t="s">
        <v>64</v>
      </c>
      <c r="P178" s="3" t="s">
        <v>122</v>
      </c>
      <c r="Q178" s="1" t="s">
        <v>0</v>
      </c>
      <c r="R178" s="55" t="s">
        <v>72</v>
      </c>
      <c r="T178" t="s">
        <v>505</v>
      </c>
    </row>
    <row r="179" spans="1:20" ht="12" customHeight="1" x14ac:dyDescent="0.2">
      <c r="A179" s="64">
        <v>46146.752129629633</v>
      </c>
      <c r="B179" s="61" t="s">
        <v>173</v>
      </c>
      <c r="C179" s="15">
        <v>1070610815</v>
      </c>
      <c r="D179" s="15" t="s">
        <v>440</v>
      </c>
      <c r="E179" s="3" t="s">
        <v>61</v>
      </c>
      <c r="F179" s="3" t="s">
        <v>67</v>
      </c>
      <c r="G179" s="3" t="s">
        <v>190</v>
      </c>
      <c r="H179" s="3" t="s">
        <v>378</v>
      </c>
      <c r="I179" s="15">
        <v>252431</v>
      </c>
      <c r="J179" s="15" t="s">
        <v>271</v>
      </c>
      <c r="K179" s="12" t="s">
        <v>441</v>
      </c>
      <c r="L179" s="62" t="s">
        <v>78</v>
      </c>
      <c r="M179" s="13">
        <v>0</v>
      </c>
      <c r="N179" s="12" t="s">
        <v>75</v>
      </c>
      <c r="O179" s="15" t="s">
        <v>64</v>
      </c>
      <c r="P179" s="3" t="s">
        <v>122</v>
      </c>
      <c r="Q179" s="1" t="s">
        <v>0</v>
      </c>
      <c r="R179" s="55" t="s">
        <v>72</v>
      </c>
      <c r="T179" t="s">
        <v>505</v>
      </c>
    </row>
    <row r="180" spans="1:20" ht="12" customHeight="1" x14ac:dyDescent="0.2">
      <c r="A180" s="64">
        <v>46146.753819444442</v>
      </c>
      <c r="B180" s="61" t="s">
        <v>173</v>
      </c>
      <c r="C180" s="15">
        <v>1070610815</v>
      </c>
      <c r="D180" s="15" t="s">
        <v>440</v>
      </c>
      <c r="E180" s="3" t="s">
        <v>61</v>
      </c>
      <c r="F180" s="3" t="s">
        <v>67</v>
      </c>
      <c r="G180" s="3" t="s">
        <v>190</v>
      </c>
      <c r="H180" s="3" t="s">
        <v>378</v>
      </c>
      <c r="I180" s="15">
        <v>252431</v>
      </c>
      <c r="J180" s="15" t="s">
        <v>271</v>
      </c>
      <c r="K180" s="12" t="s">
        <v>441</v>
      </c>
      <c r="L180" s="62" t="s">
        <v>8</v>
      </c>
      <c r="M180" s="13">
        <v>0</v>
      </c>
      <c r="N180" s="12" t="s">
        <v>75</v>
      </c>
      <c r="O180" s="15" t="s">
        <v>64</v>
      </c>
      <c r="P180" s="3" t="s">
        <v>122</v>
      </c>
      <c r="Q180" s="1" t="s">
        <v>0</v>
      </c>
      <c r="R180" s="55" t="s">
        <v>72</v>
      </c>
      <c r="T180" t="s">
        <v>505</v>
      </c>
    </row>
    <row r="181" spans="1:20" ht="12" customHeight="1" x14ac:dyDescent="0.2">
      <c r="A181" s="64">
        <v>46147.646736111114</v>
      </c>
      <c r="B181" s="61" t="s">
        <v>173</v>
      </c>
      <c r="C181" s="15">
        <v>1070610815</v>
      </c>
      <c r="D181" s="15" t="s">
        <v>440</v>
      </c>
      <c r="E181" s="3" t="s">
        <v>61</v>
      </c>
      <c r="F181" s="3" t="s">
        <v>67</v>
      </c>
      <c r="G181" s="3" t="s">
        <v>190</v>
      </c>
      <c r="H181" s="3" t="s">
        <v>378</v>
      </c>
      <c r="I181" s="15">
        <v>252431</v>
      </c>
      <c r="J181" s="15" t="s">
        <v>271</v>
      </c>
      <c r="K181" s="12" t="s">
        <v>441</v>
      </c>
      <c r="L181" s="62" t="s">
        <v>77</v>
      </c>
      <c r="M181" s="13">
        <v>0</v>
      </c>
      <c r="N181" s="12" t="s">
        <v>75</v>
      </c>
      <c r="O181" s="15" t="s">
        <v>64</v>
      </c>
      <c r="P181" s="3" t="s">
        <v>122</v>
      </c>
      <c r="Q181" s="1" t="s">
        <v>0</v>
      </c>
      <c r="R181" s="55" t="s">
        <v>72</v>
      </c>
      <c r="T181" t="s">
        <v>505</v>
      </c>
    </row>
    <row r="182" spans="1:20" ht="12" customHeight="1" x14ac:dyDescent="0.2">
      <c r="A182" s="64">
        <v>46147.648611111108</v>
      </c>
      <c r="B182" s="61" t="s">
        <v>173</v>
      </c>
      <c r="C182" s="15">
        <v>1070610815</v>
      </c>
      <c r="D182" s="15" t="s">
        <v>440</v>
      </c>
      <c r="E182" s="3" t="s">
        <v>61</v>
      </c>
      <c r="F182" s="3" t="s">
        <v>67</v>
      </c>
      <c r="G182" s="3" t="s">
        <v>190</v>
      </c>
      <c r="H182" s="3" t="s">
        <v>378</v>
      </c>
      <c r="I182" s="15">
        <v>252431</v>
      </c>
      <c r="J182" s="15" t="s">
        <v>271</v>
      </c>
      <c r="K182" s="12" t="s">
        <v>441</v>
      </c>
      <c r="L182" s="62" t="s">
        <v>8</v>
      </c>
      <c r="M182" s="13">
        <v>0</v>
      </c>
      <c r="N182" s="12" t="s">
        <v>75</v>
      </c>
      <c r="O182" s="15" t="s">
        <v>64</v>
      </c>
      <c r="P182" s="3" t="s">
        <v>122</v>
      </c>
      <c r="Q182" s="1" t="s">
        <v>0</v>
      </c>
      <c r="R182" s="55" t="s">
        <v>72</v>
      </c>
      <c r="T182" t="s">
        <v>505</v>
      </c>
    </row>
    <row r="183" spans="1:20" ht="12" customHeight="1" x14ac:dyDescent="0.2">
      <c r="A183" s="64">
        <v>46147.649942129632</v>
      </c>
      <c r="B183" s="61" t="s">
        <v>173</v>
      </c>
      <c r="C183" s="15">
        <v>1070610815</v>
      </c>
      <c r="D183" s="15" t="s">
        <v>440</v>
      </c>
      <c r="E183" s="3" t="s">
        <v>61</v>
      </c>
      <c r="F183" s="3" t="s">
        <v>67</v>
      </c>
      <c r="G183" s="3" t="s">
        <v>190</v>
      </c>
      <c r="H183" s="3" t="s">
        <v>378</v>
      </c>
      <c r="I183" s="15">
        <v>252431</v>
      </c>
      <c r="J183" s="15" t="s">
        <v>271</v>
      </c>
      <c r="K183" s="12" t="s">
        <v>441</v>
      </c>
      <c r="L183" s="62" t="s">
        <v>73</v>
      </c>
      <c r="M183" s="13">
        <v>0</v>
      </c>
      <c r="N183" s="12" t="s">
        <v>75</v>
      </c>
      <c r="O183" s="15" t="s">
        <v>64</v>
      </c>
      <c r="P183" s="3" t="s">
        <v>122</v>
      </c>
      <c r="Q183" s="1" t="s">
        <v>0</v>
      </c>
      <c r="R183" s="55" t="s">
        <v>72</v>
      </c>
      <c r="T183" t="s">
        <v>505</v>
      </c>
    </row>
    <row r="184" spans="1:20" ht="12" customHeight="1" x14ac:dyDescent="0.2">
      <c r="A184" s="64">
        <v>45938.76730324074</v>
      </c>
      <c r="B184" s="61" t="s">
        <v>174</v>
      </c>
      <c r="C184" s="15">
        <v>41602697</v>
      </c>
      <c r="D184" s="15" t="s">
        <v>447</v>
      </c>
      <c r="E184" s="3" t="s">
        <v>61</v>
      </c>
      <c r="F184" s="3" t="s">
        <v>492</v>
      </c>
      <c r="G184" s="3" t="s">
        <v>491</v>
      </c>
      <c r="H184" s="3" t="s">
        <v>448</v>
      </c>
      <c r="I184" s="15">
        <v>111921</v>
      </c>
      <c r="J184" s="15" t="s">
        <v>449</v>
      </c>
      <c r="K184" s="12" t="s">
        <v>450</v>
      </c>
      <c r="L184" s="62" t="s">
        <v>2</v>
      </c>
      <c r="M184" s="13">
        <v>100000</v>
      </c>
      <c r="N184" s="14" t="s">
        <v>451</v>
      </c>
      <c r="O184" s="15" t="s">
        <v>3</v>
      </c>
      <c r="P184" s="3" t="s">
        <v>122</v>
      </c>
      <c r="Q184" s="1" t="s">
        <v>506</v>
      </c>
      <c r="R184" s="55" t="s">
        <v>72</v>
      </c>
    </row>
    <row r="185" spans="1:20" ht="12" customHeight="1" x14ac:dyDescent="0.2">
      <c r="A185" s="64">
        <v>46150</v>
      </c>
      <c r="B185" s="61" t="s">
        <v>174</v>
      </c>
      <c r="C185" s="15">
        <v>41602697</v>
      </c>
      <c r="D185" s="15" t="s">
        <v>447</v>
      </c>
      <c r="E185" s="3" t="s">
        <v>61</v>
      </c>
      <c r="F185" s="3" t="s">
        <v>492</v>
      </c>
      <c r="G185" s="3" t="s">
        <v>491</v>
      </c>
      <c r="H185" s="3" t="s">
        <v>448</v>
      </c>
      <c r="I185" s="15">
        <v>111921</v>
      </c>
      <c r="J185" s="15" t="s">
        <v>449</v>
      </c>
      <c r="K185" s="12" t="s">
        <v>450</v>
      </c>
      <c r="L185" s="62" t="s">
        <v>73</v>
      </c>
      <c r="M185" s="13">
        <v>0</v>
      </c>
      <c r="N185" s="14" t="s">
        <v>74</v>
      </c>
      <c r="O185" s="15" t="s">
        <v>64</v>
      </c>
      <c r="P185" s="3" t="s">
        <v>122</v>
      </c>
      <c r="Q185" s="1" t="s">
        <v>506</v>
      </c>
      <c r="R185" s="55" t="s">
        <v>72</v>
      </c>
    </row>
    <row r="186" spans="1:20" ht="12" customHeight="1" x14ac:dyDescent="0.2">
      <c r="A186" s="64">
        <v>46175</v>
      </c>
      <c r="B186" s="61" t="s">
        <v>462</v>
      </c>
      <c r="C186" s="15">
        <v>80384286</v>
      </c>
      <c r="D186" s="15" t="s">
        <v>64</v>
      </c>
      <c r="E186" s="3" t="s">
        <v>61</v>
      </c>
      <c r="F186" s="3" t="s">
        <v>67</v>
      </c>
      <c r="G186" s="3" t="s">
        <v>190</v>
      </c>
      <c r="H186" s="3" t="s">
        <v>494</v>
      </c>
      <c r="I186" s="15">
        <v>252431</v>
      </c>
      <c r="J186" s="15" t="s">
        <v>463</v>
      </c>
      <c r="K186" s="12" t="s">
        <v>464</v>
      </c>
      <c r="L186" s="62" t="s">
        <v>2</v>
      </c>
      <c r="M186" s="13">
        <v>40000</v>
      </c>
      <c r="N186" s="150" t="s">
        <v>472</v>
      </c>
      <c r="O186" s="149" t="s">
        <v>98</v>
      </c>
      <c r="P186" s="149" t="s">
        <v>122</v>
      </c>
      <c r="Q186" s="1" t="s">
        <v>0</v>
      </c>
      <c r="R186" s="55" t="s">
        <v>64</v>
      </c>
      <c r="T186" t="s">
        <v>505</v>
      </c>
    </row>
    <row r="187" spans="1:20" ht="12" customHeight="1" x14ac:dyDescent="0.2">
      <c r="A187" s="64">
        <v>45939.772835648146</v>
      </c>
      <c r="B187" s="61" t="s">
        <v>175</v>
      </c>
      <c r="C187" s="15">
        <v>39566851</v>
      </c>
      <c r="D187" s="15" t="s">
        <v>64</v>
      </c>
      <c r="E187" s="3" t="s">
        <v>61</v>
      </c>
      <c r="F187" s="3" t="s">
        <v>67</v>
      </c>
      <c r="G187" s="3" t="s">
        <v>190</v>
      </c>
      <c r="H187" s="3" t="s">
        <v>452</v>
      </c>
      <c r="I187" s="15">
        <v>252432</v>
      </c>
      <c r="J187" s="15" t="s">
        <v>453</v>
      </c>
      <c r="K187" s="12" t="s">
        <v>454</v>
      </c>
      <c r="L187" s="144" t="s">
        <v>108</v>
      </c>
      <c r="M187" s="109">
        <v>100000</v>
      </c>
      <c r="N187" s="110" t="s">
        <v>455</v>
      </c>
      <c r="O187" s="15" t="s">
        <v>3</v>
      </c>
      <c r="P187" s="3" t="s">
        <v>122</v>
      </c>
      <c r="Q187" s="1" t="s">
        <v>506</v>
      </c>
      <c r="R187" s="55" t="s">
        <v>72</v>
      </c>
    </row>
    <row r="188" spans="1:20" ht="12" customHeight="1" x14ac:dyDescent="0.2">
      <c r="A188" s="64">
        <v>46050</v>
      </c>
      <c r="B188" s="61" t="s">
        <v>175</v>
      </c>
      <c r="C188" s="15">
        <v>39566851</v>
      </c>
      <c r="D188" s="15" t="s">
        <v>64</v>
      </c>
      <c r="E188" s="3" t="s">
        <v>61</v>
      </c>
      <c r="F188" s="3" t="s">
        <v>67</v>
      </c>
      <c r="G188" s="3" t="s">
        <v>190</v>
      </c>
      <c r="H188" s="3" t="s">
        <v>452</v>
      </c>
      <c r="I188" s="15">
        <v>252432</v>
      </c>
      <c r="J188" s="15" t="s">
        <v>453</v>
      </c>
      <c r="K188" s="12" t="s">
        <v>454</v>
      </c>
      <c r="L188" s="144" t="s">
        <v>66</v>
      </c>
      <c r="M188" s="109">
        <v>100000</v>
      </c>
      <c r="N188" s="110" t="s">
        <v>456</v>
      </c>
      <c r="O188" s="15" t="s">
        <v>3</v>
      </c>
      <c r="P188" s="3" t="s">
        <v>122</v>
      </c>
      <c r="Q188" s="1" t="s">
        <v>506</v>
      </c>
      <c r="R188" s="55" t="s">
        <v>72</v>
      </c>
    </row>
    <row r="189" spans="1:20" ht="12" customHeight="1" x14ac:dyDescent="0.2">
      <c r="A189" s="64">
        <v>46150</v>
      </c>
      <c r="B189" s="61" t="s">
        <v>175</v>
      </c>
      <c r="C189" s="15">
        <v>39566851</v>
      </c>
      <c r="D189" s="15" t="s">
        <v>64</v>
      </c>
      <c r="E189" s="3" t="s">
        <v>61</v>
      </c>
      <c r="F189" s="3" t="s">
        <v>67</v>
      </c>
      <c r="G189" s="3" t="s">
        <v>190</v>
      </c>
      <c r="H189" s="3" t="s">
        <v>452</v>
      </c>
      <c r="I189" s="15">
        <v>252432</v>
      </c>
      <c r="J189" s="15" t="s">
        <v>453</v>
      </c>
      <c r="K189" s="12" t="s">
        <v>454</v>
      </c>
      <c r="L189" s="62" t="s">
        <v>68</v>
      </c>
      <c r="M189" s="13">
        <v>0</v>
      </c>
      <c r="N189" s="14" t="s">
        <v>74</v>
      </c>
      <c r="O189" s="15" t="s">
        <v>64</v>
      </c>
      <c r="P189" s="3" t="s">
        <v>122</v>
      </c>
      <c r="Q189" s="1" t="s">
        <v>506</v>
      </c>
      <c r="R189" s="55" t="s">
        <v>72</v>
      </c>
    </row>
    <row r="190" spans="1:20" ht="12" customHeight="1" x14ac:dyDescent="0.2">
      <c r="A190" s="64">
        <v>45945.661759259259</v>
      </c>
      <c r="B190" s="61" t="s">
        <v>176</v>
      </c>
      <c r="C190" s="15">
        <v>1010032581</v>
      </c>
      <c r="D190" s="15" t="s">
        <v>64</v>
      </c>
      <c r="E190" s="3" t="s">
        <v>61</v>
      </c>
      <c r="F190" s="3" t="s">
        <v>492</v>
      </c>
      <c r="G190" s="3" t="s">
        <v>491</v>
      </c>
      <c r="H190" s="3" t="s">
        <v>458</v>
      </c>
      <c r="I190" s="15">
        <v>110921</v>
      </c>
      <c r="J190" s="15" t="s">
        <v>459</v>
      </c>
      <c r="K190" s="12" t="s">
        <v>460</v>
      </c>
      <c r="L190" s="62" t="s">
        <v>2</v>
      </c>
      <c r="M190" s="13">
        <v>100000</v>
      </c>
      <c r="N190" s="12" t="s">
        <v>461</v>
      </c>
      <c r="O190" s="15" t="s">
        <v>96</v>
      </c>
      <c r="P190" s="3" t="s">
        <v>122</v>
      </c>
      <c r="Q190" s="1" t="s">
        <v>506</v>
      </c>
      <c r="R190" s="55" t="s">
        <v>64</v>
      </c>
    </row>
    <row r="191" spans="1:20" ht="12" customHeight="1" x14ac:dyDescent="0.2">
      <c r="A191" s="154">
        <v>46272</v>
      </c>
      <c r="B191" s="61" t="s">
        <v>161</v>
      </c>
      <c r="C191" s="15">
        <v>55169200</v>
      </c>
      <c r="D191" s="15" t="s">
        <v>64</v>
      </c>
      <c r="E191" s="3" t="s">
        <v>61</v>
      </c>
      <c r="F191" s="3" t="s">
        <v>91</v>
      </c>
      <c r="G191" s="3" t="s">
        <v>92</v>
      </c>
      <c r="H191" s="3" t="s">
        <v>382</v>
      </c>
      <c r="I191" s="15">
        <v>410010</v>
      </c>
      <c r="J191" s="15" t="s">
        <v>383</v>
      </c>
      <c r="K191" s="12" t="s">
        <v>384</v>
      </c>
      <c r="L191" s="62" t="s">
        <v>475</v>
      </c>
      <c r="M191" s="13">
        <v>140000</v>
      </c>
      <c r="N191" s="148" t="s">
        <v>481</v>
      </c>
      <c r="O191" s="149" t="s">
        <v>3</v>
      </c>
      <c r="P191" s="149" t="s">
        <v>122</v>
      </c>
      <c r="Q191" s="1" t="s">
        <v>506</v>
      </c>
      <c r="R191" s="55" t="s">
        <v>64</v>
      </c>
    </row>
    <row r="192" spans="1:20" ht="12" customHeight="1" x14ac:dyDescent="0.2">
      <c r="A192" s="64">
        <v>46276</v>
      </c>
      <c r="B192" s="61" t="s">
        <v>170</v>
      </c>
      <c r="C192" s="15">
        <v>51722032</v>
      </c>
      <c r="D192" s="15" t="s">
        <v>64</v>
      </c>
      <c r="E192" s="3" t="s">
        <v>61</v>
      </c>
      <c r="F192" s="3" t="s">
        <v>67</v>
      </c>
      <c r="G192" s="3" t="s">
        <v>426</v>
      </c>
      <c r="H192" s="3" t="s">
        <v>427</v>
      </c>
      <c r="I192" s="15">
        <v>250240</v>
      </c>
      <c r="J192" s="15" t="s">
        <v>428</v>
      </c>
      <c r="K192" s="12" t="s">
        <v>429</v>
      </c>
      <c r="L192" s="62" t="s">
        <v>482</v>
      </c>
      <c r="M192" s="13">
        <v>90000</v>
      </c>
      <c r="N192" s="12">
        <v>1391412819</v>
      </c>
      <c r="O192" s="15" t="s">
        <v>1</v>
      </c>
      <c r="P192" s="3" t="s">
        <v>122</v>
      </c>
      <c r="Q192" s="1" t="s">
        <v>506</v>
      </c>
      <c r="R192" s="55" t="s">
        <v>64</v>
      </c>
    </row>
    <row r="193" spans="1:18" ht="12" customHeight="1" x14ac:dyDescent="0.2">
      <c r="A193" s="64">
        <v>46279</v>
      </c>
      <c r="B193" s="61" t="s">
        <v>484</v>
      </c>
      <c r="C193" s="15">
        <v>7717811</v>
      </c>
      <c r="D193" s="15" t="s">
        <v>64</v>
      </c>
      <c r="E193" s="3" t="s">
        <v>61</v>
      </c>
      <c r="F193" s="3" t="s">
        <v>91</v>
      </c>
      <c r="G193" s="3" t="s">
        <v>92</v>
      </c>
      <c r="H193" s="3" t="s">
        <v>485</v>
      </c>
      <c r="I193" s="15">
        <v>410001</v>
      </c>
      <c r="J193" s="15" t="s">
        <v>488</v>
      </c>
      <c r="K193" s="12" t="s">
        <v>487</v>
      </c>
      <c r="L193" s="62" t="s">
        <v>465</v>
      </c>
      <c r="M193" s="13">
        <v>270000</v>
      </c>
      <c r="N193" s="12" t="s">
        <v>486</v>
      </c>
      <c r="O193" s="149" t="s">
        <v>3</v>
      </c>
      <c r="P193" s="3" t="s">
        <v>122</v>
      </c>
      <c r="Q193" s="1" t="s">
        <v>506</v>
      </c>
      <c r="R193" s="55" t="s">
        <v>64</v>
      </c>
    </row>
    <row r="194" spans="1:18" x14ac:dyDescent="0.2">
      <c r="J194" s="15"/>
      <c r="L194" s="65"/>
    </row>
    <row r="195" spans="1:18" x14ac:dyDescent="0.2">
      <c r="J195" s="15"/>
      <c r="L195" s="65"/>
    </row>
    <row r="196" spans="1:18" x14ac:dyDescent="0.2">
      <c r="L196" s="65"/>
    </row>
    <row r="197" spans="1:18" x14ac:dyDescent="0.2">
      <c r="L197" s="65"/>
    </row>
    <row r="198" spans="1:18" x14ac:dyDescent="0.2">
      <c r="L198" s="65"/>
    </row>
    <row r="199" spans="1:18" x14ac:dyDescent="0.2">
      <c r="L199" s="65"/>
    </row>
    <row r="200" spans="1:18" x14ac:dyDescent="0.2">
      <c r="L200" s="65"/>
    </row>
    <row r="201" spans="1:18" x14ac:dyDescent="0.2">
      <c r="L201" s="65"/>
    </row>
    <row r="202" spans="1:18" x14ac:dyDescent="0.2">
      <c r="L202" s="65"/>
    </row>
    <row r="203" spans="1:18" x14ac:dyDescent="0.2">
      <c r="L203" s="65"/>
    </row>
    <row r="204" spans="1:18" x14ac:dyDescent="0.2">
      <c r="L204" s="65"/>
    </row>
    <row r="205" spans="1:18" x14ac:dyDescent="0.2">
      <c r="L205" s="65"/>
    </row>
    <row r="206" spans="1:18" x14ac:dyDescent="0.2">
      <c r="L206" s="65"/>
    </row>
    <row r="207" spans="1:18" x14ac:dyDescent="0.2">
      <c r="L207" s="65"/>
    </row>
    <row r="208" spans="1:18" x14ac:dyDescent="0.2">
      <c r="L208" s="65"/>
    </row>
    <row r="209" spans="12:12" x14ac:dyDescent="0.2">
      <c r="L209" s="65"/>
    </row>
    <row r="210" spans="12:12" x14ac:dyDescent="0.2">
      <c r="L210" s="65"/>
    </row>
    <row r="211" spans="12:12" x14ac:dyDescent="0.2">
      <c r="L211" s="65"/>
    </row>
    <row r="212" spans="12:12" x14ac:dyDescent="0.2">
      <c r="L212" s="65"/>
    </row>
    <row r="213" spans="12:12" x14ac:dyDescent="0.2">
      <c r="L213" s="65"/>
    </row>
    <row r="214" spans="12:12" x14ac:dyDescent="0.2">
      <c r="L214" s="65"/>
    </row>
    <row r="215" spans="12:12" x14ac:dyDescent="0.2">
      <c r="L215" s="65"/>
    </row>
    <row r="216" spans="12:12" x14ac:dyDescent="0.2">
      <c r="L216" s="65"/>
    </row>
    <row r="217" spans="12:12" x14ac:dyDescent="0.2">
      <c r="L217" s="65"/>
    </row>
    <row r="218" spans="12:12" x14ac:dyDescent="0.2">
      <c r="L218" s="65"/>
    </row>
    <row r="219" spans="12:12" x14ac:dyDescent="0.2">
      <c r="L219" s="65"/>
    </row>
    <row r="220" spans="12:12" x14ac:dyDescent="0.2">
      <c r="L220" s="65"/>
    </row>
    <row r="221" spans="12:12" x14ac:dyDescent="0.2">
      <c r="L221" s="65"/>
    </row>
    <row r="222" spans="12:12" x14ac:dyDescent="0.2">
      <c r="L222" s="65"/>
    </row>
    <row r="223" spans="12:12" x14ac:dyDescent="0.2">
      <c r="L223" s="65"/>
    </row>
    <row r="224" spans="12:12" x14ac:dyDescent="0.2">
      <c r="L224" s="65"/>
    </row>
    <row r="225" spans="12:12" x14ac:dyDescent="0.2">
      <c r="L225" s="65"/>
    </row>
    <row r="226" spans="12:12" x14ac:dyDescent="0.2">
      <c r="L226" s="65"/>
    </row>
    <row r="227" spans="12:12" x14ac:dyDescent="0.2">
      <c r="L227" s="65"/>
    </row>
    <row r="228" spans="12:12" x14ac:dyDescent="0.2">
      <c r="L228" s="65"/>
    </row>
    <row r="229" spans="12:12" x14ac:dyDescent="0.2">
      <c r="L229" s="65"/>
    </row>
    <row r="230" spans="12:12" x14ac:dyDescent="0.2">
      <c r="L230" s="65"/>
    </row>
    <row r="231" spans="12:12" x14ac:dyDescent="0.2">
      <c r="L231" s="65"/>
    </row>
    <row r="232" spans="12:12" x14ac:dyDescent="0.2">
      <c r="L232" s="65"/>
    </row>
    <row r="233" spans="12:12" x14ac:dyDescent="0.2">
      <c r="L233" s="65"/>
    </row>
    <row r="234" spans="12:12" x14ac:dyDescent="0.2">
      <c r="L234" s="65"/>
    </row>
    <row r="235" spans="12:12" x14ac:dyDescent="0.2">
      <c r="L235" s="65"/>
    </row>
    <row r="236" spans="12:12" x14ac:dyDescent="0.2">
      <c r="L236" s="65"/>
    </row>
    <row r="237" spans="12:12" x14ac:dyDescent="0.2">
      <c r="L237" s="65"/>
    </row>
    <row r="238" spans="12:12" x14ac:dyDescent="0.2">
      <c r="L238" s="65"/>
    </row>
    <row r="239" spans="12:12" x14ac:dyDescent="0.2">
      <c r="L239" s="65"/>
    </row>
    <row r="240" spans="12:12" x14ac:dyDescent="0.2">
      <c r="L240" s="65"/>
    </row>
    <row r="241" spans="12:12" x14ac:dyDescent="0.2">
      <c r="L241" s="65"/>
    </row>
    <row r="242" spans="12:12" x14ac:dyDescent="0.2">
      <c r="L242" s="65"/>
    </row>
    <row r="243" spans="12:12" x14ac:dyDescent="0.2">
      <c r="L243" s="65"/>
    </row>
    <row r="244" spans="12:12" x14ac:dyDescent="0.2">
      <c r="L244" s="65"/>
    </row>
    <row r="245" spans="12:12" x14ac:dyDescent="0.2">
      <c r="L245" s="65"/>
    </row>
    <row r="246" spans="12:12" x14ac:dyDescent="0.2">
      <c r="L246" s="65"/>
    </row>
    <row r="247" spans="12:12" x14ac:dyDescent="0.2">
      <c r="L247" s="65"/>
    </row>
    <row r="248" spans="12:12" x14ac:dyDescent="0.2">
      <c r="L248" s="65"/>
    </row>
    <row r="249" spans="12:12" x14ac:dyDescent="0.2">
      <c r="L249" s="65"/>
    </row>
    <row r="250" spans="12:12" x14ac:dyDescent="0.2">
      <c r="L250" s="65"/>
    </row>
    <row r="251" spans="12:12" x14ac:dyDescent="0.2">
      <c r="L251" s="65"/>
    </row>
    <row r="252" spans="12:12" x14ac:dyDescent="0.2">
      <c r="L252" s="65"/>
    </row>
    <row r="253" spans="12:12" x14ac:dyDescent="0.2">
      <c r="L253" s="65"/>
    </row>
    <row r="254" spans="12:12" x14ac:dyDescent="0.2">
      <c r="L254" s="65"/>
    </row>
    <row r="255" spans="12:12" x14ac:dyDescent="0.2">
      <c r="L255" s="65"/>
    </row>
    <row r="256" spans="12:12" x14ac:dyDescent="0.2">
      <c r="L256" s="65"/>
    </row>
    <row r="257" spans="12:12" x14ac:dyDescent="0.2">
      <c r="L257" s="65"/>
    </row>
    <row r="258" spans="12:12" x14ac:dyDescent="0.2">
      <c r="L258" s="65"/>
    </row>
    <row r="259" spans="12:12" x14ac:dyDescent="0.2">
      <c r="L259" s="65"/>
    </row>
    <row r="260" spans="12:12" x14ac:dyDescent="0.2">
      <c r="L260" s="65"/>
    </row>
    <row r="261" spans="12:12" x14ac:dyDescent="0.2">
      <c r="L261" s="65"/>
    </row>
    <row r="262" spans="12:12" x14ac:dyDescent="0.2">
      <c r="L262" s="65"/>
    </row>
    <row r="263" spans="12:12" x14ac:dyDescent="0.2">
      <c r="L263" s="65"/>
    </row>
    <row r="264" spans="12:12" x14ac:dyDescent="0.2">
      <c r="L264" s="65"/>
    </row>
    <row r="265" spans="12:12" x14ac:dyDescent="0.2">
      <c r="L265" s="65"/>
    </row>
    <row r="266" spans="12:12" x14ac:dyDescent="0.2">
      <c r="L266" s="65"/>
    </row>
    <row r="267" spans="12:12" x14ac:dyDescent="0.2">
      <c r="L267" s="65"/>
    </row>
    <row r="268" spans="12:12" x14ac:dyDescent="0.2">
      <c r="L268" s="65"/>
    </row>
    <row r="269" spans="12:12" x14ac:dyDescent="0.2">
      <c r="L269" s="65"/>
    </row>
    <row r="270" spans="12:12" x14ac:dyDescent="0.2">
      <c r="L270" s="65"/>
    </row>
    <row r="271" spans="12:12" x14ac:dyDescent="0.2">
      <c r="L271" s="65"/>
    </row>
    <row r="272" spans="12:12" x14ac:dyDescent="0.2">
      <c r="L272" s="65"/>
    </row>
    <row r="273" spans="12:12" x14ac:dyDescent="0.2">
      <c r="L273" s="65"/>
    </row>
    <row r="274" spans="12:12" x14ac:dyDescent="0.2">
      <c r="L274" s="65"/>
    </row>
    <row r="275" spans="12:12" x14ac:dyDescent="0.2">
      <c r="L275" s="65"/>
    </row>
    <row r="276" spans="12:12" x14ac:dyDescent="0.2">
      <c r="L276" s="65"/>
    </row>
    <row r="277" spans="12:12" x14ac:dyDescent="0.2">
      <c r="L277" s="65"/>
    </row>
    <row r="278" spans="12:12" x14ac:dyDescent="0.2">
      <c r="L278" s="65"/>
    </row>
    <row r="279" spans="12:12" x14ac:dyDescent="0.2">
      <c r="L279" s="65"/>
    </row>
    <row r="280" spans="12:12" x14ac:dyDescent="0.2">
      <c r="L280" s="65"/>
    </row>
    <row r="281" spans="12:12" x14ac:dyDescent="0.2">
      <c r="L281" s="65"/>
    </row>
    <row r="282" spans="12:12" x14ac:dyDescent="0.2">
      <c r="L282" s="65"/>
    </row>
    <row r="283" spans="12:12" x14ac:dyDescent="0.2">
      <c r="L283" s="65"/>
    </row>
    <row r="284" spans="12:12" x14ac:dyDescent="0.2">
      <c r="L284" s="65"/>
    </row>
    <row r="285" spans="12:12" x14ac:dyDescent="0.2">
      <c r="L285" s="65"/>
    </row>
    <row r="286" spans="12:12" x14ac:dyDescent="0.2">
      <c r="L286" s="65"/>
    </row>
    <row r="287" spans="12:12" x14ac:dyDescent="0.2">
      <c r="L287" s="65"/>
    </row>
    <row r="288" spans="12:12" x14ac:dyDescent="0.2">
      <c r="L288" s="65"/>
    </row>
    <row r="289" spans="12:12" x14ac:dyDescent="0.2">
      <c r="L289" s="65"/>
    </row>
    <row r="290" spans="12:12" x14ac:dyDescent="0.2">
      <c r="L290" s="65"/>
    </row>
    <row r="291" spans="12:12" x14ac:dyDescent="0.2">
      <c r="L291" s="65"/>
    </row>
    <row r="292" spans="12:12" x14ac:dyDescent="0.2">
      <c r="L292" s="65"/>
    </row>
    <row r="293" spans="12:12" x14ac:dyDescent="0.2">
      <c r="L293" s="65"/>
    </row>
    <row r="294" spans="12:12" x14ac:dyDescent="0.2">
      <c r="L294" s="65"/>
    </row>
    <row r="295" spans="12:12" x14ac:dyDescent="0.2">
      <c r="L295" s="65"/>
    </row>
    <row r="296" spans="12:12" x14ac:dyDescent="0.2">
      <c r="L296" s="65"/>
    </row>
    <row r="297" spans="12:12" x14ac:dyDescent="0.2">
      <c r="L297" s="65"/>
    </row>
    <row r="298" spans="12:12" x14ac:dyDescent="0.2">
      <c r="L298" s="65"/>
    </row>
    <row r="299" spans="12:12" x14ac:dyDescent="0.2">
      <c r="L299" s="65"/>
    </row>
    <row r="300" spans="12:12" x14ac:dyDescent="0.2">
      <c r="L300" s="65"/>
    </row>
    <row r="301" spans="12:12" x14ac:dyDescent="0.2">
      <c r="L301" s="65"/>
    </row>
    <row r="302" spans="12:12" x14ac:dyDescent="0.2">
      <c r="L302" s="65"/>
    </row>
    <row r="303" spans="12:12" x14ac:dyDescent="0.2">
      <c r="L303" s="65"/>
    </row>
    <row r="304" spans="12:12" x14ac:dyDescent="0.2">
      <c r="L304" s="65"/>
    </row>
    <row r="305" spans="12:12" x14ac:dyDescent="0.2">
      <c r="L305" s="65"/>
    </row>
    <row r="306" spans="12:12" x14ac:dyDescent="0.2">
      <c r="L306" s="65"/>
    </row>
    <row r="307" spans="12:12" x14ac:dyDescent="0.2">
      <c r="L307" s="65"/>
    </row>
    <row r="308" spans="12:12" x14ac:dyDescent="0.2">
      <c r="L308" s="65"/>
    </row>
    <row r="309" spans="12:12" x14ac:dyDescent="0.2">
      <c r="L309" s="65"/>
    </row>
    <row r="310" spans="12:12" x14ac:dyDescent="0.2">
      <c r="L310" s="65"/>
    </row>
    <row r="311" spans="12:12" x14ac:dyDescent="0.2">
      <c r="L311" s="65"/>
    </row>
    <row r="312" spans="12:12" x14ac:dyDescent="0.2">
      <c r="L312" s="65"/>
    </row>
    <row r="313" spans="12:12" x14ac:dyDescent="0.2">
      <c r="L313" s="65"/>
    </row>
    <row r="314" spans="12:12" x14ac:dyDescent="0.2">
      <c r="L314" s="65"/>
    </row>
    <row r="315" spans="12:12" x14ac:dyDescent="0.2">
      <c r="L315" s="65"/>
    </row>
    <row r="316" spans="12:12" x14ac:dyDescent="0.2">
      <c r="L316" s="65"/>
    </row>
    <row r="317" spans="12:12" x14ac:dyDescent="0.2">
      <c r="L317" s="65"/>
    </row>
    <row r="318" spans="12:12" x14ac:dyDescent="0.2">
      <c r="L318" s="65"/>
    </row>
    <row r="319" spans="12:12" x14ac:dyDescent="0.2">
      <c r="L319" s="65"/>
    </row>
    <row r="320" spans="12:12" x14ac:dyDescent="0.2">
      <c r="L320" s="65"/>
    </row>
    <row r="321" spans="12:12" x14ac:dyDescent="0.2">
      <c r="L321" s="65"/>
    </row>
    <row r="322" spans="12:12" x14ac:dyDescent="0.2">
      <c r="L322" s="65"/>
    </row>
    <row r="323" spans="12:12" x14ac:dyDescent="0.2">
      <c r="L323" s="65"/>
    </row>
    <row r="324" spans="12:12" x14ac:dyDescent="0.2">
      <c r="L324" s="111"/>
    </row>
    <row r="325" spans="12:12" x14ac:dyDescent="0.2">
      <c r="L325" s="111"/>
    </row>
    <row r="326" spans="12:12" x14ac:dyDescent="0.2">
      <c r="L326" s="111"/>
    </row>
    <row r="327" spans="12:12" x14ac:dyDescent="0.2">
      <c r="L327" s="111"/>
    </row>
    <row r="328" spans="12:12" x14ac:dyDescent="0.2">
      <c r="L328" s="111"/>
    </row>
  </sheetData>
  <autoFilter ref="A1:T193" xr:uid="{BAB99A06-041E-4BD8-B15E-F417C7709518}"/>
  <sortState xmlns:xlrd2="http://schemas.microsoft.com/office/spreadsheetml/2017/richdata2" ref="A2:S329">
    <sortCondition ref="B1:B329"/>
  </sortState>
  <conditionalFormatting sqref="A1">
    <cfRule type="duplicateValues" dxfId="5320" priority="5812"/>
    <cfRule type="duplicateValues" dxfId="5319" priority="5800"/>
    <cfRule type="duplicateValues" dxfId="5318" priority="5799"/>
    <cfRule type="duplicateValues" dxfId="5317" priority="5806"/>
    <cfRule type="duplicateValues" dxfId="5316" priority="5811"/>
    <cfRule type="duplicateValues" dxfId="5315" priority="5810"/>
    <cfRule type="duplicateValues" dxfId="5314" priority="5809"/>
    <cfRule type="duplicateValues" dxfId="5313" priority="5808"/>
    <cfRule type="duplicateValues" dxfId="5312" priority="5807"/>
    <cfRule type="duplicateValues" dxfId="5311" priority="5805"/>
    <cfRule type="duplicateValues" dxfId="5310" priority="5804"/>
    <cfRule type="duplicateValues" dxfId="5309" priority="5803"/>
    <cfRule type="duplicateValues" dxfId="5308" priority="5802"/>
    <cfRule type="duplicateValues" dxfId="5307" priority="5801"/>
  </conditionalFormatting>
  <conditionalFormatting sqref="B1:B193">
    <cfRule type="duplicateValues" dxfId="5306" priority="5794"/>
    <cfRule type="duplicateValues" dxfId="5305" priority="5793"/>
    <cfRule type="duplicateValues" dxfId="5304" priority="5792"/>
    <cfRule type="duplicateValues" dxfId="5303" priority="5795"/>
  </conditionalFormatting>
  <conditionalFormatting sqref="B3">
    <cfRule type="duplicateValues" dxfId="5302" priority="5689"/>
    <cfRule type="duplicateValues" dxfId="5301" priority="5688"/>
    <cfRule type="duplicateValues" dxfId="5300" priority="5687"/>
    <cfRule type="duplicateValues" dxfId="5299" priority="5686"/>
    <cfRule type="duplicateValues" dxfId="5298" priority="5685"/>
    <cfRule type="duplicateValues" dxfId="5297" priority="5693"/>
    <cfRule type="duplicateValues" dxfId="5296" priority="5684"/>
    <cfRule type="duplicateValues" dxfId="5295" priority="5702"/>
    <cfRule type="duplicateValues" dxfId="5294" priority="5683"/>
    <cfRule type="duplicateValues" dxfId="5293" priority="5717"/>
    <cfRule type="duplicateValues" dxfId="5292" priority="5716"/>
    <cfRule type="duplicateValues" dxfId="5291" priority="5715"/>
    <cfRule type="duplicateValues" dxfId="5290" priority="5714"/>
    <cfRule type="duplicateValues" dxfId="5289" priority="5713"/>
    <cfRule type="duplicateValues" dxfId="5288" priority="5712"/>
    <cfRule type="duplicateValues" dxfId="5287" priority="5711"/>
    <cfRule type="duplicateValues" dxfId="5286" priority="5710"/>
    <cfRule type="duplicateValues" dxfId="5285" priority="5709"/>
    <cfRule type="duplicateValues" dxfId="5284" priority="5708"/>
    <cfRule type="duplicateValues" dxfId="5283" priority="5707"/>
    <cfRule type="duplicateValues" dxfId="5282" priority="5706"/>
    <cfRule type="duplicateValues" dxfId="5281" priority="5705"/>
    <cfRule type="duplicateValues" dxfId="5280" priority="5704"/>
    <cfRule type="duplicateValues" dxfId="5279" priority="5703"/>
    <cfRule type="duplicateValues" dxfId="5278" priority="5682"/>
    <cfRule type="duplicateValues" dxfId="5277" priority="5701"/>
    <cfRule type="duplicateValues" dxfId="5276" priority="5700"/>
    <cfRule type="duplicateValues" dxfId="5275" priority="5699"/>
    <cfRule type="duplicateValues" dxfId="5274" priority="5698"/>
    <cfRule type="duplicateValues" dxfId="5273" priority="5697"/>
    <cfRule type="duplicateValues" dxfId="5272" priority="5696"/>
    <cfRule type="duplicateValues" dxfId="5271" priority="5695"/>
    <cfRule type="duplicateValues" dxfId="5270" priority="5694"/>
    <cfRule type="duplicateValues" dxfId="5269" priority="5681"/>
    <cfRule type="duplicateValues" dxfId="5268" priority="5692"/>
    <cfRule type="duplicateValues" dxfId="5267" priority="5691"/>
    <cfRule type="duplicateValues" dxfId="5266" priority="5690"/>
  </conditionalFormatting>
  <conditionalFormatting sqref="B4">
    <cfRule type="duplicateValues" dxfId="5265" priority="5572"/>
    <cfRule type="duplicateValues" dxfId="5264" priority="5571"/>
    <cfRule type="duplicateValues" dxfId="5263" priority="5570"/>
    <cfRule type="duplicateValues" dxfId="5262" priority="5569"/>
    <cfRule type="duplicateValues" dxfId="5261" priority="5601"/>
    <cfRule type="duplicateValues" dxfId="5260" priority="5600"/>
    <cfRule type="duplicateValues" dxfId="5259" priority="5599"/>
    <cfRule type="duplicateValues" dxfId="5258" priority="5598"/>
    <cfRule type="duplicateValues" dxfId="5257" priority="5597"/>
    <cfRule type="duplicateValues" dxfId="5256" priority="5596"/>
    <cfRule type="duplicateValues" dxfId="5255" priority="5595"/>
    <cfRule type="duplicateValues" dxfId="5254" priority="5593"/>
    <cfRule type="duplicateValues" dxfId="5253" priority="5592"/>
    <cfRule type="duplicateValues" dxfId="5252" priority="5591"/>
    <cfRule type="duplicateValues" dxfId="5251" priority="5590"/>
    <cfRule type="duplicateValues" dxfId="5250" priority="5589"/>
    <cfRule type="duplicateValues" dxfId="5249" priority="5588"/>
    <cfRule type="duplicateValues" dxfId="5248" priority="5587"/>
    <cfRule type="duplicateValues" dxfId="5247" priority="5586"/>
    <cfRule type="duplicateValues" dxfId="5246" priority="5585"/>
    <cfRule type="duplicateValues" dxfId="5245" priority="5584"/>
    <cfRule type="duplicateValues" dxfId="5244" priority="5583"/>
    <cfRule type="duplicateValues" dxfId="5243" priority="5582"/>
    <cfRule type="duplicateValues" dxfId="5242" priority="5581"/>
    <cfRule type="duplicateValues" dxfId="5241" priority="5580"/>
    <cfRule type="duplicateValues" dxfId="5240" priority="5579"/>
    <cfRule type="duplicateValues" dxfId="5239" priority="5578"/>
    <cfRule type="duplicateValues" dxfId="5238" priority="5577"/>
    <cfRule type="duplicateValues" dxfId="5237" priority="5576"/>
    <cfRule type="duplicateValues" dxfId="5236" priority="5575"/>
    <cfRule type="duplicateValues" dxfId="5235" priority="5574"/>
    <cfRule type="duplicateValues" dxfId="5234" priority="5573"/>
    <cfRule type="duplicateValues" dxfId="5233" priority="5594"/>
    <cfRule type="duplicateValues" dxfId="5232" priority="5605"/>
    <cfRule type="duplicateValues" dxfId="5231" priority="5604"/>
    <cfRule type="duplicateValues" dxfId="5230" priority="5603"/>
    <cfRule type="duplicateValues" dxfId="5229" priority="5602"/>
  </conditionalFormatting>
  <conditionalFormatting sqref="B6:B8 B10:B15">
    <cfRule type="duplicateValues" dxfId="5228" priority="5565"/>
    <cfRule type="duplicateValues" dxfId="5227" priority="5564"/>
    <cfRule type="duplicateValues" dxfId="5226" priority="5562"/>
    <cfRule type="duplicateValues" dxfId="5225" priority="5563"/>
    <cfRule type="duplicateValues" dxfId="5224" priority="5561"/>
    <cfRule type="duplicateValues" dxfId="5223" priority="5560"/>
    <cfRule type="duplicateValues" dxfId="5222" priority="5559"/>
    <cfRule type="duplicateValues" dxfId="5221" priority="5558"/>
    <cfRule type="duplicateValues" dxfId="5220" priority="5557"/>
    <cfRule type="duplicateValues" dxfId="5219" priority="5556"/>
    <cfRule type="duplicateValues" dxfId="5218" priority="5555"/>
    <cfRule type="duplicateValues" dxfId="5217" priority="5554"/>
    <cfRule type="duplicateValues" dxfId="5216" priority="5553"/>
    <cfRule type="duplicateValues" dxfId="5215" priority="5552"/>
    <cfRule type="duplicateValues" dxfId="5214" priority="5551"/>
    <cfRule type="duplicateValues" dxfId="5213" priority="5550"/>
    <cfRule type="duplicateValues" dxfId="5212" priority="5549"/>
    <cfRule type="duplicateValues" dxfId="5211" priority="5548"/>
    <cfRule type="duplicateValues" dxfId="5210" priority="5547"/>
    <cfRule type="duplicateValues" dxfId="5209" priority="5546"/>
    <cfRule type="duplicateValues" dxfId="5208" priority="5545"/>
    <cfRule type="duplicateValues" dxfId="5207" priority="5544"/>
    <cfRule type="duplicateValues" dxfId="5206" priority="5543"/>
    <cfRule type="duplicateValues" dxfId="5205" priority="5542"/>
    <cfRule type="duplicateValues" dxfId="5204" priority="5541"/>
    <cfRule type="duplicateValues" dxfId="5203" priority="5540"/>
    <cfRule type="duplicateValues" dxfId="5202" priority="5539"/>
    <cfRule type="duplicateValues" dxfId="5201" priority="5505"/>
    <cfRule type="duplicateValues" dxfId="5200" priority="5504"/>
    <cfRule type="duplicateValues" dxfId="5199" priority="5503"/>
    <cfRule type="duplicateValues" dxfId="5198" priority="5502"/>
    <cfRule type="duplicateValues" dxfId="5197" priority="5501"/>
    <cfRule type="duplicateValues" dxfId="5196" priority="5500"/>
    <cfRule type="duplicateValues" dxfId="5195" priority="5499"/>
    <cfRule type="duplicateValues" dxfId="5194" priority="5498"/>
    <cfRule type="duplicateValues" dxfId="5193" priority="5497"/>
    <cfRule type="duplicateValues" dxfId="5192" priority="5496"/>
    <cfRule type="duplicateValues" dxfId="5191" priority="5537"/>
    <cfRule type="duplicateValues" dxfId="5190" priority="5494"/>
    <cfRule type="duplicateValues" dxfId="5189" priority="5493"/>
    <cfRule type="duplicateValues" dxfId="5188" priority="5492"/>
    <cfRule type="duplicateValues" dxfId="5187" priority="5491"/>
    <cfRule type="duplicateValues" dxfId="5186" priority="5490"/>
    <cfRule type="duplicateValues" dxfId="5185" priority="5489"/>
    <cfRule type="duplicateValues" dxfId="5184" priority="5488"/>
    <cfRule type="duplicateValues" dxfId="5183" priority="5487"/>
    <cfRule type="duplicateValues" dxfId="5182" priority="5486"/>
    <cfRule type="duplicateValues" dxfId="5181" priority="5536"/>
    <cfRule type="duplicateValues" dxfId="5180" priority="5535"/>
    <cfRule type="duplicateValues" dxfId="5179" priority="5534"/>
    <cfRule type="duplicateValues" dxfId="5178" priority="5533"/>
    <cfRule type="duplicateValues" dxfId="5177" priority="5532"/>
    <cfRule type="duplicateValues" dxfId="5176" priority="5531"/>
    <cfRule type="duplicateValues" dxfId="5175" priority="5530"/>
    <cfRule type="duplicateValues" dxfId="5174" priority="5529"/>
    <cfRule type="duplicateValues" dxfId="5173" priority="5528"/>
    <cfRule type="duplicateValues" dxfId="5172" priority="5527"/>
    <cfRule type="duplicateValues" dxfId="5171" priority="5526"/>
    <cfRule type="duplicateValues" dxfId="5170" priority="5538"/>
    <cfRule type="duplicateValues" dxfId="5169" priority="5525"/>
    <cfRule type="duplicateValues" dxfId="5168" priority="5524"/>
    <cfRule type="duplicateValues" dxfId="5167" priority="5523"/>
    <cfRule type="duplicateValues" dxfId="5166" priority="5522"/>
    <cfRule type="duplicateValues" dxfId="5165" priority="5521"/>
    <cfRule type="duplicateValues" dxfId="5164" priority="5520"/>
    <cfRule type="duplicateValues" dxfId="5163" priority="5519"/>
    <cfRule type="duplicateValues" dxfId="5162" priority="5518"/>
    <cfRule type="duplicateValues" dxfId="5161" priority="5517"/>
    <cfRule type="duplicateValues" dxfId="5160" priority="5516"/>
    <cfRule type="duplicateValues" dxfId="5159" priority="5515"/>
    <cfRule type="duplicateValues" dxfId="5158" priority="5514"/>
    <cfRule type="duplicateValues" dxfId="5157" priority="5513"/>
    <cfRule type="duplicateValues" dxfId="5156" priority="5512"/>
    <cfRule type="duplicateValues" dxfId="5155" priority="5511"/>
    <cfRule type="duplicateValues" dxfId="5154" priority="5510"/>
    <cfRule type="duplicateValues" dxfId="5153" priority="5509"/>
    <cfRule type="duplicateValues" dxfId="5152" priority="5508"/>
    <cfRule type="duplicateValues" dxfId="5151" priority="5507"/>
    <cfRule type="duplicateValues" dxfId="5150" priority="5506"/>
    <cfRule type="duplicateValues" dxfId="5149" priority="5495"/>
  </conditionalFormatting>
  <conditionalFormatting sqref="B9">
    <cfRule type="duplicateValues" dxfId="5148" priority="5363"/>
    <cfRule type="duplicateValues" dxfId="5147" priority="5362"/>
    <cfRule type="duplicateValues" dxfId="5146" priority="5361"/>
    <cfRule type="duplicateValues" dxfId="5145" priority="5360"/>
    <cfRule type="duplicateValues" dxfId="5144" priority="5359"/>
    <cfRule type="duplicateValues" dxfId="5143" priority="5358"/>
    <cfRule type="duplicateValues" dxfId="5142" priority="5357"/>
    <cfRule type="duplicateValues" dxfId="5141" priority="5355"/>
    <cfRule type="duplicateValues" dxfId="5140" priority="5353"/>
    <cfRule type="duplicateValues" dxfId="5139" priority="5352"/>
    <cfRule type="duplicateValues" dxfId="5138" priority="5351"/>
    <cfRule type="duplicateValues" dxfId="5137" priority="5350"/>
    <cfRule type="duplicateValues" dxfId="5136" priority="5349"/>
    <cfRule type="duplicateValues" dxfId="5135" priority="5348"/>
    <cfRule type="duplicateValues" dxfId="5134" priority="5347"/>
    <cfRule type="duplicateValues" dxfId="5133" priority="5346"/>
    <cfRule type="duplicateValues" dxfId="5132" priority="5345"/>
    <cfRule type="duplicateValues" dxfId="5131" priority="5344"/>
    <cfRule type="duplicateValues" dxfId="5130" priority="5343"/>
    <cfRule type="duplicateValues" dxfId="5129" priority="5342"/>
    <cfRule type="duplicateValues" dxfId="5128" priority="5341"/>
    <cfRule type="duplicateValues" dxfId="5127" priority="5340"/>
    <cfRule type="duplicateValues" dxfId="5126" priority="5339"/>
    <cfRule type="duplicateValues" dxfId="5125" priority="5338"/>
    <cfRule type="duplicateValues" dxfId="5124" priority="5337"/>
    <cfRule type="duplicateValues" dxfId="5123" priority="5336"/>
    <cfRule type="duplicateValues" dxfId="5122" priority="5335"/>
    <cfRule type="duplicateValues" dxfId="5121" priority="5334"/>
    <cfRule type="duplicateValues" dxfId="5120" priority="5333"/>
    <cfRule type="duplicateValues" dxfId="5119" priority="5332"/>
    <cfRule type="duplicateValues" dxfId="5118" priority="5356"/>
    <cfRule type="duplicateValues" dxfId="5117" priority="5331"/>
    <cfRule type="duplicateValues" dxfId="5116" priority="5330"/>
    <cfRule type="duplicateValues" dxfId="5115" priority="5329"/>
    <cfRule type="duplicateValues" dxfId="5114" priority="5328"/>
    <cfRule type="duplicateValues" dxfId="5113" priority="5327"/>
    <cfRule type="duplicateValues" dxfId="5112" priority="5326"/>
    <cfRule type="duplicateValues" dxfId="5111" priority="5354"/>
    <cfRule type="duplicateValues" dxfId="5110" priority="5405"/>
    <cfRule type="duplicateValues" dxfId="5109" priority="5404"/>
    <cfRule type="duplicateValues" dxfId="5108" priority="5403"/>
    <cfRule type="duplicateValues" dxfId="5107" priority="5402"/>
    <cfRule type="duplicateValues" dxfId="5106" priority="5401"/>
    <cfRule type="duplicateValues" dxfId="5105" priority="5400"/>
    <cfRule type="duplicateValues" dxfId="5104" priority="5399"/>
    <cfRule type="duplicateValues" dxfId="5103" priority="5398"/>
    <cfRule type="duplicateValues" dxfId="5102" priority="5397"/>
    <cfRule type="duplicateValues" dxfId="5101" priority="5396"/>
    <cfRule type="duplicateValues" dxfId="5100" priority="5395"/>
    <cfRule type="duplicateValues" dxfId="5099" priority="5394"/>
    <cfRule type="duplicateValues" dxfId="5098" priority="5393"/>
    <cfRule type="duplicateValues" dxfId="5097" priority="5392"/>
    <cfRule type="duplicateValues" dxfId="5096" priority="5391"/>
    <cfRule type="duplicateValues" dxfId="5095" priority="5390"/>
    <cfRule type="duplicateValues" dxfId="5094" priority="5389"/>
    <cfRule type="duplicateValues" dxfId="5093" priority="5388"/>
    <cfRule type="duplicateValues" dxfId="5092" priority="5387"/>
    <cfRule type="duplicateValues" dxfId="5091" priority="5386"/>
    <cfRule type="duplicateValues" dxfId="5090" priority="5385"/>
    <cfRule type="duplicateValues" dxfId="5089" priority="5384"/>
    <cfRule type="duplicateValues" dxfId="5088" priority="5383"/>
    <cfRule type="duplicateValues" dxfId="5087" priority="5382"/>
    <cfRule type="duplicateValues" dxfId="5086" priority="5381"/>
    <cfRule type="duplicateValues" dxfId="5085" priority="5380"/>
    <cfRule type="duplicateValues" dxfId="5084" priority="5379"/>
    <cfRule type="duplicateValues" dxfId="5083" priority="5378"/>
    <cfRule type="duplicateValues" dxfId="5082" priority="5377"/>
    <cfRule type="duplicateValues" dxfId="5081" priority="5376"/>
    <cfRule type="duplicateValues" dxfId="5080" priority="5375"/>
    <cfRule type="duplicateValues" dxfId="5079" priority="5374"/>
    <cfRule type="duplicateValues" dxfId="5078" priority="5373"/>
    <cfRule type="duplicateValues" dxfId="5077" priority="5372"/>
    <cfRule type="duplicateValues" dxfId="5076" priority="5371"/>
    <cfRule type="duplicateValues" dxfId="5075" priority="5370"/>
    <cfRule type="duplicateValues" dxfId="5074" priority="5369"/>
    <cfRule type="duplicateValues" dxfId="5073" priority="5368"/>
    <cfRule type="duplicateValues" dxfId="5072" priority="5367"/>
    <cfRule type="duplicateValues" dxfId="5071" priority="5366"/>
    <cfRule type="duplicateValues" dxfId="5070" priority="5365"/>
    <cfRule type="duplicateValues" dxfId="5069" priority="5364"/>
  </conditionalFormatting>
  <conditionalFormatting sqref="B16:B19">
    <cfRule type="duplicateValues" dxfId="5068" priority="5482"/>
    <cfRule type="duplicateValues" dxfId="5067" priority="5469"/>
    <cfRule type="duplicateValues" dxfId="5066" priority="5470"/>
    <cfRule type="duplicateValues" dxfId="5065" priority="5471"/>
    <cfRule type="duplicateValues" dxfId="5064" priority="5472"/>
    <cfRule type="duplicateValues" dxfId="5063" priority="5473"/>
    <cfRule type="duplicateValues" dxfId="5062" priority="5474"/>
    <cfRule type="duplicateValues" dxfId="5061" priority="5475"/>
    <cfRule type="duplicateValues" dxfId="5060" priority="5476"/>
    <cfRule type="duplicateValues" dxfId="5059" priority="5477"/>
    <cfRule type="duplicateValues" dxfId="5058" priority="5478"/>
    <cfRule type="duplicateValues" dxfId="5057" priority="5479"/>
    <cfRule type="duplicateValues" dxfId="5056" priority="5480"/>
    <cfRule type="duplicateValues" dxfId="5055" priority="5481"/>
    <cfRule type="duplicateValues" dxfId="5054" priority="5463"/>
    <cfRule type="duplicateValues" dxfId="5053" priority="5483"/>
    <cfRule type="duplicateValues" dxfId="5052" priority="5484"/>
    <cfRule type="duplicateValues" dxfId="5051" priority="5485"/>
    <cfRule type="duplicateValues" dxfId="5050" priority="5440"/>
    <cfRule type="duplicateValues" dxfId="5049" priority="5439"/>
    <cfRule type="duplicateValues" dxfId="5048" priority="5437"/>
    <cfRule type="duplicateValues" dxfId="5047" priority="5436"/>
    <cfRule type="duplicateValues" dxfId="5046" priority="5435"/>
    <cfRule type="duplicateValues" dxfId="5045" priority="5434"/>
    <cfRule type="duplicateValues" dxfId="5044" priority="5438"/>
    <cfRule type="duplicateValues" dxfId="5043" priority="5433"/>
    <cfRule type="duplicateValues" dxfId="5042" priority="5432"/>
    <cfRule type="duplicateValues" dxfId="5041" priority="5431"/>
    <cfRule type="duplicateValues" dxfId="5040" priority="5430"/>
    <cfRule type="duplicateValues" dxfId="5039" priority="5429"/>
    <cfRule type="duplicateValues" dxfId="5038" priority="5427"/>
    <cfRule type="duplicateValues" dxfId="5037" priority="5458"/>
    <cfRule type="duplicateValues" dxfId="5036" priority="5426"/>
    <cfRule type="duplicateValues" dxfId="5035" priority="5425"/>
    <cfRule type="duplicateValues" dxfId="5034" priority="5424"/>
    <cfRule type="duplicateValues" dxfId="5033" priority="5423"/>
    <cfRule type="duplicateValues" dxfId="5032" priority="5457"/>
    <cfRule type="duplicateValues" dxfId="5031" priority="5456"/>
    <cfRule type="duplicateValues" dxfId="5030" priority="5455"/>
    <cfRule type="duplicateValues" dxfId="5029" priority="5454"/>
    <cfRule type="duplicateValues" dxfId="5028" priority="5453"/>
    <cfRule type="duplicateValues" dxfId="5027" priority="5452"/>
    <cfRule type="duplicateValues" dxfId="5026" priority="5451"/>
    <cfRule type="duplicateValues" dxfId="5025" priority="5450"/>
    <cfRule type="duplicateValues" dxfId="5024" priority="5449"/>
    <cfRule type="duplicateValues" dxfId="5023" priority="5448"/>
    <cfRule type="duplicateValues" dxfId="5022" priority="5447"/>
    <cfRule type="duplicateValues" dxfId="5021" priority="5446"/>
    <cfRule type="duplicateValues" dxfId="5020" priority="5459"/>
    <cfRule type="duplicateValues" dxfId="5019" priority="5422"/>
    <cfRule type="duplicateValues" dxfId="5018" priority="5421"/>
    <cfRule type="duplicateValues" dxfId="5017" priority="5420"/>
    <cfRule type="duplicateValues" dxfId="5016" priority="5419"/>
    <cfRule type="duplicateValues" dxfId="5015" priority="5418"/>
    <cfRule type="duplicateValues" dxfId="5014" priority="5417"/>
    <cfRule type="duplicateValues" dxfId="5013" priority="5416"/>
    <cfRule type="duplicateValues" dxfId="5012" priority="5415"/>
    <cfRule type="duplicateValues" dxfId="5011" priority="5465"/>
    <cfRule type="duplicateValues" dxfId="5010" priority="5428"/>
    <cfRule type="duplicateValues" dxfId="5009" priority="5460"/>
    <cfRule type="duplicateValues" dxfId="5008" priority="5461"/>
    <cfRule type="duplicateValues" dxfId="5007" priority="5462"/>
    <cfRule type="duplicateValues" dxfId="5006" priority="5464"/>
    <cfRule type="duplicateValues" dxfId="5005" priority="5406"/>
    <cfRule type="duplicateValues" dxfId="5004" priority="5407"/>
    <cfRule type="duplicateValues" dxfId="5003" priority="5408"/>
    <cfRule type="duplicateValues" dxfId="5002" priority="5409"/>
    <cfRule type="duplicateValues" dxfId="5001" priority="5410"/>
    <cfRule type="duplicateValues" dxfId="5000" priority="5411"/>
    <cfRule type="duplicateValues" dxfId="4999" priority="5412"/>
    <cfRule type="duplicateValues" dxfId="4998" priority="5413"/>
    <cfRule type="duplicateValues" dxfId="4997" priority="5414"/>
    <cfRule type="duplicateValues" dxfId="4996" priority="5468"/>
    <cfRule type="duplicateValues" dxfId="4995" priority="5467"/>
    <cfRule type="duplicateValues" dxfId="4994" priority="5466"/>
    <cfRule type="duplicateValues" dxfId="4993" priority="5445"/>
    <cfRule type="duplicateValues" dxfId="4992" priority="5444"/>
    <cfRule type="duplicateValues" dxfId="4991" priority="5443"/>
    <cfRule type="duplicateValues" dxfId="4990" priority="5442"/>
    <cfRule type="duplicateValues" dxfId="4989" priority="5441"/>
  </conditionalFormatting>
  <conditionalFormatting sqref="B20:B38 B2:B5">
    <cfRule type="duplicateValues" dxfId="4988" priority="5677"/>
    <cfRule type="duplicateValues" dxfId="4987" priority="5676"/>
    <cfRule type="duplicateValues" dxfId="4986" priority="5675"/>
    <cfRule type="duplicateValues" dxfId="4985" priority="5674"/>
    <cfRule type="duplicateValues" dxfId="4984" priority="5673"/>
    <cfRule type="duplicateValues" dxfId="4983" priority="5672"/>
    <cfRule type="duplicateValues" dxfId="4982" priority="5671"/>
    <cfRule type="duplicateValues" dxfId="4981" priority="5670"/>
    <cfRule type="duplicateValues" dxfId="4980" priority="5669"/>
    <cfRule type="duplicateValues" dxfId="4979" priority="5668"/>
    <cfRule type="duplicateValues" dxfId="4978" priority="5667"/>
    <cfRule type="duplicateValues" dxfId="4977" priority="5666"/>
    <cfRule type="duplicateValues" dxfId="4976" priority="5665"/>
    <cfRule type="duplicateValues" dxfId="4975" priority="5664"/>
    <cfRule type="duplicateValues" dxfId="4974" priority="5663"/>
    <cfRule type="duplicateValues" dxfId="4973" priority="5662"/>
    <cfRule type="duplicateValues" dxfId="4972" priority="5660"/>
    <cfRule type="duplicateValues" dxfId="4971" priority="5645"/>
    <cfRule type="duplicateValues" dxfId="4970" priority="5646"/>
    <cfRule type="duplicateValues" dxfId="4969" priority="5647"/>
    <cfRule type="duplicateValues" dxfId="4968" priority="5648"/>
    <cfRule type="duplicateValues" dxfId="4967" priority="5649"/>
    <cfRule type="duplicateValues" dxfId="4966" priority="5650"/>
    <cfRule type="duplicateValues" dxfId="4965" priority="5651"/>
    <cfRule type="duplicateValues" dxfId="4964" priority="5652"/>
    <cfRule type="duplicateValues" dxfId="4963" priority="5656"/>
    <cfRule type="duplicateValues" dxfId="4962" priority="5653"/>
    <cfRule type="duplicateValues" dxfId="4961" priority="5657"/>
    <cfRule type="duplicateValues" dxfId="4960" priority="5658"/>
    <cfRule type="duplicateValues" dxfId="4959" priority="5659"/>
    <cfRule type="duplicateValues" dxfId="4958" priority="5680"/>
    <cfRule type="duplicateValues" dxfId="4957" priority="5679"/>
    <cfRule type="duplicateValues" dxfId="4956" priority="5678"/>
    <cfRule type="duplicateValues" dxfId="4955" priority="5661"/>
    <cfRule type="duplicateValues" dxfId="4954" priority="5644"/>
    <cfRule type="duplicateValues" dxfId="4953" priority="5654"/>
    <cfRule type="duplicateValues" dxfId="4952" priority="5655"/>
  </conditionalFormatting>
  <conditionalFormatting sqref="B20:B38 B4">
    <cfRule type="duplicateValues" dxfId="4951" priority="5637"/>
    <cfRule type="duplicateValues" dxfId="4950" priority="5638"/>
    <cfRule type="duplicateValues" dxfId="4949" priority="5639"/>
    <cfRule type="duplicateValues" dxfId="4948" priority="5640"/>
    <cfRule type="duplicateValues" dxfId="4947" priority="5622"/>
    <cfRule type="duplicateValues" dxfId="4946" priority="5623"/>
    <cfRule type="duplicateValues" dxfId="4945" priority="5624"/>
    <cfRule type="duplicateValues" dxfId="4944" priority="5625"/>
    <cfRule type="duplicateValues" dxfId="4943" priority="5626"/>
    <cfRule type="duplicateValues" dxfId="4942" priority="5627"/>
    <cfRule type="duplicateValues" dxfId="4941" priority="5628"/>
    <cfRule type="duplicateValues" dxfId="4940" priority="5629"/>
    <cfRule type="duplicateValues" dxfId="4939" priority="5630"/>
    <cfRule type="duplicateValues" dxfId="4938" priority="5631"/>
    <cfRule type="duplicateValues" dxfId="4937" priority="5632"/>
    <cfRule type="duplicateValues" dxfId="4936" priority="5641"/>
    <cfRule type="duplicateValues" dxfId="4935" priority="5642"/>
    <cfRule type="duplicateValues" dxfId="4934" priority="5643"/>
    <cfRule type="duplicateValues" dxfId="4933" priority="5612"/>
    <cfRule type="duplicateValues" dxfId="4932" priority="5633"/>
    <cfRule type="duplicateValues" dxfId="4931" priority="5634"/>
    <cfRule type="duplicateValues" dxfId="4930" priority="5606"/>
    <cfRule type="duplicateValues" dxfId="4929" priority="5607"/>
    <cfRule type="duplicateValues" dxfId="4928" priority="5608"/>
    <cfRule type="duplicateValues" dxfId="4927" priority="5609"/>
    <cfRule type="duplicateValues" dxfId="4926" priority="5610"/>
    <cfRule type="duplicateValues" dxfId="4925" priority="5611"/>
    <cfRule type="duplicateValues" dxfId="4924" priority="5613"/>
    <cfRule type="duplicateValues" dxfId="4923" priority="5614"/>
    <cfRule type="duplicateValues" dxfId="4922" priority="5615"/>
    <cfRule type="duplicateValues" dxfId="4921" priority="5616"/>
    <cfRule type="duplicateValues" dxfId="4920" priority="5617"/>
    <cfRule type="duplicateValues" dxfId="4919" priority="5618"/>
    <cfRule type="duplicateValues" dxfId="4918" priority="5619"/>
    <cfRule type="duplicateValues" dxfId="4917" priority="5620"/>
    <cfRule type="duplicateValues" dxfId="4916" priority="5621"/>
    <cfRule type="duplicateValues" dxfId="4915" priority="5635"/>
    <cfRule type="duplicateValues" dxfId="4914" priority="5636"/>
  </conditionalFormatting>
  <conditionalFormatting sqref="B39:B71">
    <cfRule type="duplicateValues" dxfId="4913" priority="5260"/>
    <cfRule type="duplicateValues" dxfId="4912" priority="5261"/>
    <cfRule type="duplicateValues" dxfId="4911" priority="5262"/>
    <cfRule type="duplicateValues" dxfId="4910" priority="5263"/>
    <cfRule type="duplicateValues" dxfId="4909" priority="5264"/>
    <cfRule type="duplicateValues" dxfId="4908" priority="5265"/>
    <cfRule type="duplicateValues" dxfId="4907" priority="5266"/>
    <cfRule type="duplicateValues" dxfId="4906" priority="5267"/>
    <cfRule type="duplicateValues" dxfId="4905" priority="5268"/>
    <cfRule type="duplicateValues" dxfId="4904" priority="5240"/>
    <cfRule type="duplicateValues" dxfId="4903" priority="5239"/>
    <cfRule type="duplicateValues" dxfId="4902" priority="5238"/>
    <cfRule type="duplicateValues" dxfId="4901" priority="5237"/>
    <cfRule type="duplicateValues" dxfId="4900" priority="5236"/>
    <cfRule type="duplicateValues" dxfId="4899" priority="5235"/>
    <cfRule type="duplicateValues" dxfId="4898" priority="5241"/>
    <cfRule type="duplicateValues" dxfId="4897" priority="5234"/>
    <cfRule type="duplicateValues" dxfId="4896" priority="5233"/>
    <cfRule type="duplicateValues" dxfId="4895" priority="5232"/>
    <cfRule type="duplicateValues" dxfId="4894" priority="5231"/>
    <cfRule type="duplicateValues" dxfId="4893" priority="5230"/>
    <cfRule type="duplicateValues" dxfId="4892" priority="5229"/>
    <cfRule type="duplicateValues" dxfId="4891" priority="5244"/>
    <cfRule type="duplicateValues" dxfId="4890" priority="5242"/>
    <cfRule type="duplicateValues" dxfId="4889" priority="5243"/>
    <cfRule type="duplicateValues" dxfId="4888" priority="5245"/>
    <cfRule type="duplicateValues" dxfId="4887" priority="5246"/>
    <cfRule type="duplicateValues" dxfId="4886" priority="5247"/>
    <cfRule type="duplicateValues" dxfId="4885" priority="5248"/>
    <cfRule type="duplicateValues" dxfId="4884" priority="5249"/>
    <cfRule type="duplicateValues" dxfId="4883" priority="5250"/>
    <cfRule type="duplicateValues" dxfId="4882" priority="5251"/>
    <cfRule type="duplicateValues" dxfId="4881" priority="5252"/>
    <cfRule type="duplicateValues" dxfId="4880" priority="5253"/>
    <cfRule type="duplicateValues" dxfId="4879" priority="5254"/>
    <cfRule type="duplicateValues" dxfId="4878" priority="5255"/>
    <cfRule type="duplicateValues" dxfId="4877" priority="5256"/>
    <cfRule type="duplicateValues" dxfId="4876" priority="5257"/>
    <cfRule type="duplicateValues" dxfId="4875" priority="5258"/>
    <cfRule type="duplicateValues" dxfId="4874" priority="5259"/>
  </conditionalFormatting>
  <conditionalFormatting sqref="B72">
    <cfRule type="duplicateValues" dxfId="4873" priority="5196"/>
    <cfRule type="duplicateValues" dxfId="4872" priority="5197"/>
    <cfRule type="duplicateValues" dxfId="4871" priority="5198"/>
    <cfRule type="duplicateValues" dxfId="4870" priority="5191"/>
    <cfRule type="duplicateValues" dxfId="4869" priority="5163"/>
    <cfRule type="duplicateValues" dxfId="4868" priority="5159"/>
    <cfRule type="duplicateValues" dxfId="4867" priority="5160"/>
    <cfRule type="duplicateValues" dxfId="4866" priority="5161"/>
    <cfRule type="duplicateValues" dxfId="4865" priority="5162"/>
    <cfRule type="duplicateValues" dxfId="4864" priority="5164"/>
    <cfRule type="duplicateValues" dxfId="4863" priority="5165"/>
    <cfRule type="duplicateValues" dxfId="4862" priority="5166"/>
    <cfRule type="duplicateValues" dxfId="4861" priority="5167"/>
    <cfRule type="duplicateValues" dxfId="4860" priority="5168"/>
    <cfRule type="duplicateValues" dxfId="4859" priority="5169"/>
    <cfRule type="duplicateValues" dxfId="4858" priority="5170"/>
    <cfRule type="duplicateValues" dxfId="4857" priority="5171"/>
    <cfRule type="duplicateValues" dxfId="4856" priority="5172"/>
    <cfRule type="duplicateValues" dxfId="4855" priority="5173"/>
    <cfRule type="duplicateValues" dxfId="4854" priority="5174"/>
    <cfRule type="duplicateValues" dxfId="4853" priority="5175"/>
    <cfRule type="duplicateValues" dxfId="4852" priority="5176"/>
    <cfRule type="duplicateValues" dxfId="4851" priority="5177"/>
    <cfRule type="duplicateValues" dxfId="4850" priority="5178"/>
    <cfRule type="duplicateValues" dxfId="4849" priority="5179"/>
    <cfRule type="duplicateValues" dxfId="4848" priority="5180"/>
    <cfRule type="duplicateValues" dxfId="4847" priority="5181"/>
    <cfRule type="duplicateValues" dxfId="4846" priority="5182"/>
    <cfRule type="duplicateValues" dxfId="4845" priority="5183"/>
    <cfRule type="duplicateValues" dxfId="4844" priority="5184"/>
    <cfRule type="duplicateValues" dxfId="4843" priority="5185"/>
    <cfRule type="duplicateValues" dxfId="4842" priority="5186"/>
    <cfRule type="duplicateValues" dxfId="4841" priority="5187"/>
    <cfRule type="duplicateValues" dxfId="4840" priority="5188"/>
    <cfRule type="duplicateValues" dxfId="4839" priority="5189"/>
    <cfRule type="duplicateValues" dxfId="4838" priority="5190"/>
    <cfRule type="duplicateValues" dxfId="4837" priority="5192"/>
    <cfRule type="duplicateValues" dxfId="4836" priority="5193"/>
    <cfRule type="duplicateValues" dxfId="4835" priority="5194"/>
    <cfRule type="duplicateValues" dxfId="4834" priority="5195"/>
  </conditionalFormatting>
  <conditionalFormatting sqref="B73">
    <cfRule type="duplicateValues" dxfId="4833" priority="1345"/>
    <cfRule type="duplicateValues" dxfId="4832" priority="1346"/>
    <cfRule type="duplicateValues" dxfId="4831" priority="1347"/>
    <cfRule type="duplicateValues" dxfId="4830" priority="1348"/>
    <cfRule type="duplicateValues" dxfId="4829" priority="1349"/>
    <cfRule type="duplicateValues" dxfId="4828" priority="1350"/>
    <cfRule type="duplicateValues" dxfId="4827" priority="1351"/>
    <cfRule type="duplicateValues" dxfId="4826" priority="1352"/>
    <cfRule type="duplicateValues" dxfId="4825" priority="1353"/>
    <cfRule type="duplicateValues" dxfId="4824" priority="1354"/>
    <cfRule type="duplicateValues" dxfId="4823" priority="1355"/>
    <cfRule type="duplicateValues" dxfId="4822" priority="1356"/>
    <cfRule type="duplicateValues" dxfId="4821" priority="1357"/>
    <cfRule type="duplicateValues" dxfId="4820" priority="1358"/>
    <cfRule type="duplicateValues" dxfId="4819" priority="1359"/>
    <cfRule type="duplicateValues" dxfId="4818" priority="1360"/>
    <cfRule type="duplicateValues" dxfId="4817" priority="1361"/>
    <cfRule type="duplicateValues" dxfId="4816" priority="1362"/>
    <cfRule type="duplicateValues" dxfId="4815" priority="1363"/>
    <cfRule type="duplicateValues" dxfId="4814" priority="1364"/>
    <cfRule type="duplicateValues" dxfId="4813" priority="1334"/>
    <cfRule type="duplicateValues" dxfId="4812" priority="1365"/>
    <cfRule type="duplicateValues" dxfId="4811" priority="1339"/>
    <cfRule type="duplicateValues" dxfId="4810" priority="1335"/>
    <cfRule type="duplicateValues" dxfId="4809" priority="1326"/>
    <cfRule type="duplicateValues" dxfId="4808" priority="1327"/>
    <cfRule type="duplicateValues" dxfId="4807" priority="1328"/>
    <cfRule type="duplicateValues" dxfId="4806" priority="1329"/>
    <cfRule type="duplicateValues" dxfId="4805" priority="1330"/>
    <cfRule type="duplicateValues" dxfId="4804" priority="1331"/>
    <cfRule type="duplicateValues" dxfId="4803" priority="1340"/>
    <cfRule type="duplicateValues" dxfId="4802" priority="1332"/>
    <cfRule type="duplicateValues" dxfId="4801" priority="1333"/>
    <cfRule type="duplicateValues" dxfId="4800" priority="1338"/>
    <cfRule type="duplicateValues" dxfId="4799" priority="1337"/>
    <cfRule type="duplicateValues" dxfId="4798" priority="1336"/>
    <cfRule type="duplicateValues" dxfId="4797" priority="1341"/>
    <cfRule type="duplicateValues" dxfId="4796" priority="1342"/>
    <cfRule type="duplicateValues" dxfId="4795" priority="1343"/>
    <cfRule type="duplicateValues" dxfId="4794" priority="1344"/>
    <cfRule type="duplicateValues" dxfId="4793" priority="1325"/>
  </conditionalFormatting>
  <conditionalFormatting sqref="B74:B77">
    <cfRule type="duplicateValues" dxfId="4792" priority="5149"/>
    <cfRule type="duplicateValues" dxfId="4791" priority="5148"/>
    <cfRule type="duplicateValues" dxfId="4790" priority="5147"/>
    <cfRule type="duplicateValues" dxfId="4789" priority="5146"/>
    <cfRule type="duplicateValues" dxfId="4788" priority="5145"/>
    <cfRule type="duplicateValues" dxfId="4787" priority="5144"/>
    <cfRule type="duplicateValues" dxfId="4786" priority="5143"/>
    <cfRule type="duplicateValues" dxfId="4785" priority="5142"/>
    <cfRule type="duplicateValues" dxfId="4784" priority="5141"/>
    <cfRule type="duplicateValues" dxfId="4783" priority="5140"/>
    <cfRule type="duplicateValues" dxfId="4782" priority="5139"/>
    <cfRule type="duplicateValues" dxfId="4781" priority="5138"/>
    <cfRule type="duplicateValues" dxfId="4780" priority="5137"/>
    <cfRule type="duplicateValues" dxfId="4779" priority="5136"/>
    <cfRule type="duplicateValues" dxfId="4778" priority="5135"/>
    <cfRule type="duplicateValues" dxfId="4777" priority="5134"/>
    <cfRule type="duplicateValues" dxfId="4776" priority="5133"/>
    <cfRule type="duplicateValues" dxfId="4775" priority="5132"/>
    <cfRule type="duplicateValues" dxfId="4774" priority="5131"/>
    <cfRule type="duplicateValues" dxfId="4773" priority="5129"/>
    <cfRule type="duplicateValues" dxfId="4772" priority="5128"/>
    <cfRule type="duplicateValues" dxfId="4771" priority="5127"/>
    <cfRule type="duplicateValues" dxfId="4770" priority="5126"/>
    <cfRule type="duplicateValues" dxfId="4769" priority="5125"/>
    <cfRule type="duplicateValues" dxfId="4768" priority="5124"/>
    <cfRule type="duplicateValues" dxfId="4767" priority="5123"/>
    <cfRule type="duplicateValues" dxfId="4766" priority="5122"/>
    <cfRule type="duplicateValues" dxfId="4765" priority="5121"/>
    <cfRule type="duplicateValues" dxfId="4764" priority="5120"/>
    <cfRule type="duplicateValues" dxfId="4763" priority="5119"/>
    <cfRule type="duplicateValues" dxfId="4762" priority="5150"/>
    <cfRule type="duplicateValues" dxfId="4761" priority="5130"/>
    <cfRule type="duplicateValues" dxfId="4760" priority="5158"/>
    <cfRule type="duplicateValues" dxfId="4759" priority="5157"/>
    <cfRule type="duplicateValues" dxfId="4758" priority="5156"/>
    <cfRule type="duplicateValues" dxfId="4757" priority="5155"/>
    <cfRule type="duplicateValues" dxfId="4756" priority="5154"/>
    <cfRule type="duplicateValues" dxfId="4755" priority="5153"/>
    <cfRule type="duplicateValues" dxfId="4754" priority="5152"/>
    <cfRule type="duplicateValues" dxfId="4753" priority="5151"/>
  </conditionalFormatting>
  <conditionalFormatting sqref="B78:B84">
    <cfRule type="duplicateValues" dxfId="4752" priority="5112"/>
    <cfRule type="duplicateValues" dxfId="4751" priority="5108"/>
    <cfRule type="duplicateValues" dxfId="4750" priority="5109"/>
    <cfRule type="duplicateValues" dxfId="4749" priority="5110"/>
    <cfRule type="duplicateValues" dxfId="4748" priority="5111"/>
    <cfRule type="duplicateValues" dxfId="4747" priority="5107"/>
    <cfRule type="duplicateValues" dxfId="4746" priority="5106"/>
    <cfRule type="duplicateValues" dxfId="4745" priority="5105"/>
    <cfRule type="duplicateValues" dxfId="4744" priority="5104"/>
    <cfRule type="duplicateValues" dxfId="4743" priority="5103"/>
    <cfRule type="duplicateValues" dxfId="4742" priority="5102"/>
    <cfRule type="duplicateValues" dxfId="4741" priority="5101"/>
    <cfRule type="duplicateValues" dxfId="4740" priority="5100"/>
    <cfRule type="duplicateValues" dxfId="4739" priority="5099"/>
    <cfRule type="duplicateValues" dxfId="4738" priority="5098"/>
    <cfRule type="duplicateValues" dxfId="4737" priority="5097"/>
    <cfRule type="duplicateValues" dxfId="4736" priority="5096"/>
    <cfRule type="duplicateValues" dxfId="4735" priority="5095"/>
    <cfRule type="duplicateValues" dxfId="4734" priority="5094"/>
    <cfRule type="duplicateValues" dxfId="4733" priority="5093"/>
    <cfRule type="duplicateValues" dxfId="4732" priority="5092"/>
    <cfRule type="duplicateValues" dxfId="4731" priority="5091"/>
    <cfRule type="duplicateValues" dxfId="4730" priority="5090"/>
    <cfRule type="duplicateValues" dxfId="4729" priority="5089"/>
    <cfRule type="duplicateValues" dxfId="4728" priority="5088"/>
    <cfRule type="duplicateValues" dxfId="4727" priority="5087"/>
    <cfRule type="duplicateValues" dxfId="4726" priority="5086"/>
    <cfRule type="duplicateValues" dxfId="4725" priority="5085"/>
    <cfRule type="duplicateValues" dxfId="4724" priority="5084"/>
    <cfRule type="duplicateValues" dxfId="4723" priority="5083"/>
    <cfRule type="duplicateValues" dxfId="4722" priority="5082"/>
    <cfRule type="duplicateValues" dxfId="4721" priority="5081"/>
    <cfRule type="duplicateValues" dxfId="4720" priority="5080"/>
    <cfRule type="duplicateValues" dxfId="4719" priority="5079"/>
    <cfRule type="duplicateValues" dxfId="4718" priority="5078"/>
    <cfRule type="duplicateValues" dxfId="4717" priority="5077"/>
    <cfRule type="duplicateValues" dxfId="4716" priority="5076"/>
    <cfRule type="duplicateValues" dxfId="4715" priority="5075"/>
    <cfRule type="duplicateValues" dxfId="4714" priority="5074"/>
    <cfRule type="duplicateValues" dxfId="4713" priority="5073"/>
    <cfRule type="duplicateValues" dxfId="4712" priority="5072"/>
    <cfRule type="duplicateValues" dxfId="4711" priority="5071"/>
  </conditionalFormatting>
  <conditionalFormatting sqref="B85:B86">
    <cfRule type="duplicateValues" dxfId="4710" priority="5030"/>
    <cfRule type="duplicateValues" dxfId="4709" priority="5029"/>
    <cfRule type="duplicateValues" dxfId="4708" priority="5028"/>
    <cfRule type="duplicateValues" dxfId="4707" priority="5027"/>
    <cfRule type="duplicateValues" dxfId="4706" priority="5026"/>
    <cfRule type="duplicateValues" dxfId="4705" priority="5025"/>
    <cfRule type="duplicateValues" dxfId="4704" priority="5024"/>
    <cfRule type="duplicateValues" dxfId="4703" priority="5023"/>
    <cfRule type="duplicateValues" dxfId="4702" priority="5022"/>
    <cfRule type="duplicateValues" dxfId="4701" priority="5021"/>
    <cfRule type="duplicateValues" dxfId="4700" priority="5020"/>
    <cfRule type="duplicateValues" dxfId="4699" priority="5019"/>
    <cfRule type="duplicateValues" dxfId="4698" priority="5018"/>
    <cfRule type="duplicateValues" dxfId="4697" priority="5017"/>
    <cfRule type="duplicateValues" dxfId="4696" priority="5016"/>
    <cfRule type="duplicateValues" dxfId="4695" priority="5015"/>
    <cfRule type="duplicateValues" dxfId="4694" priority="5014"/>
    <cfRule type="duplicateValues" dxfId="4693" priority="5013"/>
    <cfRule type="duplicateValues" dxfId="4692" priority="5012"/>
    <cfRule type="duplicateValues" dxfId="4691" priority="5011"/>
    <cfRule type="duplicateValues" dxfId="4690" priority="5010"/>
    <cfRule type="duplicateValues" dxfId="4689" priority="5009"/>
    <cfRule type="duplicateValues" dxfId="4688" priority="5008"/>
    <cfRule type="duplicateValues" dxfId="4687" priority="5007"/>
    <cfRule type="duplicateValues" dxfId="4686" priority="5006"/>
    <cfRule type="duplicateValues" dxfId="4685" priority="5005"/>
    <cfRule type="duplicateValues" dxfId="4684" priority="5004"/>
    <cfRule type="duplicateValues" dxfId="4683" priority="5003"/>
    <cfRule type="duplicateValues" dxfId="4682" priority="5002"/>
    <cfRule type="duplicateValues" dxfId="4681" priority="5001"/>
    <cfRule type="duplicateValues" dxfId="4680" priority="5000"/>
    <cfRule type="duplicateValues" dxfId="4679" priority="4999"/>
    <cfRule type="duplicateValues" dxfId="4678" priority="4998"/>
    <cfRule type="duplicateValues" dxfId="4677" priority="4997"/>
    <cfRule type="duplicateValues" dxfId="4676" priority="4996"/>
    <cfRule type="duplicateValues" dxfId="4675" priority="4995"/>
    <cfRule type="duplicateValues" dxfId="4674" priority="4994"/>
    <cfRule type="duplicateValues" dxfId="4673" priority="4993"/>
    <cfRule type="duplicateValues" dxfId="4672" priority="4992"/>
    <cfRule type="duplicateValues" dxfId="4671" priority="4991"/>
  </conditionalFormatting>
  <conditionalFormatting sqref="B85:B98">
    <cfRule type="duplicateValues" dxfId="4670" priority="5047"/>
    <cfRule type="duplicateValues" dxfId="4669" priority="5070"/>
    <cfRule type="duplicateValues" dxfId="4668" priority="5069"/>
    <cfRule type="duplicateValues" dxfId="4667" priority="5068"/>
    <cfRule type="duplicateValues" dxfId="4666" priority="5067"/>
    <cfRule type="duplicateValues" dxfId="4665" priority="5066"/>
    <cfRule type="duplicateValues" dxfId="4664" priority="5065"/>
    <cfRule type="duplicateValues" dxfId="4663" priority="5064"/>
    <cfRule type="duplicateValues" dxfId="4662" priority="5063"/>
    <cfRule type="duplicateValues" dxfId="4661" priority="5062"/>
    <cfRule type="duplicateValues" dxfId="4660" priority="5061"/>
    <cfRule type="duplicateValues" dxfId="4659" priority="5060"/>
    <cfRule type="duplicateValues" dxfId="4658" priority="5059"/>
    <cfRule type="duplicateValues" dxfId="4657" priority="5058"/>
    <cfRule type="duplicateValues" dxfId="4656" priority="5057"/>
    <cfRule type="duplicateValues" dxfId="4655" priority="5056"/>
    <cfRule type="duplicateValues" dxfId="4654" priority="5055"/>
    <cfRule type="duplicateValues" dxfId="4653" priority="5054"/>
    <cfRule type="duplicateValues" dxfId="4652" priority="5053"/>
    <cfRule type="duplicateValues" dxfId="4651" priority="5052"/>
    <cfRule type="duplicateValues" dxfId="4650" priority="5051"/>
    <cfRule type="duplicateValues" dxfId="4649" priority="5050"/>
    <cfRule type="duplicateValues" dxfId="4648" priority="5049"/>
    <cfRule type="duplicateValues" dxfId="4647" priority="5048"/>
    <cfRule type="duplicateValues" dxfId="4646" priority="5046"/>
    <cfRule type="duplicateValues" dxfId="4645" priority="5045"/>
    <cfRule type="duplicateValues" dxfId="4644" priority="5044"/>
    <cfRule type="duplicateValues" dxfId="4643" priority="5043"/>
    <cfRule type="duplicateValues" dxfId="4642" priority="5042"/>
    <cfRule type="duplicateValues" dxfId="4641" priority="5041"/>
    <cfRule type="duplicateValues" dxfId="4640" priority="5040"/>
    <cfRule type="duplicateValues" dxfId="4639" priority="5039"/>
    <cfRule type="duplicateValues" dxfId="4638" priority="5038"/>
    <cfRule type="duplicateValues" dxfId="4637" priority="5037"/>
    <cfRule type="duplicateValues" dxfId="4636" priority="5036"/>
    <cfRule type="duplicateValues" dxfId="4635" priority="5035"/>
    <cfRule type="duplicateValues" dxfId="4634" priority="5034"/>
    <cfRule type="duplicateValues" dxfId="4633" priority="5033"/>
    <cfRule type="duplicateValues" dxfId="4632" priority="5032"/>
    <cfRule type="duplicateValues" dxfId="4631" priority="5031"/>
  </conditionalFormatting>
  <conditionalFormatting sqref="B87">
    <cfRule type="duplicateValues" dxfId="4630" priority="4951"/>
    <cfRule type="duplicateValues" dxfId="4629" priority="4969"/>
    <cfRule type="duplicateValues" dxfId="4628" priority="4970"/>
    <cfRule type="duplicateValues" dxfId="4627" priority="4971"/>
    <cfRule type="duplicateValues" dxfId="4626" priority="4972"/>
    <cfRule type="duplicateValues" dxfId="4625" priority="4952"/>
    <cfRule type="duplicateValues" dxfId="4624" priority="4982"/>
    <cfRule type="duplicateValues" dxfId="4623" priority="4946"/>
    <cfRule type="duplicateValues" dxfId="4622" priority="4947"/>
    <cfRule type="duplicateValues" dxfId="4621" priority="4948"/>
    <cfRule type="duplicateValues" dxfId="4620" priority="4949"/>
    <cfRule type="duplicateValues" dxfId="4619" priority="4950"/>
    <cfRule type="duplicateValues" dxfId="4618" priority="4973"/>
    <cfRule type="duplicateValues" dxfId="4617" priority="4953"/>
    <cfRule type="duplicateValues" dxfId="4616" priority="4954"/>
    <cfRule type="duplicateValues" dxfId="4615" priority="4955"/>
    <cfRule type="duplicateValues" dxfId="4614" priority="4956"/>
    <cfRule type="duplicateValues" dxfId="4613" priority="4957"/>
    <cfRule type="duplicateValues" dxfId="4612" priority="4958"/>
    <cfRule type="duplicateValues" dxfId="4611" priority="4959"/>
    <cfRule type="duplicateValues" dxfId="4610" priority="4960"/>
    <cfRule type="duplicateValues" dxfId="4609" priority="4961"/>
    <cfRule type="duplicateValues" dxfId="4608" priority="4962"/>
    <cfRule type="duplicateValues" dxfId="4607" priority="4963"/>
    <cfRule type="duplicateValues" dxfId="4606" priority="4974"/>
    <cfRule type="duplicateValues" dxfId="4605" priority="4975"/>
    <cfRule type="duplicateValues" dxfId="4604" priority="4976"/>
    <cfRule type="duplicateValues" dxfId="4603" priority="4977"/>
    <cfRule type="duplicateValues" dxfId="4602" priority="4978"/>
    <cfRule type="duplicateValues" dxfId="4601" priority="4979"/>
    <cfRule type="duplicateValues" dxfId="4600" priority="4980"/>
    <cfRule type="duplicateValues" dxfId="4599" priority="4981"/>
    <cfRule type="duplicateValues" dxfId="4598" priority="4983"/>
    <cfRule type="duplicateValues" dxfId="4597" priority="4984"/>
    <cfRule type="duplicateValues" dxfId="4596" priority="4985"/>
    <cfRule type="duplicateValues" dxfId="4595" priority="4986"/>
    <cfRule type="duplicateValues" dxfId="4594" priority="4987"/>
    <cfRule type="duplicateValues" dxfId="4593" priority="4964"/>
    <cfRule type="duplicateValues" dxfId="4592" priority="4965"/>
    <cfRule type="duplicateValues" dxfId="4591" priority="4966"/>
    <cfRule type="duplicateValues" dxfId="4590" priority="4967"/>
    <cfRule type="duplicateValues" dxfId="4589" priority="4968"/>
  </conditionalFormatting>
  <conditionalFormatting sqref="B88">
    <cfRule type="duplicateValues" dxfId="4588" priority="4937"/>
    <cfRule type="duplicateValues" dxfId="4587" priority="4938"/>
    <cfRule type="duplicateValues" dxfId="4586" priority="4939"/>
    <cfRule type="duplicateValues" dxfId="4585" priority="4900"/>
    <cfRule type="duplicateValues" dxfId="4584" priority="4901"/>
    <cfRule type="duplicateValues" dxfId="4583" priority="4902"/>
    <cfRule type="duplicateValues" dxfId="4582" priority="4903"/>
    <cfRule type="duplicateValues" dxfId="4581" priority="4904"/>
    <cfRule type="duplicateValues" dxfId="4580" priority="4906"/>
    <cfRule type="duplicateValues" dxfId="4579" priority="4936"/>
    <cfRule type="duplicateValues" dxfId="4578" priority="4907"/>
    <cfRule type="duplicateValues" dxfId="4577" priority="4908"/>
    <cfRule type="duplicateValues" dxfId="4576" priority="4909"/>
    <cfRule type="duplicateValues" dxfId="4575" priority="4910"/>
    <cfRule type="duplicateValues" dxfId="4574" priority="4911"/>
    <cfRule type="duplicateValues" dxfId="4573" priority="4912"/>
    <cfRule type="duplicateValues" dxfId="4572" priority="4913"/>
    <cfRule type="duplicateValues" dxfId="4571" priority="4914"/>
    <cfRule type="duplicateValues" dxfId="4570" priority="4915"/>
    <cfRule type="duplicateValues" dxfId="4569" priority="4916"/>
    <cfRule type="duplicateValues" dxfId="4568" priority="4917"/>
    <cfRule type="duplicateValues" dxfId="4567" priority="4918"/>
    <cfRule type="duplicateValues" dxfId="4566" priority="4919"/>
    <cfRule type="duplicateValues" dxfId="4565" priority="4920"/>
    <cfRule type="duplicateValues" dxfId="4564" priority="4921"/>
    <cfRule type="duplicateValues" dxfId="4563" priority="4922"/>
    <cfRule type="duplicateValues" dxfId="4562" priority="4923"/>
    <cfRule type="duplicateValues" dxfId="4561" priority="4924"/>
    <cfRule type="duplicateValues" dxfId="4560" priority="4925"/>
    <cfRule type="duplicateValues" dxfId="4559" priority="4926"/>
    <cfRule type="duplicateValues" dxfId="4558" priority="4927"/>
    <cfRule type="duplicateValues" dxfId="4557" priority="4928"/>
    <cfRule type="duplicateValues" dxfId="4556" priority="4929"/>
    <cfRule type="duplicateValues" dxfId="4555" priority="4930"/>
    <cfRule type="duplicateValues" dxfId="4554" priority="4931"/>
    <cfRule type="duplicateValues" dxfId="4553" priority="4932"/>
    <cfRule type="duplicateValues" dxfId="4552" priority="4933"/>
    <cfRule type="duplicateValues" dxfId="4551" priority="4934"/>
    <cfRule type="duplicateValues" dxfId="4550" priority="4935"/>
    <cfRule type="duplicateValues" dxfId="4549" priority="4905"/>
  </conditionalFormatting>
  <conditionalFormatting sqref="B89:B98">
    <cfRule type="duplicateValues" dxfId="4548" priority="4865"/>
    <cfRule type="duplicateValues" dxfId="4547" priority="4866"/>
    <cfRule type="duplicateValues" dxfId="4546" priority="4867"/>
    <cfRule type="duplicateValues" dxfId="4545" priority="4868"/>
    <cfRule type="duplicateValues" dxfId="4544" priority="4864"/>
    <cfRule type="duplicateValues" dxfId="4543" priority="4849"/>
    <cfRule type="duplicateValues" dxfId="4542" priority="4850"/>
    <cfRule type="duplicateValues" dxfId="4541" priority="4851"/>
    <cfRule type="duplicateValues" dxfId="4540" priority="4852"/>
    <cfRule type="duplicateValues" dxfId="4539" priority="4853"/>
    <cfRule type="duplicateValues" dxfId="4538" priority="4854"/>
    <cfRule type="duplicateValues" dxfId="4537" priority="4855"/>
    <cfRule type="duplicateValues" dxfId="4536" priority="4856"/>
    <cfRule type="duplicateValues" dxfId="4535" priority="4857"/>
    <cfRule type="duplicateValues" dxfId="4534" priority="4858"/>
    <cfRule type="duplicateValues" dxfId="4533" priority="4859"/>
    <cfRule type="duplicateValues" dxfId="4532" priority="4860"/>
    <cfRule type="duplicateValues" dxfId="4531" priority="4861"/>
    <cfRule type="duplicateValues" dxfId="4530" priority="4863"/>
    <cfRule type="duplicateValues" dxfId="4529" priority="4862"/>
    <cfRule type="duplicateValues" dxfId="4528" priority="4836"/>
    <cfRule type="duplicateValues" dxfId="4527" priority="4846"/>
    <cfRule type="duplicateValues" dxfId="4526" priority="4828"/>
    <cfRule type="duplicateValues" dxfId="4525" priority="4829"/>
    <cfRule type="duplicateValues" dxfId="4524" priority="4830"/>
    <cfRule type="duplicateValues" dxfId="4523" priority="4831"/>
    <cfRule type="duplicateValues" dxfId="4522" priority="4832"/>
    <cfRule type="duplicateValues" dxfId="4521" priority="4833"/>
    <cfRule type="duplicateValues" dxfId="4520" priority="4834"/>
    <cfRule type="duplicateValues" dxfId="4519" priority="4835"/>
    <cfRule type="duplicateValues" dxfId="4518" priority="4837"/>
    <cfRule type="duplicateValues" dxfId="4517" priority="4838"/>
    <cfRule type="duplicateValues" dxfId="4516" priority="4839"/>
    <cfRule type="duplicateValues" dxfId="4515" priority="4840"/>
    <cfRule type="duplicateValues" dxfId="4514" priority="4841"/>
    <cfRule type="duplicateValues" dxfId="4513" priority="4842"/>
    <cfRule type="duplicateValues" dxfId="4512" priority="4843"/>
    <cfRule type="duplicateValues" dxfId="4511" priority="4844"/>
    <cfRule type="duplicateValues" dxfId="4510" priority="4845"/>
    <cfRule type="duplicateValues" dxfId="4509" priority="4847"/>
    <cfRule type="duplicateValues" dxfId="4508" priority="4848"/>
  </conditionalFormatting>
  <conditionalFormatting sqref="B91:B96">
    <cfRule type="duplicateValues" dxfId="4507" priority="4822"/>
    <cfRule type="duplicateValues" dxfId="4506" priority="4812"/>
    <cfRule type="duplicateValues" dxfId="4505" priority="4801"/>
    <cfRule type="duplicateValues" dxfId="4504" priority="4789"/>
    <cfRule type="duplicateValues" dxfId="4503" priority="4790"/>
    <cfRule type="duplicateValues" dxfId="4502" priority="4800"/>
    <cfRule type="duplicateValues" dxfId="4501" priority="4791"/>
    <cfRule type="duplicateValues" dxfId="4500" priority="4792"/>
    <cfRule type="duplicateValues" dxfId="4499" priority="4793"/>
    <cfRule type="duplicateValues" dxfId="4498" priority="4794"/>
    <cfRule type="duplicateValues" dxfId="4497" priority="4809"/>
    <cfRule type="duplicateValues" dxfId="4496" priority="4795"/>
    <cfRule type="duplicateValues" dxfId="4495" priority="4796"/>
    <cfRule type="duplicateValues" dxfId="4494" priority="4797"/>
    <cfRule type="duplicateValues" dxfId="4493" priority="4805"/>
    <cfRule type="duplicateValues" dxfId="4492" priority="4817"/>
    <cfRule type="duplicateValues" dxfId="4491" priority="4818"/>
    <cfRule type="duplicateValues" dxfId="4490" priority="4819"/>
    <cfRule type="duplicateValues" dxfId="4489" priority="4820"/>
    <cfRule type="duplicateValues" dxfId="4488" priority="4821"/>
    <cfRule type="duplicateValues" dxfId="4487" priority="4798"/>
    <cfRule type="duplicateValues" dxfId="4486" priority="4823"/>
    <cfRule type="duplicateValues" dxfId="4485" priority="4799"/>
    <cfRule type="duplicateValues" dxfId="4484" priority="4784"/>
    <cfRule type="duplicateValues" dxfId="4483" priority="4785"/>
    <cfRule type="duplicateValues" dxfId="4482" priority="4786"/>
    <cfRule type="duplicateValues" dxfId="4481" priority="4787"/>
    <cfRule type="duplicateValues" dxfId="4480" priority="4788"/>
    <cfRule type="duplicateValues" dxfId="4479" priority="4802"/>
    <cfRule type="duplicateValues" dxfId="4478" priority="4803"/>
    <cfRule type="duplicateValues" dxfId="4477" priority="4804"/>
    <cfRule type="duplicateValues" dxfId="4476" priority="4806"/>
    <cfRule type="duplicateValues" dxfId="4475" priority="4807"/>
    <cfRule type="duplicateValues" dxfId="4474" priority="4808"/>
    <cfRule type="duplicateValues" dxfId="4473" priority="4810"/>
    <cfRule type="duplicateValues" dxfId="4472" priority="4811"/>
    <cfRule type="duplicateValues" dxfId="4471" priority="4813"/>
    <cfRule type="duplicateValues" dxfId="4470" priority="4814"/>
    <cfRule type="duplicateValues" dxfId="4469" priority="4815"/>
    <cfRule type="duplicateValues" dxfId="4468" priority="4816"/>
  </conditionalFormatting>
  <conditionalFormatting sqref="B97:B98">
    <cfRule type="duplicateValues" dxfId="4467" priority="4737"/>
    <cfRule type="duplicateValues" dxfId="4466" priority="4775"/>
    <cfRule type="duplicateValues" dxfId="4465" priority="4738"/>
    <cfRule type="duplicateValues" dxfId="4464" priority="4739"/>
    <cfRule type="duplicateValues" dxfId="4463" priority="4740"/>
    <cfRule type="duplicateValues" dxfId="4462" priority="4774"/>
    <cfRule type="duplicateValues" dxfId="4461" priority="4741"/>
    <cfRule type="duplicateValues" dxfId="4460" priority="4742"/>
    <cfRule type="duplicateValues" dxfId="4459" priority="4743"/>
    <cfRule type="duplicateValues" dxfId="4458" priority="4773"/>
    <cfRule type="duplicateValues" dxfId="4457" priority="4744"/>
    <cfRule type="duplicateValues" dxfId="4456" priority="4746"/>
    <cfRule type="duplicateValues" dxfId="4455" priority="4747"/>
    <cfRule type="duplicateValues" dxfId="4454" priority="4748"/>
    <cfRule type="duplicateValues" dxfId="4453" priority="4749"/>
    <cfRule type="duplicateValues" dxfId="4452" priority="4745"/>
    <cfRule type="duplicateValues" dxfId="4451" priority="4772"/>
    <cfRule type="duplicateValues" dxfId="4450" priority="4771"/>
    <cfRule type="duplicateValues" dxfId="4449" priority="4770"/>
    <cfRule type="duplicateValues" dxfId="4448" priority="4776"/>
    <cfRule type="duplicateValues" dxfId="4447" priority="4768"/>
    <cfRule type="duplicateValues" dxfId="4446" priority="4767"/>
    <cfRule type="duplicateValues" dxfId="4445" priority="4766"/>
    <cfRule type="duplicateValues" dxfId="4444" priority="4765"/>
    <cfRule type="duplicateValues" dxfId="4443" priority="4764"/>
    <cfRule type="duplicateValues" dxfId="4442" priority="4763"/>
    <cfRule type="duplicateValues" dxfId="4441" priority="4762"/>
    <cfRule type="duplicateValues" dxfId="4440" priority="4761"/>
    <cfRule type="duplicateValues" dxfId="4439" priority="4760"/>
    <cfRule type="duplicateValues" dxfId="4438" priority="4769"/>
    <cfRule type="duplicateValues" dxfId="4437" priority="4758"/>
    <cfRule type="duplicateValues" dxfId="4436" priority="4757"/>
    <cfRule type="duplicateValues" dxfId="4435" priority="4756"/>
    <cfRule type="duplicateValues" dxfId="4434" priority="4755"/>
    <cfRule type="duplicateValues" dxfId="4433" priority="4754"/>
    <cfRule type="duplicateValues" dxfId="4432" priority="4753"/>
    <cfRule type="duplicateValues" dxfId="4431" priority="4752"/>
    <cfRule type="duplicateValues" dxfId="4430" priority="4751"/>
    <cfRule type="duplicateValues" dxfId="4429" priority="4750"/>
    <cfRule type="duplicateValues" dxfId="4428" priority="4759"/>
  </conditionalFormatting>
  <conditionalFormatting sqref="B97:B152 B89:B90 B155:B193 B1:B84">
    <cfRule type="duplicateValues" dxfId="4427" priority="5796"/>
  </conditionalFormatting>
  <conditionalFormatting sqref="B99:B101">
    <cfRule type="duplicateValues" dxfId="4426" priority="4663"/>
    <cfRule type="duplicateValues" dxfId="4425" priority="4662"/>
    <cfRule type="duplicateValues" dxfId="4424" priority="4661"/>
    <cfRule type="duplicateValues" dxfId="4423" priority="4660"/>
    <cfRule type="duplicateValues" dxfId="4422" priority="4659"/>
    <cfRule type="duplicateValues" dxfId="4421" priority="4658"/>
    <cfRule type="duplicateValues" dxfId="4420" priority="4657"/>
    <cfRule type="duplicateValues" dxfId="4419" priority="4656"/>
    <cfRule type="duplicateValues" dxfId="4418" priority="4655"/>
    <cfRule type="duplicateValues" dxfId="4417" priority="4654"/>
    <cfRule type="duplicateValues" dxfId="4416" priority="4653"/>
    <cfRule type="duplicateValues" dxfId="4415" priority="4652"/>
    <cfRule type="duplicateValues" dxfId="4414" priority="4651"/>
    <cfRule type="duplicateValues" dxfId="4413" priority="4650"/>
    <cfRule type="duplicateValues" dxfId="4412" priority="4649"/>
    <cfRule type="duplicateValues" dxfId="4411" priority="4648"/>
    <cfRule type="duplicateValues" dxfId="4410" priority="4647"/>
    <cfRule type="duplicateValues" dxfId="4409" priority="4646"/>
    <cfRule type="duplicateValues" dxfId="4408" priority="4645"/>
    <cfRule type="duplicateValues" dxfId="4407" priority="4644"/>
    <cfRule type="duplicateValues" dxfId="4406" priority="4643"/>
    <cfRule type="duplicateValues" dxfId="4405" priority="4642"/>
    <cfRule type="duplicateValues" dxfId="4404" priority="4641"/>
    <cfRule type="duplicateValues" dxfId="4403" priority="4640"/>
    <cfRule type="duplicateValues" dxfId="4402" priority="4639"/>
    <cfRule type="duplicateValues" dxfId="4401" priority="4638"/>
    <cfRule type="duplicateValues" dxfId="4400" priority="4637"/>
    <cfRule type="duplicateValues" dxfId="4399" priority="4636"/>
    <cfRule type="duplicateValues" dxfId="4398" priority="4635"/>
    <cfRule type="duplicateValues" dxfId="4397" priority="4634"/>
    <cfRule type="duplicateValues" dxfId="4396" priority="4633"/>
    <cfRule type="duplicateValues" dxfId="4395" priority="4632"/>
    <cfRule type="duplicateValues" dxfId="4394" priority="4631"/>
    <cfRule type="duplicateValues" dxfId="4393" priority="4630"/>
    <cfRule type="duplicateValues" dxfId="4392" priority="4629"/>
    <cfRule type="duplicateValues" dxfId="4391" priority="4628"/>
    <cfRule type="duplicateValues" dxfId="4390" priority="4627"/>
    <cfRule type="duplicateValues" dxfId="4389" priority="4626"/>
    <cfRule type="duplicateValues" dxfId="4388" priority="4625"/>
    <cfRule type="duplicateValues" dxfId="4387" priority="4624"/>
    <cfRule type="duplicateValues" dxfId="4386" priority="4623"/>
    <cfRule type="duplicateValues" dxfId="4385" priority="4622"/>
    <cfRule type="duplicateValues" dxfId="4384" priority="4621"/>
    <cfRule type="duplicateValues" dxfId="4383" priority="4620"/>
    <cfRule type="duplicateValues" dxfId="4382" priority="4619"/>
    <cfRule type="duplicateValues" dxfId="4381" priority="4618"/>
    <cfRule type="duplicateValues" dxfId="4380" priority="4617"/>
    <cfRule type="duplicateValues" dxfId="4379" priority="4616"/>
    <cfRule type="duplicateValues" dxfId="4378" priority="4615"/>
    <cfRule type="duplicateValues" dxfId="4377" priority="4614"/>
    <cfRule type="duplicateValues" dxfId="4376" priority="4613"/>
    <cfRule type="duplicateValues" dxfId="4375" priority="4612"/>
    <cfRule type="duplicateValues" dxfId="4374" priority="4611"/>
    <cfRule type="duplicateValues" dxfId="4373" priority="4610"/>
    <cfRule type="duplicateValues" dxfId="4372" priority="4609"/>
    <cfRule type="duplicateValues" dxfId="4371" priority="4608"/>
    <cfRule type="duplicateValues" dxfId="4370" priority="4607"/>
    <cfRule type="duplicateValues" dxfId="4369" priority="4733"/>
    <cfRule type="duplicateValues" dxfId="4368" priority="4732"/>
    <cfRule type="duplicateValues" dxfId="4367" priority="4731"/>
    <cfRule type="duplicateValues" dxfId="4366" priority="4730"/>
    <cfRule type="duplicateValues" dxfId="4365" priority="4729"/>
    <cfRule type="duplicateValues" dxfId="4364" priority="4728"/>
    <cfRule type="duplicateValues" dxfId="4363" priority="4727"/>
    <cfRule type="duplicateValues" dxfId="4362" priority="4726"/>
    <cfRule type="duplicateValues" dxfId="4361" priority="4725"/>
    <cfRule type="duplicateValues" dxfId="4360" priority="4724"/>
    <cfRule type="duplicateValues" dxfId="4359" priority="4723"/>
    <cfRule type="duplicateValues" dxfId="4358" priority="4722"/>
    <cfRule type="duplicateValues" dxfId="4357" priority="4721"/>
    <cfRule type="duplicateValues" dxfId="4356" priority="4720"/>
    <cfRule type="duplicateValues" dxfId="4355" priority="4719"/>
    <cfRule type="duplicateValues" dxfId="4354" priority="4718"/>
    <cfRule type="duplicateValues" dxfId="4353" priority="4717"/>
    <cfRule type="duplicateValues" dxfId="4352" priority="4716"/>
    <cfRule type="duplicateValues" dxfId="4351" priority="4715"/>
    <cfRule type="duplicateValues" dxfId="4350" priority="4714"/>
    <cfRule type="duplicateValues" dxfId="4349" priority="4713"/>
    <cfRule type="duplicateValues" dxfId="4348" priority="4712"/>
    <cfRule type="duplicateValues" dxfId="4347" priority="4711"/>
    <cfRule type="duplicateValues" dxfId="4346" priority="4710"/>
    <cfRule type="duplicateValues" dxfId="4345" priority="4709"/>
    <cfRule type="duplicateValues" dxfId="4344" priority="4708"/>
    <cfRule type="duplicateValues" dxfId="4343" priority="4707"/>
    <cfRule type="duplicateValues" dxfId="4342" priority="4706"/>
    <cfRule type="duplicateValues" dxfId="4341" priority="4705"/>
    <cfRule type="duplicateValues" dxfId="4340" priority="4704"/>
    <cfRule type="duplicateValues" dxfId="4339" priority="4703"/>
    <cfRule type="duplicateValues" dxfId="4338" priority="4702"/>
    <cfRule type="duplicateValues" dxfId="4337" priority="4701"/>
    <cfRule type="duplicateValues" dxfId="4336" priority="4700"/>
    <cfRule type="duplicateValues" dxfId="4335" priority="4699"/>
    <cfRule type="duplicateValues" dxfId="4334" priority="4698"/>
    <cfRule type="duplicateValues" dxfId="4333" priority="4697"/>
    <cfRule type="duplicateValues" dxfId="4332" priority="4696"/>
    <cfRule type="duplicateValues" dxfId="4331" priority="4695"/>
    <cfRule type="duplicateValues" dxfId="4330" priority="4694"/>
    <cfRule type="duplicateValues" dxfId="4329" priority="4693"/>
    <cfRule type="duplicateValues" dxfId="4328" priority="4692"/>
    <cfRule type="duplicateValues" dxfId="4327" priority="4686"/>
    <cfRule type="duplicateValues" dxfId="4326" priority="4685"/>
    <cfRule type="duplicateValues" dxfId="4325" priority="4684"/>
    <cfRule type="duplicateValues" dxfId="4324" priority="4683"/>
    <cfRule type="duplicateValues" dxfId="4323" priority="4682"/>
    <cfRule type="duplicateValues" dxfId="4322" priority="4681"/>
    <cfRule type="duplicateValues" dxfId="4321" priority="4680"/>
    <cfRule type="duplicateValues" dxfId="4320" priority="4679"/>
    <cfRule type="duplicateValues" dxfId="4319" priority="4678"/>
    <cfRule type="duplicateValues" dxfId="4318" priority="4677"/>
    <cfRule type="duplicateValues" dxfId="4317" priority="4676"/>
    <cfRule type="duplicateValues" dxfId="4316" priority="4675"/>
    <cfRule type="duplicateValues" dxfId="4315" priority="4674"/>
    <cfRule type="duplicateValues" dxfId="4314" priority="4673"/>
    <cfRule type="duplicateValues" dxfId="4313" priority="4672"/>
    <cfRule type="duplicateValues" dxfId="4312" priority="4671"/>
    <cfRule type="duplicateValues" dxfId="4311" priority="4670"/>
    <cfRule type="duplicateValues" dxfId="4310" priority="4669"/>
    <cfRule type="duplicateValues" dxfId="4309" priority="4668"/>
    <cfRule type="duplicateValues" dxfId="4308" priority="4667"/>
    <cfRule type="duplicateValues" dxfId="4307" priority="4666"/>
    <cfRule type="duplicateValues" dxfId="4306" priority="4665"/>
    <cfRule type="duplicateValues" dxfId="4305" priority="4664"/>
  </conditionalFormatting>
  <conditionalFormatting sqref="B102:B103">
    <cfRule type="duplicateValues" dxfId="4304" priority="4572"/>
    <cfRule type="duplicateValues" dxfId="4303" priority="4540"/>
    <cfRule type="duplicateValues" dxfId="4302" priority="4539"/>
    <cfRule type="duplicateValues" dxfId="4301" priority="4538"/>
    <cfRule type="duplicateValues" dxfId="4300" priority="4537"/>
    <cfRule type="duplicateValues" dxfId="4299" priority="4536"/>
    <cfRule type="duplicateValues" dxfId="4298" priority="4535"/>
    <cfRule type="duplicateValues" dxfId="4297" priority="4534"/>
    <cfRule type="duplicateValues" dxfId="4296" priority="4533"/>
    <cfRule type="duplicateValues" dxfId="4295" priority="4532"/>
    <cfRule type="duplicateValues" dxfId="4294" priority="4531"/>
    <cfRule type="duplicateValues" dxfId="4293" priority="4530"/>
    <cfRule type="duplicateValues" dxfId="4292" priority="4529"/>
    <cfRule type="duplicateValues" dxfId="4291" priority="4528"/>
    <cfRule type="duplicateValues" dxfId="4290" priority="4527"/>
    <cfRule type="duplicateValues" dxfId="4289" priority="4526"/>
    <cfRule type="duplicateValues" dxfId="4288" priority="4605"/>
    <cfRule type="duplicateValues" dxfId="4287" priority="4604"/>
    <cfRule type="duplicateValues" dxfId="4286" priority="4603"/>
    <cfRule type="duplicateValues" dxfId="4285" priority="4602"/>
    <cfRule type="duplicateValues" dxfId="4284" priority="4601"/>
    <cfRule type="duplicateValues" dxfId="4283" priority="4600"/>
    <cfRule type="duplicateValues" dxfId="4282" priority="4599"/>
    <cfRule type="duplicateValues" dxfId="4281" priority="4598"/>
    <cfRule type="duplicateValues" dxfId="4280" priority="4597"/>
    <cfRule type="duplicateValues" dxfId="4279" priority="4596"/>
    <cfRule type="duplicateValues" dxfId="4278" priority="4595"/>
    <cfRule type="duplicateValues" dxfId="4277" priority="4594"/>
    <cfRule type="duplicateValues" dxfId="4276" priority="4593"/>
    <cfRule type="duplicateValues" dxfId="4275" priority="4592"/>
    <cfRule type="duplicateValues" dxfId="4274" priority="4591"/>
    <cfRule type="duplicateValues" dxfId="4273" priority="4590"/>
    <cfRule type="duplicateValues" dxfId="4272" priority="4589"/>
    <cfRule type="duplicateValues" dxfId="4271" priority="4588"/>
    <cfRule type="duplicateValues" dxfId="4270" priority="4587"/>
    <cfRule type="duplicateValues" dxfId="4269" priority="4586"/>
    <cfRule type="duplicateValues" dxfId="4268" priority="4585"/>
    <cfRule type="duplicateValues" dxfId="4267" priority="4584"/>
    <cfRule type="duplicateValues" dxfId="4266" priority="4583"/>
    <cfRule type="duplicateValues" dxfId="4265" priority="4582"/>
    <cfRule type="duplicateValues" dxfId="4264" priority="4581"/>
    <cfRule type="duplicateValues" dxfId="4263" priority="4580"/>
    <cfRule type="duplicateValues" dxfId="4262" priority="4579"/>
    <cfRule type="duplicateValues" dxfId="4261" priority="4578"/>
    <cfRule type="duplicateValues" dxfId="4260" priority="4577"/>
    <cfRule type="duplicateValues" dxfId="4259" priority="4576"/>
    <cfRule type="duplicateValues" dxfId="4258" priority="4575"/>
    <cfRule type="duplicateValues" dxfId="4257" priority="4574"/>
    <cfRule type="duplicateValues" dxfId="4256" priority="4573"/>
    <cfRule type="duplicateValues" dxfId="4255" priority="4525"/>
    <cfRule type="duplicateValues" dxfId="4254" priority="4571"/>
    <cfRule type="duplicateValues" dxfId="4253" priority="4570"/>
    <cfRule type="duplicateValues" dxfId="4252" priority="4569"/>
    <cfRule type="duplicateValues" dxfId="4251" priority="4568"/>
    <cfRule type="duplicateValues" dxfId="4250" priority="4567"/>
    <cfRule type="duplicateValues" dxfId="4249" priority="4566"/>
    <cfRule type="duplicateValues" dxfId="4248" priority="4565"/>
    <cfRule type="duplicateValues" dxfId="4247" priority="4564"/>
    <cfRule type="duplicateValues" dxfId="4246" priority="4563"/>
    <cfRule type="duplicateValues" dxfId="4245" priority="4562"/>
    <cfRule type="duplicateValues" dxfId="4244" priority="4561"/>
    <cfRule type="duplicateValues" dxfId="4243" priority="4560"/>
    <cfRule type="duplicateValues" dxfId="4242" priority="4559"/>
    <cfRule type="duplicateValues" dxfId="4241" priority="4558"/>
    <cfRule type="duplicateValues" dxfId="4240" priority="4557"/>
    <cfRule type="duplicateValues" dxfId="4239" priority="4556"/>
    <cfRule type="duplicateValues" dxfId="4238" priority="4555"/>
    <cfRule type="duplicateValues" dxfId="4237" priority="4554"/>
    <cfRule type="duplicateValues" dxfId="4236" priority="4553"/>
    <cfRule type="duplicateValues" dxfId="4235" priority="4552"/>
    <cfRule type="duplicateValues" dxfId="4234" priority="4551"/>
    <cfRule type="duplicateValues" dxfId="4233" priority="4550"/>
    <cfRule type="duplicateValues" dxfId="4232" priority="4549"/>
    <cfRule type="duplicateValues" dxfId="4231" priority="4548"/>
    <cfRule type="duplicateValues" dxfId="4230" priority="4547"/>
    <cfRule type="duplicateValues" dxfId="4229" priority="4546"/>
    <cfRule type="duplicateValues" dxfId="4228" priority="4545"/>
    <cfRule type="duplicateValues" dxfId="4227" priority="4544"/>
    <cfRule type="duplicateValues" dxfId="4226" priority="4543"/>
    <cfRule type="duplicateValues" dxfId="4225" priority="4542"/>
    <cfRule type="duplicateValues" dxfId="4224" priority="4541"/>
  </conditionalFormatting>
  <conditionalFormatting sqref="B102:B152 B97:B98 B89:B90 B1:B5 B155:B193 B20:B71">
    <cfRule type="duplicateValues" dxfId="4223" priority="5797"/>
  </conditionalFormatting>
  <conditionalFormatting sqref="B102:B152 B97:B98 B89:B90 B1:B5 B155:B193 B20:B73">
    <cfRule type="duplicateValues" dxfId="4222" priority="5798"/>
  </conditionalFormatting>
  <conditionalFormatting sqref="B103">
    <cfRule type="duplicateValues" dxfId="4221" priority="4458"/>
    <cfRule type="duplicateValues" dxfId="4220" priority="4457"/>
    <cfRule type="duplicateValues" dxfId="4219" priority="4456"/>
    <cfRule type="duplicateValues" dxfId="4218" priority="4455"/>
    <cfRule type="duplicateValues" dxfId="4217" priority="4454"/>
    <cfRule type="duplicateValues" dxfId="4216" priority="4453"/>
    <cfRule type="duplicateValues" dxfId="4215" priority="4452"/>
    <cfRule type="duplicateValues" dxfId="4214" priority="4451"/>
    <cfRule type="duplicateValues" dxfId="4213" priority="4450"/>
    <cfRule type="duplicateValues" dxfId="4212" priority="4449"/>
    <cfRule type="duplicateValues" dxfId="4211" priority="4448"/>
    <cfRule type="duplicateValues" dxfId="4210" priority="4447"/>
    <cfRule type="duplicateValues" dxfId="4209" priority="4446"/>
    <cfRule type="duplicateValues" dxfId="4208" priority="4445"/>
    <cfRule type="duplicateValues" dxfId="4207" priority="4524"/>
    <cfRule type="duplicateValues" dxfId="4206" priority="4523"/>
    <cfRule type="duplicateValues" dxfId="4205" priority="4522"/>
    <cfRule type="duplicateValues" dxfId="4204" priority="4521"/>
    <cfRule type="duplicateValues" dxfId="4203" priority="4520"/>
    <cfRule type="duplicateValues" dxfId="4202" priority="4519"/>
    <cfRule type="duplicateValues" dxfId="4201" priority="4518"/>
    <cfRule type="duplicateValues" dxfId="4200" priority="4517"/>
    <cfRule type="duplicateValues" dxfId="4199" priority="4516"/>
    <cfRule type="duplicateValues" dxfId="4198" priority="4482"/>
    <cfRule type="duplicateValues" dxfId="4197" priority="4515"/>
    <cfRule type="duplicateValues" dxfId="4196" priority="4514"/>
    <cfRule type="duplicateValues" dxfId="4195" priority="4513"/>
    <cfRule type="duplicateValues" dxfId="4194" priority="4512"/>
    <cfRule type="duplicateValues" dxfId="4193" priority="4511"/>
    <cfRule type="duplicateValues" dxfId="4192" priority="4510"/>
    <cfRule type="duplicateValues" dxfId="4191" priority="4509"/>
    <cfRule type="duplicateValues" dxfId="4190" priority="4508"/>
    <cfRule type="duplicateValues" dxfId="4189" priority="4507"/>
    <cfRule type="duplicateValues" dxfId="4188" priority="4506"/>
    <cfRule type="duplicateValues" dxfId="4187" priority="4505"/>
    <cfRule type="duplicateValues" dxfId="4186" priority="4504"/>
    <cfRule type="duplicateValues" dxfId="4185" priority="4503"/>
    <cfRule type="duplicateValues" dxfId="4184" priority="4502"/>
    <cfRule type="duplicateValues" dxfId="4183" priority="4501"/>
    <cfRule type="duplicateValues" dxfId="4182" priority="4500"/>
    <cfRule type="duplicateValues" dxfId="4181" priority="4499"/>
    <cfRule type="duplicateValues" dxfId="4180" priority="4498"/>
    <cfRule type="duplicateValues" dxfId="4179" priority="4497"/>
    <cfRule type="duplicateValues" dxfId="4178" priority="4496"/>
    <cfRule type="duplicateValues" dxfId="4177" priority="4495"/>
    <cfRule type="duplicateValues" dxfId="4176" priority="4494"/>
    <cfRule type="duplicateValues" dxfId="4175" priority="4493"/>
    <cfRule type="duplicateValues" dxfId="4174" priority="4492"/>
    <cfRule type="duplicateValues" dxfId="4173" priority="4491"/>
    <cfRule type="duplicateValues" dxfId="4172" priority="4490"/>
    <cfRule type="duplicateValues" dxfId="4171" priority="4489"/>
    <cfRule type="duplicateValues" dxfId="4170" priority="4488"/>
    <cfRule type="duplicateValues" dxfId="4169" priority="4487"/>
    <cfRule type="duplicateValues" dxfId="4168" priority="4486"/>
    <cfRule type="duplicateValues" dxfId="4167" priority="4485"/>
    <cfRule type="duplicateValues" dxfId="4166" priority="4484"/>
    <cfRule type="duplicateValues" dxfId="4165" priority="4483"/>
    <cfRule type="duplicateValues" dxfId="4164" priority="4444"/>
    <cfRule type="duplicateValues" dxfId="4163" priority="4481"/>
    <cfRule type="duplicateValues" dxfId="4162" priority="4480"/>
    <cfRule type="duplicateValues" dxfId="4161" priority="4479"/>
    <cfRule type="duplicateValues" dxfId="4160" priority="4478"/>
    <cfRule type="duplicateValues" dxfId="4159" priority="4477"/>
    <cfRule type="duplicateValues" dxfId="4158" priority="4476"/>
    <cfRule type="duplicateValues" dxfId="4157" priority="4475"/>
    <cfRule type="duplicateValues" dxfId="4156" priority="4474"/>
    <cfRule type="duplicateValues" dxfId="4155" priority="4473"/>
    <cfRule type="duplicateValues" dxfId="4154" priority="4472"/>
    <cfRule type="duplicateValues" dxfId="4153" priority="4471"/>
    <cfRule type="duplicateValues" dxfId="4152" priority="4470"/>
    <cfRule type="duplicateValues" dxfId="4151" priority="4469"/>
    <cfRule type="duplicateValues" dxfId="4150" priority="4468"/>
    <cfRule type="duplicateValues" dxfId="4149" priority="4467"/>
    <cfRule type="duplicateValues" dxfId="4148" priority="4466"/>
    <cfRule type="duplicateValues" dxfId="4147" priority="4465"/>
    <cfRule type="duplicateValues" dxfId="4146" priority="4464"/>
    <cfRule type="duplicateValues" dxfId="4145" priority="4463"/>
    <cfRule type="duplicateValues" dxfId="4144" priority="4462"/>
    <cfRule type="duplicateValues" dxfId="4143" priority="4461"/>
    <cfRule type="duplicateValues" dxfId="4142" priority="4460"/>
    <cfRule type="duplicateValues" dxfId="4141" priority="4459"/>
  </conditionalFormatting>
  <conditionalFormatting sqref="B104">
    <cfRule type="duplicateValues" dxfId="4140" priority="4296"/>
    <cfRule type="duplicateValues" dxfId="4139" priority="4295"/>
    <cfRule type="duplicateValues" dxfId="4138" priority="4294"/>
    <cfRule type="duplicateValues" dxfId="4137" priority="4293"/>
    <cfRule type="duplicateValues" dxfId="4136" priority="4292"/>
    <cfRule type="duplicateValues" dxfId="4135" priority="4291"/>
    <cfRule type="duplicateValues" dxfId="4134" priority="4290"/>
    <cfRule type="duplicateValues" dxfId="4133" priority="4289"/>
    <cfRule type="duplicateValues" dxfId="4132" priority="4288"/>
    <cfRule type="duplicateValues" dxfId="4131" priority="4287"/>
    <cfRule type="duplicateValues" dxfId="4130" priority="4286"/>
    <cfRule type="duplicateValues" dxfId="4129" priority="4285"/>
    <cfRule type="duplicateValues" dxfId="4128" priority="4284"/>
    <cfRule type="duplicateValues" dxfId="4127" priority="4283"/>
    <cfRule type="duplicateValues" dxfId="4126" priority="4282"/>
    <cfRule type="duplicateValues" dxfId="4125" priority="4362"/>
    <cfRule type="duplicateValues" dxfId="4124" priority="4361"/>
    <cfRule type="duplicateValues" dxfId="4123" priority="4360"/>
    <cfRule type="duplicateValues" dxfId="4122" priority="4359"/>
    <cfRule type="duplicateValues" dxfId="4121" priority="4358"/>
    <cfRule type="duplicateValues" dxfId="4120" priority="4357"/>
    <cfRule type="duplicateValues" dxfId="4119" priority="4356"/>
    <cfRule type="duplicateValues" dxfId="4118" priority="4355"/>
    <cfRule type="duplicateValues" dxfId="4117" priority="4354"/>
    <cfRule type="duplicateValues" dxfId="4116" priority="4353"/>
    <cfRule type="duplicateValues" dxfId="4115" priority="4352"/>
    <cfRule type="duplicateValues" dxfId="4114" priority="4351"/>
    <cfRule type="duplicateValues" dxfId="4113" priority="4350"/>
    <cfRule type="duplicateValues" dxfId="4112" priority="4349"/>
    <cfRule type="duplicateValues" dxfId="4111" priority="4348"/>
    <cfRule type="duplicateValues" dxfId="4110" priority="4347"/>
    <cfRule type="duplicateValues" dxfId="4109" priority="4346"/>
    <cfRule type="duplicateValues" dxfId="4108" priority="4345"/>
    <cfRule type="duplicateValues" dxfId="4107" priority="4344"/>
    <cfRule type="duplicateValues" dxfId="4106" priority="4343"/>
    <cfRule type="duplicateValues" dxfId="4105" priority="4342"/>
    <cfRule type="duplicateValues" dxfId="4104" priority="4341"/>
    <cfRule type="duplicateValues" dxfId="4103" priority="4340"/>
    <cfRule type="duplicateValues" dxfId="4102" priority="4339"/>
    <cfRule type="duplicateValues" dxfId="4101" priority="4338"/>
    <cfRule type="duplicateValues" dxfId="4100" priority="4337"/>
    <cfRule type="duplicateValues" dxfId="4099" priority="4336"/>
    <cfRule type="duplicateValues" dxfId="4098" priority="4335"/>
    <cfRule type="duplicateValues" dxfId="4097" priority="4334"/>
    <cfRule type="duplicateValues" dxfId="4096" priority="4333"/>
    <cfRule type="duplicateValues" dxfId="4095" priority="4332"/>
    <cfRule type="duplicateValues" dxfId="4094" priority="4331"/>
    <cfRule type="duplicateValues" dxfId="4093" priority="4330"/>
    <cfRule type="duplicateValues" dxfId="4092" priority="4329"/>
    <cfRule type="duplicateValues" dxfId="4091" priority="4328"/>
    <cfRule type="duplicateValues" dxfId="4090" priority="4327"/>
    <cfRule type="duplicateValues" dxfId="4089" priority="4326"/>
    <cfRule type="duplicateValues" dxfId="4088" priority="4325"/>
    <cfRule type="duplicateValues" dxfId="4087" priority="4324"/>
    <cfRule type="duplicateValues" dxfId="4086" priority="4323"/>
    <cfRule type="duplicateValues" dxfId="4085" priority="4322"/>
    <cfRule type="duplicateValues" dxfId="4084" priority="4321"/>
    <cfRule type="duplicateValues" dxfId="4083" priority="4320"/>
    <cfRule type="duplicateValues" dxfId="4082" priority="4319"/>
    <cfRule type="duplicateValues" dxfId="4081" priority="4318"/>
    <cfRule type="duplicateValues" dxfId="4080" priority="4317"/>
    <cfRule type="duplicateValues" dxfId="4079" priority="4316"/>
    <cfRule type="duplicateValues" dxfId="4078" priority="4315"/>
    <cfRule type="duplicateValues" dxfId="4077" priority="4314"/>
    <cfRule type="duplicateValues" dxfId="4076" priority="4313"/>
    <cfRule type="duplicateValues" dxfId="4075" priority="4312"/>
    <cfRule type="duplicateValues" dxfId="4074" priority="4311"/>
    <cfRule type="duplicateValues" dxfId="4073" priority="4310"/>
    <cfRule type="duplicateValues" dxfId="4072" priority="4309"/>
    <cfRule type="duplicateValues" dxfId="4071" priority="4308"/>
    <cfRule type="duplicateValues" dxfId="4070" priority="4307"/>
    <cfRule type="duplicateValues" dxfId="4069" priority="4306"/>
    <cfRule type="duplicateValues" dxfId="4068" priority="4305"/>
    <cfRule type="duplicateValues" dxfId="4067" priority="4304"/>
    <cfRule type="duplicateValues" dxfId="4066" priority="4303"/>
    <cfRule type="duplicateValues" dxfId="4065" priority="4302"/>
    <cfRule type="duplicateValues" dxfId="4064" priority="4301"/>
    <cfRule type="duplicateValues" dxfId="4063" priority="4300"/>
    <cfRule type="duplicateValues" dxfId="4062" priority="4299"/>
    <cfRule type="duplicateValues" dxfId="4061" priority="4298"/>
    <cfRule type="duplicateValues" dxfId="4060" priority="4297"/>
  </conditionalFormatting>
  <conditionalFormatting sqref="B105">
    <cfRule type="duplicateValues" dxfId="4059" priority="4438"/>
    <cfRule type="duplicateValues" dxfId="4058" priority="4378"/>
    <cfRule type="duplicateValues" dxfId="4057" priority="4377"/>
    <cfRule type="duplicateValues" dxfId="4056" priority="4376"/>
    <cfRule type="duplicateValues" dxfId="4055" priority="4375"/>
    <cfRule type="duplicateValues" dxfId="4054" priority="4374"/>
    <cfRule type="duplicateValues" dxfId="4053" priority="4373"/>
    <cfRule type="duplicateValues" dxfId="4052" priority="4372"/>
    <cfRule type="duplicateValues" dxfId="4051" priority="4371"/>
    <cfRule type="duplicateValues" dxfId="4050" priority="4370"/>
    <cfRule type="duplicateValues" dxfId="4049" priority="4369"/>
    <cfRule type="duplicateValues" dxfId="4048" priority="4368"/>
    <cfRule type="duplicateValues" dxfId="4047" priority="4367"/>
    <cfRule type="duplicateValues" dxfId="4046" priority="4366"/>
    <cfRule type="duplicateValues" dxfId="4045" priority="4365"/>
    <cfRule type="duplicateValues" dxfId="4044" priority="4443"/>
    <cfRule type="duplicateValues" dxfId="4043" priority="4442"/>
    <cfRule type="duplicateValues" dxfId="4042" priority="4441"/>
    <cfRule type="duplicateValues" dxfId="4041" priority="4440"/>
    <cfRule type="duplicateValues" dxfId="4040" priority="4439"/>
    <cfRule type="duplicateValues" dxfId="4039" priority="4418"/>
    <cfRule type="duplicateValues" dxfId="4038" priority="4437"/>
    <cfRule type="duplicateValues" dxfId="4037" priority="4436"/>
    <cfRule type="duplicateValues" dxfId="4036" priority="4435"/>
    <cfRule type="duplicateValues" dxfId="4035" priority="4434"/>
    <cfRule type="duplicateValues" dxfId="4034" priority="4433"/>
    <cfRule type="duplicateValues" dxfId="4033" priority="4432"/>
    <cfRule type="duplicateValues" dxfId="4032" priority="4431"/>
    <cfRule type="duplicateValues" dxfId="4031" priority="4430"/>
    <cfRule type="duplicateValues" dxfId="4030" priority="4429"/>
    <cfRule type="duplicateValues" dxfId="4029" priority="4428"/>
    <cfRule type="duplicateValues" dxfId="4028" priority="4427"/>
    <cfRule type="duplicateValues" dxfId="4027" priority="4426"/>
    <cfRule type="duplicateValues" dxfId="4026" priority="4425"/>
    <cfRule type="duplicateValues" dxfId="4025" priority="4424"/>
    <cfRule type="duplicateValues" dxfId="4024" priority="4423"/>
    <cfRule type="duplicateValues" dxfId="4023" priority="4422"/>
    <cfRule type="duplicateValues" dxfId="4022" priority="4421"/>
    <cfRule type="duplicateValues" dxfId="4021" priority="4420"/>
    <cfRule type="duplicateValues" dxfId="4020" priority="4419"/>
    <cfRule type="duplicateValues" dxfId="4019" priority="4364"/>
    <cfRule type="duplicateValues" dxfId="4018" priority="4417"/>
    <cfRule type="duplicateValues" dxfId="4017" priority="4416"/>
    <cfRule type="duplicateValues" dxfId="4016" priority="4415"/>
    <cfRule type="duplicateValues" dxfId="4015" priority="4414"/>
    <cfRule type="duplicateValues" dxfId="4014" priority="4413"/>
    <cfRule type="duplicateValues" dxfId="4013" priority="4412"/>
    <cfRule type="duplicateValues" dxfId="4012" priority="4411"/>
    <cfRule type="duplicateValues" dxfId="4011" priority="4410"/>
    <cfRule type="duplicateValues" dxfId="4010" priority="4409"/>
    <cfRule type="duplicateValues" dxfId="4009" priority="4408"/>
    <cfRule type="duplicateValues" dxfId="4008" priority="4407"/>
    <cfRule type="duplicateValues" dxfId="4007" priority="4406"/>
    <cfRule type="duplicateValues" dxfId="4006" priority="4405"/>
    <cfRule type="duplicateValues" dxfId="4005" priority="4404"/>
    <cfRule type="duplicateValues" dxfId="4004" priority="4403"/>
    <cfRule type="duplicateValues" dxfId="4003" priority="4402"/>
    <cfRule type="duplicateValues" dxfId="4002" priority="4401"/>
    <cfRule type="duplicateValues" dxfId="4001" priority="4400"/>
    <cfRule type="duplicateValues" dxfId="4000" priority="4399"/>
    <cfRule type="duplicateValues" dxfId="3999" priority="4398"/>
    <cfRule type="duplicateValues" dxfId="3998" priority="4397"/>
    <cfRule type="duplicateValues" dxfId="3997" priority="4396"/>
    <cfRule type="duplicateValues" dxfId="3996" priority="4395"/>
    <cfRule type="duplicateValues" dxfId="3995" priority="4394"/>
    <cfRule type="duplicateValues" dxfId="3994" priority="4393"/>
    <cfRule type="duplicateValues" dxfId="3993" priority="4392"/>
    <cfRule type="duplicateValues" dxfId="3992" priority="4391"/>
    <cfRule type="duplicateValues" dxfId="3991" priority="4390"/>
    <cfRule type="duplicateValues" dxfId="3990" priority="4389"/>
    <cfRule type="duplicateValues" dxfId="3989" priority="4388"/>
    <cfRule type="duplicateValues" dxfId="3988" priority="4387"/>
    <cfRule type="duplicateValues" dxfId="3987" priority="4386"/>
    <cfRule type="duplicateValues" dxfId="3986" priority="4385"/>
    <cfRule type="duplicateValues" dxfId="3985" priority="4384"/>
    <cfRule type="duplicateValues" dxfId="3984" priority="4363"/>
    <cfRule type="duplicateValues" dxfId="3983" priority="4383"/>
    <cfRule type="duplicateValues" dxfId="3982" priority="4382"/>
    <cfRule type="duplicateValues" dxfId="3981" priority="4381"/>
    <cfRule type="duplicateValues" dxfId="3980" priority="4380"/>
    <cfRule type="duplicateValues" dxfId="3979" priority="4379"/>
  </conditionalFormatting>
  <conditionalFormatting sqref="B106:B114">
    <cfRule type="duplicateValues" dxfId="3978" priority="4224"/>
    <cfRule type="duplicateValues" dxfId="3977" priority="4225"/>
    <cfRule type="duplicateValues" dxfId="3976" priority="4226"/>
    <cfRule type="duplicateValues" dxfId="3975" priority="4227"/>
    <cfRule type="duplicateValues" dxfId="3974" priority="4228"/>
    <cfRule type="duplicateValues" dxfId="3973" priority="4229"/>
    <cfRule type="duplicateValues" dxfId="3972" priority="4230"/>
    <cfRule type="duplicateValues" dxfId="3971" priority="4231"/>
    <cfRule type="duplicateValues" dxfId="3970" priority="4232"/>
    <cfRule type="duplicateValues" dxfId="3969" priority="4233"/>
    <cfRule type="duplicateValues" dxfId="3968" priority="4234"/>
    <cfRule type="duplicateValues" dxfId="3967" priority="4235"/>
    <cfRule type="duplicateValues" dxfId="3966" priority="4236"/>
    <cfRule type="duplicateValues" dxfId="3965" priority="4237"/>
    <cfRule type="duplicateValues" dxfId="3964" priority="4223"/>
    <cfRule type="duplicateValues" dxfId="3963" priority="4238"/>
    <cfRule type="duplicateValues" dxfId="3962" priority="4281"/>
    <cfRule type="duplicateValues" dxfId="3961" priority="4280"/>
    <cfRule type="duplicateValues" dxfId="3960" priority="4279"/>
    <cfRule type="duplicateValues" dxfId="3959" priority="4278"/>
    <cfRule type="duplicateValues" dxfId="3958" priority="4277"/>
    <cfRule type="duplicateValues" dxfId="3957" priority="4276"/>
    <cfRule type="duplicateValues" dxfId="3956" priority="4275"/>
    <cfRule type="duplicateValues" dxfId="3955" priority="4274"/>
    <cfRule type="duplicateValues" dxfId="3954" priority="4273"/>
    <cfRule type="duplicateValues" dxfId="3953" priority="4272"/>
    <cfRule type="duplicateValues" dxfId="3952" priority="4271"/>
    <cfRule type="duplicateValues" dxfId="3951" priority="4270"/>
    <cfRule type="duplicateValues" dxfId="3950" priority="4269"/>
    <cfRule type="duplicateValues" dxfId="3949" priority="4268"/>
    <cfRule type="duplicateValues" dxfId="3948" priority="4267"/>
    <cfRule type="duplicateValues" dxfId="3947" priority="4266"/>
    <cfRule type="duplicateValues" dxfId="3946" priority="4265"/>
    <cfRule type="duplicateValues" dxfId="3945" priority="4264"/>
    <cfRule type="duplicateValues" dxfId="3944" priority="4263"/>
    <cfRule type="duplicateValues" dxfId="3943" priority="4262"/>
    <cfRule type="duplicateValues" dxfId="3942" priority="4261"/>
    <cfRule type="duplicateValues" dxfId="3941" priority="4260"/>
    <cfRule type="duplicateValues" dxfId="3940" priority="4259"/>
    <cfRule type="duplicateValues" dxfId="3939" priority="4258"/>
    <cfRule type="duplicateValues" dxfId="3938" priority="4257"/>
    <cfRule type="duplicateValues" dxfId="3937" priority="4256"/>
    <cfRule type="duplicateValues" dxfId="3936" priority="4255"/>
    <cfRule type="duplicateValues" dxfId="3935" priority="4254"/>
    <cfRule type="duplicateValues" dxfId="3934" priority="4253"/>
    <cfRule type="duplicateValues" dxfId="3933" priority="4252"/>
    <cfRule type="duplicateValues" dxfId="3932" priority="4251"/>
    <cfRule type="duplicateValues" dxfId="3931" priority="4250"/>
    <cfRule type="duplicateValues" dxfId="3930" priority="4249"/>
    <cfRule type="duplicateValues" dxfId="3929" priority="4248"/>
    <cfRule type="duplicateValues" dxfId="3928" priority="4247"/>
    <cfRule type="duplicateValues" dxfId="3927" priority="4246"/>
    <cfRule type="duplicateValues" dxfId="3926" priority="4245"/>
    <cfRule type="duplicateValues" dxfId="3925" priority="4244"/>
    <cfRule type="duplicateValues" dxfId="3924" priority="4243"/>
    <cfRule type="duplicateValues" dxfId="3923" priority="4242"/>
    <cfRule type="duplicateValues" dxfId="3922" priority="4241"/>
    <cfRule type="duplicateValues" dxfId="3921" priority="4240"/>
    <cfRule type="duplicateValues" dxfId="3920" priority="4201"/>
    <cfRule type="duplicateValues" dxfId="3919" priority="4202"/>
    <cfRule type="duplicateValues" dxfId="3918" priority="4203"/>
    <cfRule type="duplicateValues" dxfId="3917" priority="4204"/>
    <cfRule type="duplicateValues" dxfId="3916" priority="4205"/>
    <cfRule type="duplicateValues" dxfId="3915" priority="4206"/>
    <cfRule type="duplicateValues" dxfId="3914" priority="4207"/>
    <cfRule type="duplicateValues" dxfId="3913" priority="4208"/>
    <cfRule type="duplicateValues" dxfId="3912" priority="4209"/>
    <cfRule type="duplicateValues" dxfId="3911" priority="4210"/>
    <cfRule type="duplicateValues" dxfId="3910" priority="4239"/>
    <cfRule type="duplicateValues" dxfId="3909" priority="4211"/>
    <cfRule type="duplicateValues" dxfId="3908" priority="4212"/>
    <cfRule type="duplicateValues" dxfId="3907" priority="4213"/>
    <cfRule type="duplicateValues" dxfId="3906" priority="4214"/>
    <cfRule type="duplicateValues" dxfId="3905" priority="4215"/>
    <cfRule type="duplicateValues" dxfId="3904" priority="4216"/>
    <cfRule type="duplicateValues" dxfId="3903" priority="4217"/>
    <cfRule type="duplicateValues" dxfId="3902" priority="4218"/>
    <cfRule type="duplicateValues" dxfId="3901" priority="4219"/>
    <cfRule type="duplicateValues" dxfId="3900" priority="4220"/>
    <cfRule type="duplicateValues" dxfId="3899" priority="4221"/>
    <cfRule type="duplicateValues" dxfId="3898" priority="4222"/>
  </conditionalFormatting>
  <conditionalFormatting sqref="B115">
    <cfRule type="duplicateValues" dxfId="3897" priority="4003"/>
    <cfRule type="duplicateValues" dxfId="3896" priority="4004"/>
    <cfRule type="duplicateValues" dxfId="3895" priority="4005"/>
    <cfRule type="duplicateValues" dxfId="3894" priority="4006"/>
    <cfRule type="duplicateValues" dxfId="3893" priority="4007"/>
    <cfRule type="duplicateValues" dxfId="3892" priority="4008"/>
    <cfRule type="duplicateValues" dxfId="3891" priority="4009"/>
    <cfRule type="duplicateValues" dxfId="3890" priority="4010"/>
    <cfRule type="duplicateValues" dxfId="3889" priority="4011"/>
    <cfRule type="duplicateValues" dxfId="3888" priority="4012"/>
    <cfRule type="duplicateValues" dxfId="3887" priority="4013"/>
    <cfRule type="duplicateValues" dxfId="3886" priority="4014"/>
    <cfRule type="duplicateValues" dxfId="3885" priority="4015"/>
    <cfRule type="duplicateValues" dxfId="3884" priority="4016"/>
    <cfRule type="duplicateValues" dxfId="3883" priority="4017"/>
    <cfRule type="duplicateValues" dxfId="3882" priority="4018"/>
    <cfRule type="duplicateValues" dxfId="3881" priority="4019"/>
    <cfRule type="duplicateValues" dxfId="3880" priority="4020"/>
    <cfRule type="duplicateValues" dxfId="3879" priority="4021"/>
    <cfRule type="duplicateValues" dxfId="3878" priority="4022"/>
    <cfRule type="duplicateValues" dxfId="3877" priority="4023"/>
    <cfRule type="duplicateValues" dxfId="3876" priority="4024"/>
    <cfRule type="duplicateValues" dxfId="3875" priority="4025"/>
    <cfRule type="duplicateValues" dxfId="3874" priority="4026"/>
    <cfRule type="duplicateValues" dxfId="3873" priority="4027"/>
    <cfRule type="duplicateValues" dxfId="3872" priority="4028"/>
    <cfRule type="duplicateValues" dxfId="3871" priority="4029"/>
    <cfRule type="duplicateValues" dxfId="3870" priority="4030"/>
    <cfRule type="duplicateValues" dxfId="3869" priority="4031"/>
    <cfRule type="duplicateValues" dxfId="3868" priority="4032"/>
    <cfRule type="duplicateValues" dxfId="3867" priority="4033"/>
    <cfRule type="duplicateValues" dxfId="3866" priority="4034"/>
    <cfRule type="duplicateValues" dxfId="3865" priority="4035"/>
    <cfRule type="duplicateValues" dxfId="3864" priority="4036"/>
    <cfRule type="duplicateValues" dxfId="3863" priority="4037"/>
    <cfRule type="duplicateValues" dxfId="3862" priority="4038"/>
    <cfRule type="duplicateValues" dxfId="3861" priority="4039"/>
    <cfRule type="duplicateValues" dxfId="3860" priority="4040"/>
    <cfRule type="duplicateValues" dxfId="3859" priority="4041"/>
    <cfRule type="duplicateValues" dxfId="3858" priority="4042"/>
    <cfRule type="duplicateValues" dxfId="3857" priority="4043"/>
    <cfRule type="duplicateValues" dxfId="3856" priority="4044"/>
    <cfRule type="duplicateValues" dxfId="3855" priority="4045"/>
    <cfRule type="duplicateValues" dxfId="3854" priority="4046"/>
    <cfRule type="duplicateValues" dxfId="3853" priority="4047"/>
    <cfRule type="duplicateValues" dxfId="3852" priority="4048"/>
    <cfRule type="duplicateValues" dxfId="3851" priority="4049"/>
    <cfRule type="duplicateValues" dxfId="3850" priority="4050"/>
    <cfRule type="duplicateValues" dxfId="3849" priority="4051"/>
    <cfRule type="duplicateValues" dxfId="3848" priority="4052"/>
    <cfRule type="duplicateValues" dxfId="3847" priority="4053"/>
    <cfRule type="duplicateValues" dxfId="3846" priority="4054"/>
    <cfRule type="duplicateValues" dxfId="3845" priority="4055"/>
    <cfRule type="duplicateValues" dxfId="3844" priority="4056"/>
    <cfRule type="duplicateValues" dxfId="3843" priority="4057"/>
    <cfRule type="duplicateValues" dxfId="3842" priority="4058"/>
    <cfRule type="duplicateValues" dxfId="3841" priority="4059"/>
    <cfRule type="duplicateValues" dxfId="3840" priority="4060"/>
    <cfRule type="duplicateValues" dxfId="3839" priority="4061"/>
    <cfRule type="duplicateValues" dxfId="3838" priority="4062"/>
    <cfRule type="duplicateValues" dxfId="3837" priority="4063"/>
    <cfRule type="duplicateValues" dxfId="3836" priority="4064"/>
    <cfRule type="duplicateValues" dxfId="3835" priority="4065"/>
    <cfRule type="duplicateValues" dxfId="3834" priority="4066"/>
    <cfRule type="duplicateValues" dxfId="3833" priority="4067"/>
    <cfRule type="duplicateValues" dxfId="3832" priority="4068"/>
    <cfRule type="duplicateValues" dxfId="3831" priority="4069"/>
    <cfRule type="duplicateValues" dxfId="3830" priority="4070"/>
    <cfRule type="duplicateValues" dxfId="3829" priority="4071"/>
    <cfRule type="duplicateValues" dxfId="3828" priority="4072"/>
    <cfRule type="duplicateValues" dxfId="3827" priority="4073"/>
    <cfRule type="duplicateValues" dxfId="3826" priority="4074"/>
    <cfRule type="duplicateValues" dxfId="3825" priority="4075"/>
    <cfRule type="duplicateValues" dxfId="3824" priority="4076"/>
    <cfRule type="duplicateValues" dxfId="3823" priority="4077"/>
    <cfRule type="duplicateValues" dxfId="3822" priority="4079"/>
    <cfRule type="duplicateValues" dxfId="3821" priority="4078"/>
    <cfRule type="duplicateValues" dxfId="3820" priority="4002"/>
  </conditionalFormatting>
  <conditionalFormatting sqref="B115:B118">
    <cfRule type="duplicateValues" dxfId="3819" priority="4179"/>
    <cfRule type="duplicateValues" dxfId="3818" priority="4080"/>
    <cfRule type="duplicateValues" dxfId="3817" priority="4081"/>
    <cfRule type="duplicateValues" dxfId="3816" priority="4082"/>
    <cfRule type="duplicateValues" dxfId="3815" priority="4083"/>
    <cfRule type="duplicateValues" dxfId="3814" priority="4084"/>
    <cfRule type="duplicateValues" dxfId="3813" priority="4085"/>
    <cfRule type="duplicateValues" dxfId="3812" priority="4086"/>
    <cfRule type="duplicateValues" dxfId="3811" priority="4087"/>
    <cfRule type="duplicateValues" dxfId="3810" priority="4088"/>
    <cfRule type="duplicateValues" dxfId="3809" priority="4089"/>
    <cfRule type="duplicateValues" dxfId="3808" priority="4090"/>
    <cfRule type="duplicateValues" dxfId="3807" priority="4091"/>
    <cfRule type="duplicateValues" dxfId="3806" priority="4092"/>
    <cfRule type="duplicateValues" dxfId="3805" priority="4093"/>
    <cfRule type="duplicateValues" dxfId="3804" priority="4094"/>
    <cfRule type="duplicateValues" dxfId="3803" priority="4095"/>
    <cfRule type="duplicateValues" dxfId="3802" priority="4096"/>
    <cfRule type="duplicateValues" dxfId="3801" priority="4097"/>
    <cfRule type="duplicateValues" dxfId="3800" priority="4098"/>
    <cfRule type="duplicateValues" dxfId="3799" priority="4099"/>
    <cfRule type="duplicateValues" dxfId="3798" priority="4100"/>
    <cfRule type="duplicateValues" dxfId="3797" priority="4101"/>
    <cfRule type="duplicateValues" dxfId="3796" priority="4102"/>
    <cfRule type="duplicateValues" dxfId="3795" priority="4103"/>
    <cfRule type="duplicateValues" dxfId="3794" priority="4104"/>
    <cfRule type="duplicateValues" dxfId="3793" priority="4105"/>
    <cfRule type="duplicateValues" dxfId="3792" priority="4106"/>
    <cfRule type="duplicateValues" dxfId="3791" priority="4107"/>
    <cfRule type="duplicateValues" dxfId="3790" priority="4109"/>
    <cfRule type="duplicateValues" dxfId="3789" priority="4110"/>
    <cfRule type="duplicateValues" dxfId="3788" priority="4111"/>
    <cfRule type="duplicateValues" dxfId="3787" priority="4112"/>
    <cfRule type="duplicateValues" dxfId="3786" priority="4113"/>
    <cfRule type="duplicateValues" dxfId="3785" priority="4114"/>
    <cfRule type="duplicateValues" dxfId="3784" priority="4115"/>
    <cfRule type="duplicateValues" dxfId="3783" priority="4116"/>
    <cfRule type="duplicateValues" dxfId="3782" priority="4117"/>
    <cfRule type="duplicateValues" dxfId="3781" priority="4118"/>
    <cfRule type="duplicateValues" dxfId="3780" priority="4119"/>
    <cfRule type="duplicateValues" dxfId="3779" priority="4120"/>
    <cfRule type="duplicateValues" dxfId="3778" priority="4121"/>
    <cfRule type="duplicateValues" dxfId="3777" priority="4122"/>
    <cfRule type="duplicateValues" dxfId="3776" priority="4123"/>
    <cfRule type="duplicateValues" dxfId="3775" priority="4124"/>
    <cfRule type="duplicateValues" dxfId="3774" priority="4125"/>
    <cfRule type="duplicateValues" dxfId="3773" priority="4126"/>
    <cfRule type="duplicateValues" dxfId="3772" priority="4127"/>
    <cfRule type="duplicateValues" dxfId="3771" priority="4128"/>
    <cfRule type="duplicateValues" dxfId="3770" priority="4129"/>
    <cfRule type="duplicateValues" dxfId="3769" priority="4130"/>
    <cfRule type="duplicateValues" dxfId="3768" priority="4131"/>
    <cfRule type="duplicateValues" dxfId="3767" priority="4132"/>
    <cfRule type="duplicateValues" dxfId="3766" priority="4133"/>
    <cfRule type="duplicateValues" dxfId="3765" priority="4134"/>
    <cfRule type="duplicateValues" dxfId="3764" priority="4135"/>
    <cfRule type="duplicateValues" dxfId="3763" priority="4136"/>
    <cfRule type="duplicateValues" dxfId="3762" priority="4137"/>
    <cfRule type="duplicateValues" dxfId="3761" priority="4138"/>
    <cfRule type="duplicateValues" dxfId="3760" priority="4139"/>
    <cfRule type="duplicateValues" dxfId="3759" priority="4140"/>
    <cfRule type="duplicateValues" dxfId="3758" priority="4141"/>
    <cfRule type="duplicateValues" dxfId="3757" priority="4142"/>
    <cfRule type="duplicateValues" dxfId="3756" priority="4108"/>
    <cfRule type="duplicateValues" dxfId="3755" priority="4177"/>
    <cfRule type="duplicateValues" dxfId="3754" priority="4176"/>
    <cfRule type="duplicateValues" dxfId="3753" priority="4175"/>
    <cfRule type="duplicateValues" dxfId="3752" priority="4174"/>
    <cfRule type="duplicateValues" dxfId="3751" priority="4173"/>
    <cfRule type="duplicateValues" dxfId="3750" priority="4172"/>
    <cfRule type="duplicateValues" dxfId="3749" priority="4171"/>
    <cfRule type="duplicateValues" dxfId="3748" priority="4170"/>
    <cfRule type="duplicateValues" dxfId="3747" priority="4169"/>
    <cfRule type="duplicateValues" dxfId="3746" priority="4168"/>
    <cfRule type="duplicateValues" dxfId="3745" priority="4167"/>
    <cfRule type="duplicateValues" dxfId="3744" priority="4166"/>
    <cfRule type="duplicateValues" dxfId="3743" priority="4165"/>
    <cfRule type="duplicateValues" dxfId="3742" priority="4164"/>
    <cfRule type="duplicateValues" dxfId="3741" priority="4163"/>
    <cfRule type="duplicateValues" dxfId="3740" priority="4162"/>
    <cfRule type="duplicateValues" dxfId="3739" priority="4161"/>
    <cfRule type="duplicateValues" dxfId="3738" priority="4160"/>
    <cfRule type="duplicateValues" dxfId="3737" priority="4159"/>
    <cfRule type="duplicateValues" dxfId="3736" priority="4158"/>
    <cfRule type="duplicateValues" dxfId="3735" priority="4157"/>
    <cfRule type="duplicateValues" dxfId="3734" priority="4156"/>
    <cfRule type="duplicateValues" dxfId="3733" priority="4155"/>
    <cfRule type="duplicateValues" dxfId="3732" priority="4154"/>
    <cfRule type="duplicateValues" dxfId="3731" priority="4153"/>
    <cfRule type="duplicateValues" dxfId="3730" priority="4152"/>
    <cfRule type="duplicateValues" dxfId="3729" priority="4151"/>
    <cfRule type="duplicateValues" dxfId="3728" priority="4150"/>
    <cfRule type="duplicateValues" dxfId="3727" priority="4149"/>
    <cfRule type="duplicateValues" dxfId="3726" priority="4148"/>
    <cfRule type="duplicateValues" dxfId="3725" priority="4147"/>
    <cfRule type="duplicateValues" dxfId="3724" priority="4146"/>
    <cfRule type="duplicateValues" dxfId="3723" priority="4145"/>
    <cfRule type="duplicateValues" dxfId="3722" priority="4144"/>
    <cfRule type="duplicateValues" dxfId="3721" priority="4143"/>
    <cfRule type="duplicateValues" dxfId="3720" priority="4200"/>
    <cfRule type="duplicateValues" dxfId="3719" priority="4199"/>
    <cfRule type="duplicateValues" dxfId="3718" priority="4198"/>
    <cfRule type="duplicateValues" dxfId="3717" priority="4197"/>
    <cfRule type="duplicateValues" dxfId="3716" priority="4196"/>
    <cfRule type="duplicateValues" dxfId="3715" priority="4195"/>
    <cfRule type="duplicateValues" dxfId="3714" priority="4194"/>
    <cfRule type="duplicateValues" dxfId="3713" priority="4193"/>
    <cfRule type="duplicateValues" dxfId="3712" priority="4192"/>
    <cfRule type="duplicateValues" dxfId="3711" priority="4191"/>
    <cfRule type="duplicateValues" dxfId="3710" priority="4190"/>
    <cfRule type="duplicateValues" dxfId="3709" priority="4189"/>
    <cfRule type="duplicateValues" dxfId="3708" priority="4188"/>
    <cfRule type="duplicateValues" dxfId="3707" priority="4187"/>
    <cfRule type="duplicateValues" dxfId="3706" priority="4186"/>
    <cfRule type="duplicateValues" dxfId="3705" priority="4185"/>
    <cfRule type="duplicateValues" dxfId="3704" priority="4184"/>
    <cfRule type="duplicateValues" dxfId="3703" priority="4183"/>
    <cfRule type="duplicateValues" dxfId="3702" priority="4182"/>
    <cfRule type="duplicateValues" dxfId="3701" priority="4181"/>
    <cfRule type="duplicateValues" dxfId="3700" priority="4180"/>
    <cfRule type="duplicateValues" dxfId="3699" priority="4178"/>
  </conditionalFormatting>
  <conditionalFormatting sqref="B122">
    <cfRule type="duplicateValues" dxfId="3698" priority="4001"/>
    <cfRule type="duplicateValues" dxfId="3697" priority="4000"/>
    <cfRule type="duplicateValues" dxfId="3696" priority="3999"/>
    <cfRule type="duplicateValues" dxfId="3695" priority="3998"/>
    <cfRule type="duplicateValues" dxfId="3694" priority="3997"/>
    <cfRule type="duplicateValues" dxfId="3693" priority="3996"/>
    <cfRule type="duplicateValues" dxfId="3692" priority="3995"/>
    <cfRule type="duplicateValues" dxfId="3691" priority="3994"/>
    <cfRule type="duplicateValues" dxfId="3690" priority="3993"/>
    <cfRule type="duplicateValues" dxfId="3689" priority="3992"/>
    <cfRule type="duplicateValues" dxfId="3688" priority="3991"/>
    <cfRule type="duplicateValues" dxfId="3687" priority="3990"/>
    <cfRule type="duplicateValues" dxfId="3686" priority="3989"/>
    <cfRule type="duplicateValues" dxfId="3685" priority="3988"/>
    <cfRule type="duplicateValues" dxfId="3684" priority="3987"/>
    <cfRule type="duplicateValues" dxfId="3683" priority="3986"/>
    <cfRule type="duplicateValues" dxfId="3682" priority="3985"/>
    <cfRule type="duplicateValues" dxfId="3681" priority="3984"/>
    <cfRule type="duplicateValues" dxfId="3680" priority="3983"/>
    <cfRule type="duplicateValues" dxfId="3679" priority="3982"/>
    <cfRule type="duplicateValues" dxfId="3678" priority="3981"/>
    <cfRule type="duplicateValues" dxfId="3677" priority="3980"/>
    <cfRule type="duplicateValues" dxfId="3676" priority="3979"/>
    <cfRule type="duplicateValues" dxfId="3675" priority="3978"/>
    <cfRule type="duplicateValues" dxfId="3674" priority="3977"/>
    <cfRule type="duplicateValues" dxfId="3673" priority="3976"/>
    <cfRule type="duplicateValues" dxfId="3672" priority="3975"/>
    <cfRule type="duplicateValues" dxfId="3671" priority="3974"/>
    <cfRule type="duplicateValues" dxfId="3670" priority="3973"/>
    <cfRule type="duplicateValues" dxfId="3669" priority="3972"/>
    <cfRule type="duplicateValues" dxfId="3668" priority="3971"/>
    <cfRule type="duplicateValues" dxfId="3667" priority="3970"/>
    <cfRule type="duplicateValues" dxfId="3666" priority="3969"/>
    <cfRule type="duplicateValues" dxfId="3665" priority="3968"/>
    <cfRule type="duplicateValues" dxfId="3664" priority="3967"/>
    <cfRule type="duplicateValues" dxfId="3663" priority="3966"/>
    <cfRule type="duplicateValues" dxfId="3662" priority="3965"/>
    <cfRule type="duplicateValues" dxfId="3661" priority="3963"/>
    <cfRule type="duplicateValues" dxfId="3660" priority="3962"/>
    <cfRule type="duplicateValues" dxfId="3659" priority="3961"/>
    <cfRule type="duplicateValues" dxfId="3658" priority="3960"/>
    <cfRule type="duplicateValues" dxfId="3657" priority="3959"/>
    <cfRule type="duplicateValues" dxfId="3656" priority="3958"/>
    <cfRule type="duplicateValues" dxfId="3655" priority="3964"/>
    <cfRule type="duplicateValues" dxfId="3654" priority="3957"/>
    <cfRule type="duplicateValues" dxfId="3653" priority="3956"/>
    <cfRule type="duplicateValues" dxfId="3652" priority="3955"/>
    <cfRule type="duplicateValues" dxfId="3651" priority="3954"/>
    <cfRule type="duplicateValues" dxfId="3650" priority="3953"/>
    <cfRule type="duplicateValues" dxfId="3649" priority="3952"/>
    <cfRule type="duplicateValues" dxfId="3648" priority="3951"/>
    <cfRule type="duplicateValues" dxfId="3647" priority="3950"/>
    <cfRule type="duplicateValues" dxfId="3646" priority="3949"/>
    <cfRule type="duplicateValues" dxfId="3645" priority="3948"/>
    <cfRule type="duplicateValues" dxfId="3644" priority="3947"/>
    <cfRule type="duplicateValues" dxfId="3643" priority="3946"/>
    <cfRule type="duplicateValues" dxfId="3642" priority="3945"/>
    <cfRule type="duplicateValues" dxfId="3641" priority="3944"/>
    <cfRule type="duplicateValues" dxfId="3640" priority="3943"/>
    <cfRule type="duplicateValues" dxfId="3639" priority="3942"/>
    <cfRule type="duplicateValues" dxfId="3638" priority="3941"/>
    <cfRule type="duplicateValues" dxfId="3637" priority="3940"/>
    <cfRule type="duplicateValues" dxfId="3636" priority="3939"/>
    <cfRule type="duplicateValues" dxfId="3635" priority="3938"/>
    <cfRule type="duplicateValues" dxfId="3634" priority="3937"/>
    <cfRule type="duplicateValues" dxfId="3633" priority="3936"/>
    <cfRule type="duplicateValues" dxfId="3632" priority="3935"/>
    <cfRule type="duplicateValues" dxfId="3631" priority="3934"/>
    <cfRule type="duplicateValues" dxfId="3630" priority="3933"/>
    <cfRule type="duplicateValues" dxfId="3629" priority="3932"/>
    <cfRule type="duplicateValues" dxfId="3628" priority="3931"/>
    <cfRule type="duplicateValues" dxfId="3627" priority="3930"/>
    <cfRule type="duplicateValues" dxfId="3626" priority="3929"/>
    <cfRule type="duplicateValues" dxfId="3625" priority="3928"/>
    <cfRule type="duplicateValues" dxfId="3624" priority="3927"/>
    <cfRule type="duplicateValues" dxfId="3623" priority="3926"/>
    <cfRule type="duplicateValues" dxfId="3622" priority="3925"/>
    <cfRule type="duplicateValues" dxfId="3621" priority="3924"/>
    <cfRule type="duplicateValues" dxfId="3620" priority="3923"/>
    <cfRule type="duplicateValues" dxfId="3619" priority="3922"/>
    <cfRule type="duplicateValues" dxfId="3618" priority="3921"/>
    <cfRule type="duplicateValues" dxfId="3617" priority="3920"/>
    <cfRule type="duplicateValues" dxfId="3616" priority="3919"/>
    <cfRule type="duplicateValues" dxfId="3615" priority="3918"/>
    <cfRule type="duplicateValues" dxfId="3614" priority="3917"/>
    <cfRule type="duplicateValues" dxfId="3613" priority="3916"/>
    <cfRule type="duplicateValues" dxfId="3612" priority="3915"/>
    <cfRule type="duplicateValues" dxfId="3611" priority="3914"/>
    <cfRule type="duplicateValues" dxfId="3610" priority="3913"/>
    <cfRule type="duplicateValues" dxfId="3609" priority="3912"/>
    <cfRule type="duplicateValues" dxfId="3608" priority="3911"/>
    <cfRule type="duplicateValues" dxfId="3607" priority="3910"/>
    <cfRule type="duplicateValues" dxfId="3606" priority="3909"/>
    <cfRule type="duplicateValues" dxfId="3605" priority="3908"/>
    <cfRule type="duplicateValues" dxfId="3604" priority="3907"/>
    <cfRule type="duplicateValues" dxfId="3603" priority="3906"/>
    <cfRule type="duplicateValues" dxfId="3602" priority="3905"/>
    <cfRule type="duplicateValues" dxfId="3601" priority="3904"/>
    <cfRule type="duplicateValues" dxfId="3600" priority="3903"/>
    <cfRule type="duplicateValues" dxfId="3599" priority="3902"/>
    <cfRule type="duplicateValues" dxfId="3598" priority="3901"/>
    <cfRule type="duplicateValues" dxfId="3597" priority="3900"/>
    <cfRule type="duplicateValues" dxfId="3596" priority="3899"/>
    <cfRule type="duplicateValues" dxfId="3595" priority="3898"/>
    <cfRule type="duplicateValues" dxfId="3594" priority="3897"/>
    <cfRule type="duplicateValues" dxfId="3593" priority="3896"/>
    <cfRule type="duplicateValues" dxfId="3592" priority="3895"/>
    <cfRule type="duplicateValues" dxfId="3591" priority="3894"/>
    <cfRule type="duplicateValues" dxfId="3590" priority="3893"/>
    <cfRule type="duplicateValues" dxfId="3589" priority="3892"/>
    <cfRule type="duplicateValues" dxfId="3588" priority="3891"/>
    <cfRule type="duplicateValues" dxfId="3587" priority="3890"/>
    <cfRule type="duplicateValues" dxfId="3586" priority="3889"/>
    <cfRule type="duplicateValues" dxfId="3585" priority="3888"/>
    <cfRule type="duplicateValues" dxfId="3584" priority="3887"/>
    <cfRule type="duplicateValues" dxfId="3583" priority="3886"/>
    <cfRule type="duplicateValues" dxfId="3582" priority="3885"/>
    <cfRule type="duplicateValues" dxfId="3581" priority="3884"/>
    <cfRule type="duplicateValues" dxfId="3580" priority="3883"/>
    <cfRule type="duplicateValues" dxfId="3579" priority="3882"/>
    <cfRule type="duplicateValues" dxfId="3578" priority="3881"/>
  </conditionalFormatting>
  <conditionalFormatting sqref="B123">
    <cfRule type="duplicateValues" dxfId="3577" priority="3880"/>
    <cfRule type="duplicateValues" dxfId="3576" priority="3879"/>
    <cfRule type="duplicateValues" dxfId="3575" priority="3878"/>
    <cfRule type="duplicateValues" dxfId="3574" priority="3877"/>
    <cfRule type="duplicateValues" dxfId="3573" priority="3876"/>
    <cfRule type="duplicateValues" dxfId="3572" priority="3875"/>
    <cfRule type="duplicateValues" dxfId="3571" priority="3874"/>
    <cfRule type="duplicateValues" dxfId="3570" priority="3873"/>
    <cfRule type="duplicateValues" dxfId="3569" priority="3872"/>
    <cfRule type="duplicateValues" dxfId="3568" priority="3871"/>
    <cfRule type="duplicateValues" dxfId="3567" priority="3870"/>
    <cfRule type="duplicateValues" dxfId="3566" priority="3869"/>
    <cfRule type="duplicateValues" dxfId="3565" priority="3868"/>
    <cfRule type="duplicateValues" dxfId="3564" priority="3867"/>
    <cfRule type="duplicateValues" dxfId="3563" priority="3866"/>
    <cfRule type="duplicateValues" dxfId="3562" priority="3865"/>
    <cfRule type="duplicateValues" dxfId="3561" priority="3864"/>
    <cfRule type="duplicateValues" dxfId="3560" priority="3863"/>
    <cfRule type="duplicateValues" dxfId="3559" priority="3862"/>
    <cfRule type="duplicateValues" dxfId="3558" priority="3861"/>
    <cfRule type="duplicateValues" dxfId="3557" priority="3860"/>
    <cfRule type="duplicateValues" dxfId="3556" priority="3859"/>
    <cfRule type="duplicateValues" dxfId="3555" priority="3858"/>
    <cfRule type="duplicateValues" dxfId="3554" priority="3857"/>
    <cfRule type="duplicateValues" dxfId="3553" priority="3856"/>
    <cfRule type="duplicateValues" dxfId="3552" priority="3855"/>
    <cfRule type="duplicateValues" dxfId="3551" priority="3854"/>
    <cfRule type="duplicateValues" dxfId="3550" priority="3853"/>
    <cfRule type="duplicateValues" dxfId="3549" priority="3852"/>
    <cfRule type="duplicateValues" dxfId="3548" priority="3851"/>
    <cfRule type="duplicateValues" dxfId="3547" priority="3850"/>
    <cfRule type="duplicateValues" dxfId="3546" priority="3849"/>
    <cfRule type="duplicateValues" dxfId="3545" priority="3848"/>
    <cfRule type="duplicateValues" dxfId="3544" priority="3847"/>
    <cfRule type="duplicateValues" dxfId="3543" priority="3846"/>
    <cfRule type="duplicateValues" dxfId="3542" priority="3845"/>
    <cfRule type="duplicateValues" dxfId="3541" priority="3844"/>
    <cfRule type="duplicateValues" dxfId="3540" priority="3843"/>
    <cfRule type="duplicateValues" dxfId="3539" priority="3842"/>
    <cfRule type="duplicateValues" dxfId="3538" priority="3841"/>
    <cfRule type="duplicateValues" dxfId="3537" priority="3840"/>
    <cfRule type="duplicateValues" dxfId="3536" priority="3839"/>
    <cfRule type="duplicateValues" dxfId="3535" priority="3838"/>
    <cfRule type="duplicateValues" dxfId="3534" priority="3837"/>
    <cfRule type="duplicateValues" dxfId="3533" priority="3836"/>
    <cfRule type="duplicateValues" dxfId="3532" priority="3835"/>
    <cfRule type="duplicateValues" dxfId="3531" priority="3834"/>
    <cfRule type="duplicateValues" dxfId="3530" priority="3833"/>
    <cfRule type="duplicateValues" dxfId="3529" priority="3832"/>
    <cfRule type="duplicateValues" dxfId="3528" priority="3831"/>
    <cfRule type="duplicateValues" dxfId="3527" priority="3830"/>
    <cfRule type="duplicateValues" dxfId="3526" priority="3829"/>
    <cfRule type="duplicateValues" dxfId="3525" priority="3828"/>
    <cfRule type="duplicateValues" dxfId="3524" priority="3827"/>
    <cfRule type="duplicateValues" dxfId="3523" priority="3826"/>
    <cfRule type="duplicateValues" dxfId="3522" priority="3825"/>
    <cfRule type="duplicateValues" dxfId="3521" priority="3824"/>
    <cfRule type="duplicateValues" dxfId="3520" priority="3823"/>
    <cfRule type="duplicateValues" dxfId="3519" priority="3822"/>
    <cfRule type="duplicateValues" dxfId="3518" priority="3821"/>
    <cfRule type="duplicateValues" dxfId="3517" priority="3820"/>
    <cfRule type="duplicateValues" dxfId="3516" priority="3819"/>
    <cfRule type="duplicateValues" dxfId="3515" priority="3818"/>
    <cfRule type="duplicateValues" dxfId="3514" priority="3817"/>
    <cfRule type="duplicateValues" dxfId="3513" priority="3816"/>
    <cfRule type="duplicateValues" dxfId="3512" priority="3815"/>
    <cfRule type="duplicateValues" dxfId="3511" priority="3814"/>
    <cfRule type="duplicateValues" dxfId="3510" priority="3813"/>
    <cfRule type="duplicateValues" dxfId="3509" priority="3812"/>
    <cfRule type="duplicateValues" dxfId="3508" priority="3811"/>
    <cfRule type="duplicateValues" dxfId="3507" priority="3810"/>
    <cfRule type="duplicateValues" dxfId="3506" priority="3809"/>
    <cfRule type="duplicateValues" dxfId="3505" priority="3808"/>
    <cfRule type="duplicateValues" dxfId="3504" priority="3807"/>
    <cfRule type="duplicateValues" dxfId="3503" priority="3806"/>
    <cfRule type="duplicateValues" dxfId="3502" priority="3805"/>
    <cfRule type="duplicateValues" dxfId="3501" priority="3804"/>
    <cfRule type="duplicateValues" dxfId="3500" priority="3803"/>
    <cfRule type="duplicateValues" dxfId="3499" priority="3802"/>
    <cfRule type="duplicateValues" dxfId="3498" priority="3801"/>
    <cfRule type="duplicateValues" dxfId="3497" priority="3800"/>
    <cfRule type="duplicateValues" dxfId="3496" priority="3799"/>
    <cfRule type="duplicateValues" dxfId="3495" priority="3798"/>
    <cfRule type="duplicateValues" dxfId="3494" priority="3797"/>
    <cfRule type="duplicateValues" dxfId="3493" priority="3796"/>
    <cfRule type="duplicateValues" dxfId="3492" priority="3795"/>
    <cfRule type="duplicateValues" dxfId="3491" priority="3794"/>
    <cfRule type="duplicateValues" dxfId="3490" priority="3793"/>
    <cfRule type="duplicateValues" dxfId="3489" priority="3792"/>
    <cfRule type="duplicateValues" dxfId="3488" priority="3791"/>
    <cfRule type="duplicateValues" dxfId="3487" priority="3790"/>
    <cfRule type="duplicateValues" dxfId="3486" priority="3789"/>
    <cfRule type="duplicateValues" dxfId="3485" priority="3788"/>
    <cfRule type="duplicateValues" dxfId="3484" priority="3787"/>
    <cfRule type="duplicateValues" dxfId="3483" priority="3786"/>
    <cfRule type="duplicateValues" dxfId="3482" priority="3785"/>
    <cfRule type="duplicateValues" dxfId="3481" priority="3784"/>
    <cfRule type="duplicateValues" dxfId="3480" priority="3783"/>
    <cfRule type="duplicateValues" dxfId="3479" priority="3782"/>
    <cfRule type="duplicateValues" dxfId="3478" priority="3781"/>
    <cfRule type="duplicateValues" dxfId="3477" priority="3780"/>
    <cfRule type="duplicateValues" dxfId="3476" priority="3779"/>
    <cfRule type="duplicateValues" dxfId="3475" priority="3778"/>
    <cfRule type="duplicateValues" dxfId="3474" priority="3777"/>
    <cfRule type="duplicateValues" dxfId="3473" priority="3776"/>
    <cfRule type="duplicateValues" dxfId="3472" priority="3775"/>
    <cfRule type="duplicateValues" dxfId="3471" priority="3774"/>
    <cfRule type="duplicateValues" dxfId="3470" priority="3773"/>
    <cfRule type="duplicateValues" dxfId="3469" priority="3772"/>
    <cfRule type="duplicateValues" dxfId="3468" priority="3771"/>
    <cfRule type="duplicateValues" dxfId="3467" priority="3770"/>
    <cfRule type="duplicateValues" dxfId="3466" priority="3769"/>
    <cfRule type="duplicateValues" dxfId="3465" priority="3768"/>
    <cfRule type="duplicateValues" dxfId="3464" priority="3767"/>
    <cfRule type="duplicateValues" dxfId="3463" priority="3766"/>
    <cfRule type="duplicateValues" dxfId="3462" priority="3765"/>
    <cfRule type="duplicateValues" dxfId="3461" priority="3764"/>
    <cfRule type="duplicateValues" dxfId="3460" priority="3763"/>
    <cfRule type="duplicateValues" dxfId="3459" priority="3762"/>
    <cfRule type="duplicateValues" dxfId="3458" priority="3761"/>
    <cfRule type="duplicateValues" dxfId="3457" priority="3760"/>
  </conditionalFormatting>
  <conditionalFormatting sqref="B124 B119:B121">
    <cfRule type="duplicateValues" dxfId="3456" priority="3725"/>
    <cfRule type="duplicateValues" dxfId="3455" priority="3759"/>
    <cfRule type="duplicateValues" dxfId="3454" priority="3758"/>
    <cfRule type="duplicateValues" dxfId="3453" priority="3757"/>
    <cfRule type="duplicateValues" dxfId="3452" priority="3756"/>
    <cfRule type="duplicateValues" dxfId="3451" priority="3755"/>
    <cfRule type="duplicateValues" dxfId="3450" priority="3754"/>
    <cfRule type="duplicateValues" dxfId="3449" priority="3753"/>
    <cfRule type="duplicateValues" dxfId="3448" priority="3752"/>
    <cfRule type="duplicateValues" dxfId="3447" priority="3751"/>
    <cfRule type="duplicateValues" dxfId="3446" priority="3750"/>
    <cfRule type="duplicateValues" dxfId="3445" priority="3749"/>
    <cfRule type="duplicateValues" dxfId="3444" priority="3748"/>
    <cfRule type="duplicateValues" dxfId="3443" priority="3747"/>
    <cfRule type="duplicateValues" dxfId="3442" priority="3746"/>
    <cfRule type="duplicateValues" dxfId="3441" priority="3745"/>
    <cfRule type="duplicateValues" dxfId="3440" priority="3744"/>
    <cfRule type="duplicateValues" dxfId="3439" priority="3743"/>
    <cfRule type="duplicateValues" dxfId="3438" priority="3742"/>
    <cfRule type="duplicateValues" dxfId="3437" priority="3741"/>
    <cfRule type="duplicateValues" dxfId="3436" priority="3740"/>
    <cfRule type="duplicateValues" dxfId="3435" priority="3739"/>
    <cfRule type="duplicateValues" dxfId="3434" priority="3738"/>
    <cfRule type="duplicateValues" dxfId="3433" priority="3737"/>
    <cfRule type="duplicateValues" dxfId="3432" priority="3736"/>
    <cfRule type="duplicateValues" dxfId="3431" priority="3735"/>
    <cfRule type="duplicateValues" dxfId="3430" priority="3734"/>
    <cfRule type="duplicateValues" dxfId="3429" priority="3733"/>
    <cfRule type="duplicateValues" dxfId="3428" priority="3732"/>
    <cfRule type="duplicateValues" dxfId="3427" priority="3731"/>
    <cfRule type="duplicateValues" dxfId="3426" priority="3730"/>
    <cfRule type="duplicateValues" dxfId="3425" priority="3729"/>
    <cfRule type="duplicateValues" dxfId="3424" priority="3728"/>
    <cfRule type="duplicateValues" dxfId="3423" priority="3727"/>
    <cfRule type="duplicateValues" dxfId="3422" priority="3726"/>
    <cfRule type="duplicateValues" dxfId="3421" priority="3724"/>
    <cfRule type="duplicateValues" dxfId="3420" priority="3723"/>
    <cfRule type="duplicateValues" dxfId="3419" priority="3722"/>
    <cfRule type="duplicateValues" dxfId="3418" priority="3721"/>
    <cfRule type="duplicateValues" dxfId="3417" priority="3720"/>
    <cfRule type="duplicateValues" dxfId="3416" priority="3719"/>
    <cfRule type="duplicateValues" dxfId="3415" priority="3718"/>
    <cfRule type="duplicateValues" dxfId="3414" priority="3717"/>
    <cfRule type="duplicateValues" dxfId="3413" priority="3716"/>
    <cfRule type="duplicateValues" dxfId="3412" priority="3715"/>
    <cfRule type="duplicateValues" dxfId="3411" priority="3714"/>
    <cfRule type="duplicateValues" dxfId="3410" priority="3713"/>
    <cfRule type="duplicateValues" dxfId="3409" priority="3712"/>
    <cfRule type="duplicateValues" dxfId="3408" priority="3711"/>
    <cfRule type="duplicateValues" dxfId="3407" priority="3710"/>
    <cfRule type="duplicateValues" dxfId="3406" priority="3709"/>
    <cfRule type="duplicateValues" dxfId="3405" priority="3708"/>
    <cfRule type="duplicateValues" dxfId="3404" priority="3707"/>
    <cfRule type="duplicateValues" dxfId="3403" priority="3706"/>
    <cfRule type="duplicateValues" dxfId="3402" priority="3705"/>
    <cfRule type="duplicateValues" dxfId="3401" priority="3704"/>
    <cfRule type="duplicateValues" dxfId="3400" priority="3703"/>
    <cfRule type="duplicateValues" dxfId="3399" priority="3702"/>
    <cfRule type="duplicateValues" dxfId="3398" priority="3701"/>
    <cfRule type="duplicateValues" dxfId="3397" priority="3700"/>
    <cfRule type="duplicateValues" dxfId="3396" priority="3699"/>
    <cfRule type="duplicateValues" dxfId="3395" priority="3698"/>
    <cfRule type="duplicateValues" dxfId="3394" priority="3697"/>
    <cfRule type="duplicateValues" dxfId="3393" priority="3696"/>
    <cfRule type="duplicateValues" dxfId="3392" priority="3695"/>
    <cfRule type="duplicateValues" dxfId="3391" priority="3694"/>
    <cfRule type="duplicateValues" dxfId="3390" priority="3693"/>
    <cfRule type="duplicateValues" dxfId="3389" priority="3692"/>
    <cfRule type="duplicateValues" dxfId="3388" priority="3691"/>
    <cfRule type="duplicateValues" dxfId="3387" priority="3690"/>
    <cfRule type="duplicateValues" dxfId="3386" priority="3689"/>
    <cfRule type="duplicateValues" dxfId="3385" priority="3688"/>
    <cfRule type="duplicateValues" dxfId="3384" priority="3687"/>
    <cfRule type="duplicateValues" dxfId="3383" priority="3686"/>
    <cfRule type="duplicateValues" dxfId="3382" priority="3685"/>
    <cfRule type="duplicateValues" dxfId="3381" priority="3684"/>
    <cfRule type="duplicateValues" dxfId="3380" priority="3683"/>
    <cfRule type="duplicateValues" dxfId="3379" priority="3682"/>
    <cfRule type="duplicateValues" dxfId="3378" priority="3681"/>
    <cfRule type="duplicateValues" dxfId="3377" priority="3680"/>
    <cfRule type="duplicateValues" dxfId="3376" priority="3679"/>
    <cfRule type="duplicateValues" dxfId="3375" priority="3678"/>
    <cfRule type="duplicateValues" dxfId="3374" priority="3677"/>
    <cfRule type="duplicateValues" dxfId="3373" priority="3676"/>
    <cfRule type="duplicateValues" dxfId="3372" priority="3675"/>
    <cfRule type="duplicateValues" dxfId="3371" priority="3674"/>
    <cfRule type="duplicateValues" dxfId="3370" priority="3673"/>
    <cfRule type="duplicateValues" dxfId="3369" priority="3672"/>
    <cfRule type="duplicateValues" dxfId="3368" priority="3671"/>
    <cfRule type="duplicateValues" dxfId="3367" priority="3670"/>
    <cfRule type="duplicateValues" dxfId="3366" priority="3669"/>
    <cfRule type="duplicateValues" dxfId="3365" priority="3668"/>
    <cfRule type="duplicateValues" dxfId="3364" priority="3667"/>
    <cfRule type="duplicateValues" dxfId="3363" priority="3666"/>
    <cfRule type="duplicateValues" dxfId="3362" priority="3665"/>
    <cfRule type="duplicateValues" dxfId="3361" priority="3664"/>
    <cfRule type="duplicateValues" dxfId="3360" priority="3663"/>
    <cfRule type="duplicateValues" dxfId="3359" priority="3662"/>
    <cfRule type="duplicateValues" dxfId="3358" priority="3661"/>
    <cfRule type="duplicateValues" dxfId="3357" priority="3660"/>
    <cfRule type="duplicateValues" dxfId="3356" priority="3659"/>
    <cfRule type="duplicateValues" dxfId="3355" priority="3658"/>
    <cfRule type="duplicateValues" dxfId="3354" priority="3657"/>
    <cfRule type="duplicateValues" dxfId="3353" priority="3656"/>
    <cfRule type="duplicateValues" dxfId="3352" priority="3655"/>
    <cfRule type="duplicateValues" dxfId="3351" priority="3654"/>
    <cfRule type="duplicateValues" dxfId="3350" priority="3653"/>
    <cfRule type="duplicateValues" dxfId="3349" priority="3652"/>
    <cfRule type="duplicateValues" dxfId="3348" priority="3651"/>
    <cfRule type="duplicateValues" dxfId="3347" priority="3650"/>
    <cfRule type="duplicateValues" dxfId="3346" priority="3649"/>
    <cfRule type="duplicateValues" dxfId="3345" priority="3648"/>
    <cfRule type="duplicateValues" dxfId="3344" priority="3647"/>
    <cfRule type="duplicateValues" dxfId="3343" priority="3646"/>
    <cfRule type="duplicateValues" dxfId="3342" priority="3645"/>
    <cfRule type="duplicateValues" dxfId="3341" priority="3644"/>
    <cfRule type="duplicateValues" dxfId="3340" priority="3643"/>
    <cfRule type="duplicateValues" dxfId="3339" priority="3642"/>
    <cfRule type="duplicateValues" dxfId="3338" priority="3641"/>
    <cfRule type="duplicateValues" dxfId="3337" priority="3640"/>
    <cfRule type="duplicateValues" dxfId="3336" priority="3639"/>
  </conditionalFormatting>
  <conditionalFormatting sqref="B125:B128">
    <cfRule type="duplicateValues" dxfId="3335" priority="3604"/>
    <cfRule type="duplicateValues" dxfId="3334" priority="3528"/>
    <cfRule type="duplicateValues" dxfId="3333" priority="3529"/>
    <cfRule type="duplicateValues" dxfId="3332" priority="3530"/>
    <cfRule type="duplicateValues" dxfId="3331" priority="3531"/>
    <cfRule type="duplicateValues" dxfId="3330" priority="3532"/>
    <cfRule type="duplicateValues" dxfId="3329" priority="3533"/>
    <cfRule type="duplicateValues" dxfId="3328" priority="3534"/>
    <cfRule type="duplicateValues" dxfId="3327" priority="3535"/>
    <cfRule type="duplicateValues" dxfId="3326" priority="3536"/>
    <cfRule type="duplicateValues" dxfId="3325" priority="3537"/>
    <cfRule type="duplicateValues" dxfId="3324" priority="3538"/>
    <cfRule type="duplicateValues" dxfId="3323" priority="3539"/>
    <cfRule type="duplicateValues" dxfId="3322" priority="3540"/>
    <cfRule type="duplicateValues" dxfId="3321" priority="3541"/>
    <cfRule type="duplicateValues" dxfId="3320" priority="3542"/>
    <cfRule type="duplicateValues" dxfId="3319" priority="3543"/>
    <cfRule type="duplicateValues" dxfId="3318" priority="3544"/>
    <cfRule type="duplicateValues" dxfId="3317" priority="3545"/>
    <cfRule type="duplicateValues" dxfId="3316" priority="3546"/>
    <cfRule type="duplicateValues" dxfId="3315" priority="3547"/>
    <cfRule type="duplicateValues" dxfId="3314" priority="3548"/>
    <cfRule type="duplicateValues" dxfId="3313" priority="3549"/>
    <cfRule type="duplicateValues" dxfId="3312" priority="3550"/>
    <cfRule type="duplicateValues" dxfId="3311" priority="3551"/>
    <cfRule type="duplicateValues" dxfId="3310" priority="3552"/>
    <cfRule type="duplicateValues" dxfId="3309" priority="3553"/>
    <cfRule type="duplicateValues" dxfId="3308" priority="3554"/>
    <cfRule type="duplicateValues" dxfId="3307" priority="3555"/>
    <cfRule type="duplicateValues" dxfId="3306" priority="3556"/>
    <cfRule type="duplicateValues" dxfId="3305" priority="3557"/>
    <cfRule type="duplicateValues" dxfId="3304" priority="3558"/>
    <cfRule type="duplicateValues" dxfId="3303" priority="3559"/>
    <cfRule type="duplicateValues" dxfId="3302" priority="3560"/>
    <cfRule type="duplicateValues" dxfId="3301" priority="3561"/>
    <cfRule type="duplicateValues" dxfId="3300" priority="3562"/>
    <cfRule type="duplicateValues" dxfId="3299" priority="3563"/>
    <cfRule type="duplicateValues" dxfId="3298" priority="3564"/>
    <cfRule type="duplicateValues" dxfId="3297" priority="3565"/>
    <cfRule type="duplicateValues" dxfId="3296" priority="3566"/>
    <cfRule type="duplicateValues" dxfId="3295" priority="3567"/>
    <cfRule type="duplicateValues" dxfId="3294" priority="3568"/>
    <cfRule type="duplicateValues" dxfId="3293" priority="3569"/>
    <cfRule type="duplicateValues" dxfId="3292" priority="3570"/>
    <cfRule type="duplicateValues" dxfId="3291" priority="3571"/>
    <cfRule type="duplicateValues" dxfId="3290" priority="3573"/>
    <cfRule type="duplicateValues" dxfId="3289" priority="3638"/>
    <cfRule type="duplicateValues" dxfId="3288" priority="3637"/>
    <cfRule type="duplicateValues" dxfId="3287" priority="3636"/>
    <cfRule type="duplicateValues" dxfId="3286" priority="3635"/>
    <cfRule type="duplicateValues" dxfId="3285" priority="3634"/>
    <cfRule type="duplicateValues" dxfId="3284" priority="3633"/>
    <cfRule type="duplicateValues" dxfId="3283" priority="3632"/>
    <cfRule type="duplicateValues" dxfId="3282" priority="3631"/>
    <cfRule type="duplicateValues" dxfId="3281" priority="3630"/>
    <cfRule type="duplicateValues" dxfId="3280" priority="3629"/>
    <cfRule type="duplicateValues" dxfId="3279" priority="3628"/>
    <cfRule type="duplicateValues" dxfId="3278" priority="3627"/>
    <cfRule type="duplicateValues" dxfId="3277" priority="3626"/>
    <cfRule type="duplicateValues" dxfId="3276" priority="3625"/>
    <cfRule type="duplicateValues" dxfId="3275" priority="3624"/>
    <cfRule type="duplicateValues" dxfId="3274" priority="3623"/>
    <cfRule type="duplicateValues" dxfId="3273" priority="3622"/>
    <cfRule type="duplicateValues" dxfId="3272" priority="3621"/>
    <cfRule type="duplicateValues" dxfId="3271" priority="3620"/>
    <cfRule type="duplicateValues" dxfId="3270" priority="3619"/>
    <cfRule type="duplicateValues" dxfId="3269" priority="3618"/>
    <cfRule type="duplicateValues" dxfId="3268" priority="3617"/>
    <cfRule type="duplicateValues" dxfId="3267" priority="3616"/>
    <cfRule type="duplicateValues" dxfId="3266" priority="3615"/>
    <cfRule type="duplicateValues" dxfId="3265" priority="3614"/>
    <cfRule type="duplicateValues" dxfId="3264" priority="3613"/>
    <cfRule type="duplicateValues" dxfId="3263" priority="3612"/>
    <cfRule type="duplicateValues" dxfId="3262" priority="3611"/>
    <cfRule type="duplicateValues" dxfId="3261" priority="3610"/>
    <cfRule type="duplicateValues" dxfId="3260" priority="3609"/>
    <cfRule type="duplicateValues" dxfId="3259" priority="3608"/>
    <cfRule type="duplicateValues" dxfId="3258" priority="3607"/>
    <cfRule type="duplicateValues" dxfId="3257" priority="3606"/>
    <cfRule type="duplicateValues" dxfId="3256" priority="3605"/>
    <cfRule type="duplicateValues" dxfId="3255" priority="3603"/>
    <cfRule type="duplicateValues" dxfId="3254" priority="3602"/>
    <cfRule type="duplicateValues" dxfId="3253" priority="3601"/>
    <cfRule type="duplicateValues" dxfId="3252" priority="3600"/>
    <cfRule type="duplicateValues" dxfId="3251" priority="3599"/>
    <cfRule type="duplicateValues" dxfId="3250" priority="3598"/>
    <cfRule type="duplicateValues" dxfId="3249" priority="3597"/>
    <cfRule type="duplicateValues" dxfId="3248" priority="3596"/>
    <cfRule type="duplicateValues" dxfId="3247" priority="3595"/>
    <cfRule type="duplicateValues" dxfId="3246" priority="3594"/>
    <cfRule type="duplicateValues" dxfId="3245" priority="3572"/>
    <cfRule type="duplicateValues" dxfId="3244" priority="3527"/>
    <cfRule type="duplicateValues" dxfId="3243" priority="3593"/>
    <cfRule type="duplicateValues" dxfId="3242" priority="3592"/>
    <cfRule type="duplicateValues" dxfId="3241" priority="3591"/>
    <cfRule type="duplicateValues" dxfId="3240" priority="3590"/>
    <cfRule type="duplicateValues" dxfId="3239" priority="3589"/>
    <cfRule type="duplicateValues" dxfId="3238" priority="3588"/>
    <cfRule type="duplicateValues" dxfId="3237" priority="3587"/>
    <cfRule type="duplicateValues" dxfId="3236" priority="3586"/>
    <cfRule type="duplicateValues" dxfId="3235" priority="3585"/>
    <cfRule type="duplicateValues" dxfId="3234" priority="3584"/>
    <cfRule type="duplicateValues" dxfId="3233" priority="3583"/>
    <cfRule type="duplicateValues" dxfId="3232" priority="3582"/>
    <cfRule type="duplicateValues" dxfId="3231" priority="3581"/>
    <cfRule type="duplicateValues" dxfId="3230" priority="3580"/>
    <cfRule type="duplicateValues" dxfId="3229" priority="3579"/>
    <cfRule type="duplicateValues" dxfId="3228" priority="3578"/>
    <cfRule type="duplicateValues" dxfId="3227" priority="3577"/>
    <cfRule type="duplicateValues" dxfId="3226" priority="3576"/>
    <cfRule type="duplicateValues" dxfId="3225" priority="3575"/>
    <cfRule type="duplicateValues" dxfId="3224" priority="3574"/>
    <cfRule type="duplicateValues" dxfId="3223" priority="3518"/>
    <cfRule type="duplicateValues" dxfId="3222" priority="3519"/>
    <cfRule type="duplicateValues" dxfId="3221" priority="3520"/>
    <cfRule type="duplicateValues" dxfId="3220" priority="3521"/>
    <cfRule type="duplicateValues" dxfId="3219" priority="3522"/>
    <cfRule type="duplicateValues" dxfId="3218" priority="3523"/>
    <cfRule type="duplicateValues" dxfId="3217" priority="3524"/>
    <cfRule type="duplicateValues" dxfId="3216" priority="3525"/>
    <cfRule type="duplicateValues" dxfId="3215" priority="3526"/>
  </conditionalFormatting>
  <conditionalFormatting sqref="B129:B130">
    <cfRule type="duplicateValues" dxfId="3214" priority="3400"/>
    <cfRule type="duplicateValues" dxfId="3213" priority="3401"/>
    <cfRule type="duplicateValues" dxfId="3212" priority="3402"/>
    <cfRule type="duplicateValues" dxfId="3211" priority="3403"/>
    <cfRule type="duplicateValues" dxfId="3210" priority="3404"/>
    <cfRule type="duplicateValues" dxfId="3209" priority="3405"/>
    <cfRule type="duplicateValues" dxfId="3208" priority="3406"/>
    <cfRule type="duplicateValues" dxfId="3207" priority="3407"/>
    <cfRule type="duplicateValues" dxfId="3206" priority="3408"/>
    <cfRule type="duplicateValues" dxfId="3205" priority="3409"/>
    <cfRule type="duplicateValues" dxfId="3204" priority="3410"/>
    <cfRule type="duplicateValues" dxfId="3203" priority="3411"/>
    <cfRule type="duplicateValues" dxfId="3202" priority="3412"/>
    <cfRule type="duplicateValues" dxfId="3201" priority="3413"/>
    <cfRule type="duplicateValues" dxfId="3200" priority="3414"/>
    <cfRule type="duplicateValues" dxfId="3199" priority="3416"/>
    <cfRule type="duplicateValues" dxfId="3198" priority="3417"/>
    <cfRule type="duplicateValues" dxfId="3197" priority="3418"/>
    <cfRule type="duplicateValues" dxfId="3196" priority="3419"/>
    <cfRule type="duplicateValues" dxfId="3195" priority="3420"/>
    <cfRule type="duplicateValues" dxfId="3194" priority="3421"/>
    <cfRule type="duplicateValues" dxfId="3193" priority="3422"/>
    <cfRule type="duplicateValues" dxfId="3192" priority="3423"/>
    <cfRule type="duplicateValues" dxfId="3191" priority="3424"/>
    <cfRule type="duplicateValues" dxfId="3190" priority="3425"/>
    <cfRule type="duplicateValues" dxfId="3189" priority="3426"/>
    <cfRule type="duplicateValues" dxfId="3188" priority="3427"/>
    <cfRule type="duplicateValues" dxfId="3187" priority="3428"/>
    <cfRule type="duplicateValues" dxfId="3186" priority="3429"/>
    <cfRule type="duplicateValues" dxfId="3185" priority="3430"/>
    <cfRule type="duplicateValues" dxfId="3184" priority="3432"/>
    <cfRule type="duplicateValues" dxfId="3183" priority="3433"/>
    <cfRule type="duplicateValues" dxfId="3182" priority="3434"/>
    <cfRule type="duplicateValues" dxfId="3181" priority="3435"/>
    <cfRule type="duplicateValues" dxfId="3180" priority="3436"/>
    <cfRule type="duplicateValues" dxfId="3179" priority="3437"/>
    <cfRule type="duplicateValues" dxfId="3178" priority="3438"/>
    <cfRule type="duplicateValues" dxfId="3177" priority="3439"/>
    <cfRule type="duplicateValues" dxfId="3176" priority="3440"/>
    <cfRule type="duplicateValues" dxfId="3175" priority="3441"/>
    <cfRule type="duplicateValues" dxfId="3174" priority="3442"/>
    <cfRule type="duplicateValues" dxfId="3173" priority="3443"/>
    <cfRule type="duplicateValues" dxfId="3172" priority="3444"/>
    <cfRule type="duplicateValues" dxfId="3171" priority="3445"/>
    <cfRule type="duplicateValues" dxfId="3170" priority="3446"/>
    <cfRule type="duplicateValues" dxfId="3169" priority="3447"/>
    <cfRule type="duplicateValues" dxfId="3168" priority="3448"/>
    <cfRule type="duplicateValues" dxfId="3167" priority="3449"/>
    <cfRule type="duplicateValues" dxfId="3166" priority="3450"/>
    <cfRule type="duplicateValues" dxfId="3165" priority="3451"/>
    <cfRule type="duplicateValues" dxfId="3164" priority="3452"/>
    <cfRule type="duplicateValues" dxfId="3163" priority="3453"/>
    <cfRule type="duplicateValues" dxfId="3162" priority="3454"/>
    <cfRule type="duplicateValues" dxfId="3161" priority="3455"/>
    <cfRule type="duplicateValues" dxfId="3160" priority="3456"/>
    <cfRule type="duplicateValues" dxfId="3159" priority="3457"/>
    <cfRule type="duplicateValues" dxfId="3158" priority="3458"/>
    <cfRule type="duplicateValues" dxfId="3157" priority="3459"/>
    <cfRule type="duplicateValues" dxfId="3156" priority="3460"/>
    <cfRule type="duplicateValues" dxfId="3155" priority="3461"/>
    <cfRule type="duplicateValues" dxfId="3154" priority="3462"/>
    <cfRule type="duplicateValues" dxfId="3153" priority="3463"/>
    <cfRule type="duplicateValues" dxfId="3152" priority="3464"/>
    <cfRule type="duplicateValues" dxfId="3151" priority="3465"/>
    <cfRule type="duplicateValues" dxfId="3150" priority="3466"/>
    <cfRule type="duplicateValues" dxfId="3149" priority="3467"/>
    <cfRule type="duplicateValues" dxfId="3148" priority="3468"/>
    <cfRule type="duplicateValues" dxfId="3147" priority="3469"/>
    <cfRule type="duplicateValues" dxfId="3146" priority="3470"/>
    <cfRule type="duplicateValues" dxfId="3145" priority="3471"/>
    <cfRule type="duplicateValues" dxfId="3144" priority="3472"/>
    <cfRule type="duplicateValues" dxfId="3143" priority="3473"/>
    <cfRule type="duplicateValues" dxfId="3142" priority="3474"/>
    <cfRule type="duplicateValues" dxfId="3141" priority="3475"/>
    <cfRule type="duplicateValues" dxfId="3140" priority="3476"/>
    <cfRule type="duplicateValues" dxfId="3139" priority="3477"/>
    <cfRule type="duplicateValues" dxfId="3138" priority="3478"/>
    <cfRule type="duplicateValues" dxfId="3137" priority="3479"/>
    <cfRule type="duplicateValues" dxfId="3136" priority="3480"/>
    <cfRule type="duplicateValues" dxfId="3135" priority="3481"/>
    <cfRule type="duplicateValues" dxfId="3134" priority="3482"/>
    <cfRule type="duplicateValues" dxfId="3133" priority="3483"/>
    <cfRule type="duplicateValues" dxfId="3132" priority="3484"/>
    <cfRule type="duplicateValues" dxfId="3131" priority="3485"/>
    <cfRule type="duplicateValues" dxfId="3130" priority="3486"/>
    <cfRule type="duplicateValues" dxfId="3129" priority="3487"/>
    <cfRule type="duplicateValues" dxfId="3128" priority="3488"/>
    <cfRule type="duplicateValues" dxfId="3127" priority="3489"/>
    <cfRule type="duplicateValues" dxfId="3126" priority="3490"/>
    <cfRule type="duplicateValues" dxfId="3125" priority="3492"/>
    <cfRule type="duplicateValues" dxfId="3124" priority="3493"/>
    <cfRule type="duplicateValues" dxfId="3123" priority="3494"/>
    <cfRule type="duplicateValues" dxfId="3122" priority="3495"/>
    <cfRule type="duplicateValues" dxfId="3121" priority="3496"/>
    <cfRule type="duplicateValues" dxfId="3120" priority="3497"/>
    <cfRule type="duplicateValues" dxfId="3119" priority="3498"/>
    <cfRule type="duplicateValues" dxfId="3118" priority="3499"/>
    <cfRule type="duplicateValues" dxfId="3117" priority="3500"/>
    <cfRule type="duplicateValues" dxfId="3116" priority="3501"/>
    <cfRule type="duplicateValues" dxfId="3115" priority="3502"/>
    <cfRule type="duplicateValues" dxfId="3114" priority="3503"/>
    <cfRule type="duplicateValues" dxfId="3113" priority="3504"/>
    <cfRule type="duplicateValues" dxfId="3112" priority="3505"/>
    <cfRule type="duplicateValues" dxfId="3111" priority="3506"/>
    <cfRule type="duplicateValues" dxfId="3110" priority="3507"/>
    <cfRule type="duplicateValues" dxfId="3109" priority="3508"/>
    <cfRule type="duplicateValues" dxfId="3108" priority="3509"/>
    <cfRule type="duplicateValues" dxfId="3107" priority="3510"/>
    <cfRule type="duplicateValues" dxfId="3106" priority="3511"/>
    <cfRule type="duplicateValues" dxfId="3105" priority="3396"/>
    <cfRule type="duplicateValues" dxfId="3104" priority="3397"/>
    <cfRule type="duplicateValues" dxfId="3103" priority="3398"/>
    <cfRule type="duplicateValues" dxfId="3102" priority="3399"/>
    <cfRule type="duplicateValues" dxfId="3101" priority="3415"/>
    <cfRule type="duplicateValues" dxfId="3100" priority="3431"/>
    <cfRule type="duplicateValues" dxfId="3099" priority="3491"/>
    <cfRule type="duplicateValues" dxfId="3098" priority="3391"/>
    <cfRule type="duplicateValues" dxfId="3097" priority="3392"/>
    <cfRule type="duplicateValues" dxfId="3096" priority="3393"/>
    <cfRule type="duplicateValues" dxfId="3095" priority="3394"/>
    <cfRule type="duplicateValues" dxfId="3094" priority="3395"/>
  </conditionalFormatting>
  <conditionalFormatting sqref="B131:B132">
    <cfRule type="duplicateValues" dxfId="3093" priority="3307"/>
    <cfRule type="duplicateValues" dxfId="3092" priority="3308"/>
    <cfRule type="duplicateValues" dxfId="3091" priority="3309"/>
    <cfRule type="duplicateValues" dxfId="3090" priority="3310"/>
    <cfRule type="duplicateValues" dxfId="3089" priority="3311"/>
    <cfRule type="duplicateValues" dxfId="3088" priority="3312"/>
    <cfRule type="duplicateValues" dxfId="3087" priority="3313"/>
    <cfRule type="duplicateValues" dxfId="3086" priority="3314"/>
    <cfRule type="duplicateValues" dxfId="3085" priority="3315"/>
    <cfRule type="duplicateValues" dxfId="3084" priority="3316"/>
    <cfRule type="duplicateValues" dxfId="3083" priority="3317"/>
    <cfRule type="duplicateValues" dxfId="3082" priority="3318"/>
    <cfRule type="duplicateValues" dxfId="3081" priority="3319"/>
    <cfRule type="duplicateValues" dxfId="3080" priority="3320"/>
    <cfRule type="duplicateValues" dxfId="3079" priority="3321"/>
    <cfRule type="duplicateValues" dxfId="3078" priority="3322"/>
    <cfRule type="duplicateValues" dxfId="3077" priority="3323"/>
    <cfRule type="duplicateValues" dxfId="3076" priority="3324"/>
    <cfRule type="duplicateValues" dxfId="3075" priority="3325"/>
    <cfRule type="duplicateValues" dxfId="3074" priority="3326"/>
    <cfRule type="duplicateValues" dxfId="3073" priority="3327"/>
    <cfRule type="duplicateValues" dxfId="3072" priority="3328"/>
    <cfRule type="duplicateValues" dxfId="3071" priority="3329"/>
    <cfRule type="duplicateValues" dxfId="3070" priority="3330"/>
    <cfRule type="duplicateValues" dxfId="3069" priority="3331"/>
    <cfRule type="duplicateValues" dxfId="3068" priority="3332"/>
    <cfRule type="duplicateValues" dxfId="3067" priority="3333"/>
    <cfRule type="duplicateValues" dxfId="3066" priority="3334"/>
    <cfRule type="duplicateValues" dxfId="3065" priority="3335"/>
    <cfRule type="duplicateValues" dxfId="3064" priority="3336"/>
    <cfRule type="duplicateValues" dxfId="3063" priority="3337"/>
    <cfRule type="duplicateValues" dxfId="3062" priority="3338"/>
    <cfRule type="duplicateValues" dxfId="3061" priority="3339"/>
    <cfRule type="duplicateValues" dxfId="3060" priority="3340"/>
    <cfRule type="duplicateValues" dxfId="3059" priority="3341"/>
    <cfRule type="duplicateValues" dxfId="3058" priority="3342"/>
    <cfRule type="duplicateValues" dxfId="3057" priority="3343"/>
    <cfRule type="duplicateValues" dxfId="3056" priority="3344"/>
    <cfRule type="duplicateValues" dxfId="3055" priority="3345"/>
    <cfRule type="duplicateValues" dxfId="3054" priority="3346"/>
    <cfRule type="duplicateValues" dxfId="3053" priority="3347"/>
    <cfRule type="duplicateValues" dxfId="3052" priority="3348"/>
    <cfRule type="duplicateValues" dxfId="3051" priority="3349"/>
    <cfRule type="duplicateValues" dxfId="3050" priority="3350"/>
    <cfRule type="duplicateValues" dxfId="3049" priority="3351"/>
    <cfRule type="duplicateValues" dxfId="3048" priority="3352"/>
    <cfRule type="duplicateValues" dxfId="3047" priority="3353"/>
    <cfRule type="duplicateValues" dxfId="3046" priority="3354"/>
    <cfRule type="duplicateValues" dxfId="3045" priority="3355"/>
    <cfRule type="duplicateValues" dxfId="3044" priority="3356"/>
    <cfRule type="duplicateValues" dxfId="3043" priority="3357"/>
    <cfRule type="duplicateValues" dxfId="3042" priority="3358"/>
    <cfRule type="duplicateValues" dxfId="3041" priority="3359"/>
    <cfRule type="duplicateValues" dxfId="3040" priority="3360"/>
    <cfRule type="duplicateValues" dxfId="3039" priority="3361"/>
    <cfRule type="duplicateValues" dxfId="3038" priority="3362"/>
    <cfRule type="duplicateValues" dxfId="3037" priority="3363"/>
    <cfRule type="duplicateValues" dxfId="3036" priority="3364"/>
    <cfRule type="duplicateValues" dxfId="3035" priority="3365"/>
    <cfRule type="duplicateValues" dxfId="3034" priority="3366"/>
    <cfRule type="duplicateValues" dxfId="3033" priority="3367"/>
    <cfRule type="duplicateValues" dxfId="3032" priority="3368"/>
    <cfRule type="duplicateValues" dxfId="3031" priority="3369"/>
    <cfRule type="duplicateValues" dxfId="3030" priority="3370"/>
    <cfRule type="duplicateValues" dxfId="3029" priority="3371"/>
    <cfRule type="duplicateValues" dxfId="3028" priority="3372"/>
    <cfRule type="duplicateValues" dxfId="3027" priority="3373"/>
    <cfRule type="duplicateValues" dxfId="3026" priority="3374"/>
    <cfRule type="duplicateValues" dxfId="3025" priority="3375"/>
    <cfRule type="duplicateValues" dxfId="3024" priority="3376"/>
    <cfRule type="duplicateValues" dxfId="3023" priority="3377"/>
    <cfRule type="duplicateValues" dxfId="3022" priority="3378"/>
    <cfRule type="duplicateValues" dxfId="3021" priority="3379"/>
    <cfRule type="duplicateValues" dxfId="3020" priority="3380"/>
    <cfRule type="duplicateValues" dxfId="3019" priority="3381"/>
    <cfRule type="duplicateValues" dxfId="3018" priority="3382"/>
    <cfRule type="duplicateValues" dxfId="3017" priority="3383"/>
    <cfRule type="duplicateValues" dxfId="3016" priority="3384"/>
    <cfRule type="duplicateValues" dxfId="3015" priority="3385"/>
    <cfRule type="duplicateValues" dxfId="3014" priority="3386"/>
    <cfRule type="duplicateValues" dxfId="3013" priority="3387"/>
    <cfRule type="duplicateValues" dxfId="3012" priority="3388"/>
    <cfRule type="duplicateValues" dxfId="3011" priority="3389"/>
    <cfRule type="duplicateValues" dxfId="3010" priority="3390"/>
    <cfRule type="duplicateValues" dxfId="3009" priority="3298"/>
    <cfRule type="duplicateValues" dxfId="3008" priority="3299"/>
    <cfRule type="duplicateValues" dxfId="3007" priority="3300"/>
    <cfRule type="duplicateValues" dxfId="3006" priority="3301"/>
    <cfRule type="duplicateValues" dxfId="3005" priority="3302"/>
    <cfRule type="duplicateValues" dxfId="3004" priority="3303"/>
    <cfRule type="duplicateValues" dxfId="3003" priority="3304"/>
    <cfRule type="duplicateValues" dxfId="3002" priority="3305"/>
    <cfRule type="duplicateValues" dxfId="3001" priority="3306"/>
  </conditionalFormatting>
  <conditionalFormatting sqref="B133:B140">
    <cfRule type="duplicateValues" dxfId="3000" priority="3210"/>
    <cfRule type="duplicateValues" dxfId="2999" priority="3232"/>
    <cfRule type="duplicateValues" dxfId="2998" priority="3231"/>
    <cfRule type="duplicateValues" dxfId="2997" priority="3230"/>
    <cfRule type="duplicateValues" dxfId="2996" priority="3229"/>
    <cfRule type="duplicateValues" dxfId="2995" priority="3228"/>
    <cfRule type="duplicateValues" dxfId="2994" priority="3227"/>
    <cfRule type="duplicateValues" dxfId="2993" priority="3226"/>
    <cfRule type="duplicateValues" dxfId="2992" priority="3225"/>
    <cfRule type="duplicateValues" dxfId="2991" priority="3224"/>
    <cfRule type="duplicateValues" dxfId="2990" priority="3223"/>
    <cfRule type="duplicateValues" dxfId="2989" priority="3222"/>
    <cfRule type="duplicateValues" dxfId="2988" priority="3221"/>
    <cfRule type="duplicateValues" dxfId="2987" priority="3220"/>
    <cfRule type="duplicateValues" dxfId="2986" priority="3219"/>
    <cfRule type="duplicateValues" dxfId="2985" priority="3218"/>
    <cfRule type="duplicateValues" dxfId="2984" priority="3217"/>
    <cfRule type="duplicateValues" dxfId="2983" priority="3216"/>
    <cfRule type="duplicateValues" dxfId="2982" priority="3215"/>
    <cfRule type="duplicateValues" dxfId="2981" priority="3214"/>
    <cfRule type="duplicateValues" dxfId="2980" priority="3213"/>
    <cfRule type="duplicateValues" dxfId="2979" priority="3212"/>
    <cfRule type="duplicateValues" dxfId="2978" priority="3211"/>
    <cfRule type="duplicateValues" dxfId="2977" priority="3263"/>
    <cfRule type="duplicateValues" dxfId="2976" priority="3209"/>
    <cfRule type="duplicateValues" dxfId="2975" priority="3208"/>
    <cfRule type="duplicateValues" dxfId="2974" priority="3207"/>
    <cfRule type="duplicateValues" dxfId="2973" priority="3206"/>
    <cfRule type="duplicateValues" dxfId="2972" priority="3205"/>
    <cfRule type="duplicateValues" dxfId="2971" priority="3204"/>
    <cfRule type="duplicateValues" dxfId="2970" priority="3203"/>
    <cfRule type="duplicateValues" dxfId="2969" priority="3202"/>
    <cfRule type="duplicateValues" dxfId="2968" priority="3201"/>
    <cfRule type="duplicateValues" dxfId="2967" priority="3200"/>
    <cfRule type="duplicateValues" dxfId="2966" priority="3199"/>
    <cfRule type="duplicateValues" dxfId="2965" priority="3198"/>
    <cfRule type="duplicateValues" dxfId="2964" priority="3197"/>
    <cfRule type="duplicateValues" dxfId="2963" priority="3196"/>
    <cfRule type="duplicateValues" dxfId="2962" priority="3195"/>
    <cfRule type="duplicateValues" dxfId="2961" priority="3194"/>
    <cfRule type="duplicateValues" dxfId="2960" priority="3193"/>
    <cfRule type="duplicateValues" dxfId="2959" priority="3192"/>
    <cfRule type="duplicateValues" dxfId="2958" priority="3191"/>
    <cfRule type="duplicateValues" dxfId="2957" priority="3190"/>
    <cfRule type="duplicateValues" dxfId="2956" priority="3189"/>
    <cfRule type="duplicateValues" dxfId="2955" priority="3188"/>
    <cfRule type="duplicateValues" dxfId="2954" priority="3187"/>
    <cfRule type="duplicateValues" dxfId="2953" priority="3186"/>
    <cfRule type="duplicateValues" dxfId="2952" priority="3185"/>
    <cfRule type="duplicateValues" dxfId="2951" priority="3184"/>
    <cfRule type="duplicateValues" dxfId="2950" priority="3183"/>
    <cfRule type="duplicateValues" dxfId="2949" priority="3182"/>
    <cfRule type="duplicateValues" dxfId="2948" priority="3181"/>
    <cfRule type="duplicateValues" dxfId="2947" priority="3180"/>
    <cfRule type="duplicateValues" dxfId="2946" priority="3179"/>
    <cfRule type="duplicateValues" dxfId="2945" priority="3178"/>
    <cfRule type="duplicateValues" dxfId="2944" priority="3177"/>
    <cfRule type="duplicateValues" dxfId="2943" priority="3297"/>
    <cfRule type="duplicateValues" dxfId="2942" priority="3296"/>
    <cfRule type="duplicateValues" dxfId="2941" priority="3295"/>
    <cfRule type="duplicateValues" dxfId="2940" priority="3294"/>
    <cfRule type="duplicateValues" dxfId="2939" priority="3293"/>
    <cfRule type="duplicateValues" dxfId="2938" priority="3292"/>
    <cfRule type="duplicateValues" dxfId="2937" priority="3291"/>
    <cfRule type="duplicateValues" dxfId="2936" priority="3290"/>
    <cfRule type="duplicateValues" dxfId="2935" priority="3289"/>
    <cfRule type="duplicateValues" dxfId="2934" priority="3288"/>
    <cfRule type="duplicateValues" dxfId="2933" priority="3287"/>
    <cfRule type="duplicateValues" dxfId="2932" priority="3286"/>
    <cfRule type="duplicateValues" dxfId="2931" priority="3285"/>
    <cfRule type="duplicateValues" dxfId="2930" priority="3284"/>
    <cfRule type="duplicateValues" dxfId="2929" priority="3283"/>
    <cfRule type="duplicateValues" dxfId="2928" priority="3282"/>
    <cfRule type="duplicateValues" dxfId="2927" priority="3281"/>
    <cfRule type="duplicateValues" dxfId="2926" priority="3280"/>
    <cfRule type="duplicateValues" dxfId="2925" priority="3279"/>
    <cfRule type="duplicateValues" dxfId="2924" priority="3278"/>
    <cfRule type="duplicateValues" dxfId="2923" priority="3277"/>
    <cfRule type="duplicateValues" dxfId="2922" priority="3276"/>
    <cfRule type="duplicateValues" dxfId="2921" priority="3275"/>
    <cfRule type="duplicateValues" dxfId="2920" priority="3274"/>
    <cfRule type="duplicateValues" dxfId="2919" priority="3273"/>
    <cfRule type="duplicateValues" dxfId="2918" priority="3272"/>
    <cfRule type="duplicateValues" dxfId="2917" priority="3271"/>
    <cfRule type="duplicateValues" dxfId="2916" priority="3270"/>
    <cfRule type="duplicateValues" dxfId="2915" priority="3269"/>
    <cfRule type="duplicateValues" dxfId="2914" priority="3268"/>
    <cfRule type="duplicateValues" dxfId="2913" priority="3267"/>
    <cfRule type="duplicateValues" dxfId="2912" priority="3266"/>
    <cfRule type="duplicateValues" dxfId="2911" priority="3265"/>
    <cfRule type="duplicateValues" dxfId="2910" priority="3264"/>
    <cfRule type="duplicateValues" dxfId="2909" priority="3262"/>
    <cfRule type="duplicateValues" dxfId="2908" priority="3261"/>
    <cfRule type="duplicateValues" dxfId="2907" priority="3260"/>
    <cfRule type="duplicateValues" dxfId="2906" priority="3259"/>
    <cfRule type="duplicateValues" dxfId="2905" priority="3258"/>
    <cfRule type="duplicateValues" dxfId="2904" priority="3257"/>
    <cfRule type="duplicateValues" dxfId="2903" priority="3256"/>
    <cfRule type="duplicateValues" dxfId="2902" priority="3255"/>
    <cfRule type="duplicateValues" dxfId="2901" priority="3254"/>
    <cfRule type="duplicateValues" dxfId="2900" priority="3253"/>
    <cfRule type="duplicateValues" dxfId="2899" priority="3252"/>
    <cfRule type="duplicateValues" dxfId="2898" priority="3251"/>
    <cfRule type="duplicateValues" dxfId="2897" priority="3250"/>
    <cfRule type="duplicateValues" dxfId="2896" priority="3249"/>
    <cfRule type="duplicateValues" dxfId="2895" priority="3248"/>
    <cfRule type="duplicateValues" dxfId="2894" priority="3247"/>
    <cfRule type="duplicateValues" dxfId="2893" priority="3246"/>
    <cfRule type="duplicateValues" dxfId="2892" priority="3245"/>
    <cfRule type="duplicateValues" dxfId="2891" priority="3244"/>
    <cfRule type="duplicateValues" dxfId="2890" priority="3243"/>
    <cfRule type="duplicateValues" dxfId="2889" priority="3242"/>
    <cfRule type="duplicateValues" dxfId="2888" priority="3241"/>
    <cfRule type="duplicateValues" dxfId="2887" priority="3240"/>
    <cfRule type="duplicateValues" dxfId="2886" priority="3239"/>
    <cfRule type="duplicateValues" dxfId="2885" priority="3238"/>
    <cfRule type="duplicateValues" dxfId="2884" priority="3237"/>
    <cfRule type="duplicateValues" dxfId="2883" priority="3236"/>
    <cfRule type="duplicateValues" dxfId="2882" priority="3235"/>
    <cfRule type="duplicateValues" dxfId="2881" priority="3234"/>
    <cfRule type="duplicateValues" dxfId="2880" priority="3233"/>
  </conditionalFormatting>
  <conditionalFormatting sqref="B136">
    <cfRule type="duplicateValues" dxfId="2879" priority="3063"/>
    <cfRule type="duplicateValues" dxfId="2878" priority="3062"/>
    <cfRule type="duplicateValues" dxfId="2877" priority="3061"/>
    <cfRule type="duplicateValues" dxfId="2876" priority="3060"/>
    <cfRule type="duplicateValues" dxfId="2875" priority="3059"/>
    <cfRule type="duplicateValues" dxfId="2874" priority="3058"/>
    <cfRule type="duplicateValues" dxfId="2873" priority="3057"/>
    <cfRule type="duplicateValues" dxfId="2872" priority="3176"/>
    <cfRule type="duplicateValues" dxfId="2871" priority="3175"/>
    <cfRule type="duplicateValues" dxfId="2870" priority="3174"/>
    <cfRule type="duplicateValues" dxfId="2869" priority="3173"/>
    <cfRule type="duplicateValues" dxfId="2868" priority="3172"/>
    <cfRule type="duplicateValues" dxfId="2867" priority="3171"/>
    <cfRule type="duplicateValues" dxfId="2866" priority="3170"/>
    <cfRule type="duplicateValues" dxfId="2865" priority="3169"/>
    <cfRule type="duplicateValues" dxfId="2864" priority="3168"/>
    <cfRule type="duplicateValues" dxfId="2863" priority="3167"/>
    <cfRule type="duplicateValues" dxfId="2862" priority="3166"/>
    <cfRule type="duplicateValues" dxfId="2861" priority="3165"/>
    <cfRule type="duplicateValues" dxfId="2860" priority="3164"/>
    <cfRule type="duplicateValues" dxfId="2859" priority="3163"/>
    <cfRule type="duplicateValues" dxfId="2858" priority="3162"/>
    <cfRule type="duplicateValues" dxfId="2857" priority="3161"/>
    <cfRule type="duplicateValues" dxfId="2856" priority="3160"/>
    <cfRule type="duplicateValues" dxfId="2855" priority="3159"/>
    <cfRule type="duplicateValues" dxfId="2854" priority="3158"/>
    <cfRule type="duplicateValues" dxfId="2853" priority="3157"/>
    <cfRule type="duplicateValues" dxfId="2852" priority="3056"/>
    <cfRule type="duplicateValues" dxfId="2851" priority="3155"/>
    <cfRule type="duplicateValues" dxfId="2850" priority="3154"/>
    <cfRule type="duplicateValues" dxfId="2849" priority="3153"/>
    <cfRule type="duplicateValues" dxfId="2848" priority="3152"/>
    <cfRule type="duplicateValues" dxfId="2847" priority="3151"/>
    <cfRule type="duplicateValues" dxfId="2846" priority="3150"/>
    <cfRule type="duplicateValues" dxfId="2845" priority="3149"/>
    <cfRule type="duplicateValues" dxfId="2844" priority="3148"/>
    <cfRule type="duplicateValues" dxfId="2843" priority="3147"/>
    <cfRule type="duplicateValues" dxfId="2842" priority="3146"/>
    <cfRule type="duplicateValues" dxfId="2841" priority="3145"/>
    <cfRule type="duplicateValues" dxfId="2840" priority="3144"/>
    <cfRule type="duplicateValues" dxfId="2839" priority="3143"/>
    <cfRule type="duplicateValues" dxfId="2838" priority="3142"/>
    <cfRule type="duplicateValues" dxfId="2837" priority="3141"/>
    <cfRule type="duplicateValues" dxfId="2836" priority="3140"/>
    <cfRule type="duplicateValues" dxfId="2835" priority="3139"/>
    <cfRule type="duplicateValues" dxfId="2834" priority="3138"/>
    <cfRule type="duplicateValues" dxfId="2833" priority="3137"/>
    <cfRule type="duplicateValues" dxfId="2832" priority="3136"/>
    <cfRule type="duplicateValues" dxfId="2831" priority="3135"/>
    <cfRule type="duplicateValues" dxfId="2830" priority="3134"/>
    <cfRule type="duplicateValues" dxfId="2829" priority="3133"/>
    <cfRule type="duplicateValues" dxfId="2828" priority="3132"/>
    <cfRule type="duplicateValues" dxfId="2827" priority="3131"/>
    <cfRule type="duplicateValues" dxfId="2826" priority="3130"/>
    <cfRule type="duplicateValues" dxfId="2825" priority="3129"/>
    <cfRule type="duplicateValues" dxfId="2824" priority="3128"/>
    <cfRule type="duplicateValues" dxfId="2823" priority="3127"/>
    <cfRule type="duplicateValues" dxfId="2822" priority="3126"/>
    <cfRule type="duplicateValues" dxfId="2821" priority="3125"/>
    <cfRule type="duplicateValues" dxfId="2820" priority="3124"/>
    <cfRule type="duplicateValues" dxfId="2819" priority="3123"/>
    <cfRule type="duplicateValues" dxfId="2818" priority="3122"/>
    <cfRule type="duplicateValues" dxfId="2817" priority="3121"/>
    <cfRule type="duplicateValues" dxfId="2816" priority="3120"/>
    <cfRule type="duplicateValues" dxfId="2815" priority="3119"/>
    <cfRule type="duplicateValues" dxfId="2814" priority="3108"/>
    <cfRule type="duplicateValues" dxfId="2813" priority="3156"/>
    <cfRule type="duplicateValues" dxfId="2812" priority="3107"/>
    <cfRule type="duplicateValues" dxfId="2811" priority="3106"/>
    <cfRule type="duplicateValues" dxfId="2810" priority="3105"/>
    <cfRule type="duplicateValues" dxfId="2809" priority="3104"/>
    <cfRule type="duplicateValues" dxfId="2808" priority="3103"/>
    <cfRule type="duplicateValues" dxfId="2807" priority="3102"/>
    <cfRule type="duplicateValues" dxfId="2806" priority="3101"/>
    <cfRule type="duplicateValues" dxfId="2805" priority="3100"/>
    <cfRule type="duplicateValues" dxfId="2804" priority="3099"/>
    <cfRule type="duplicateValues" dxfId="2803" priority="3098"/>
    <cfRule type="duplicateValues" dxfId="2802" priority="3097"/>
    <cfRule type="duplicateValues" dxfId="2801" priority="3096"/>
    <cfRule type="duplicateValues" dxfId="2800" priority="3095"/>
    <cfRule type="duplicateValues" dxfId="2799" priority="3094"/>
    <cfRule type="duplicateValues" dxfId="2798" priority="3093"/>
    <cfRule type="duplicateValues" dxfId="2797" priority="3092"/>
    <cfRule type="duplicateValues" dxfId="2796" priority="3091"/>
    <cfRule type="duplicateValues" dxfId="2795" priority="3090"/>
    <cfRule type="duplicateValues" dxfId="2794" priority="3089"/>
    <cfRule type="duplicateValues" dxfId="2793" priority="3088"/>
    <cfRule type="duplicateValues" dxfId="2792" priority="3087"/>
    <cfRule type="duplicateValues" dxfId="2791" priority="3086"/>
    <cfRule type="duplicateValues" dxfId="2790" priority="3085"/>
    <cfRule type="duplicateValues" dxfId="2789" priority="3118"/>
    <cfRule type="duplicateValues" dxfId="2788" priority="3084"/>
    <cfRule type="duplicateValues" dxfId="2787" priority="3083"/>
    <cfRule type="duplicateValues" dxfId="2786" priority="3082"/>
    <cfRule type="duplicateValues" dxfId="2785" priority="3081"/>
    <cfRule type="duplicateValues" dxfId="2784" priority="3080"/>
    <cfRule type="duplicateValues" dxfId="2783" priority="3079"/>
    <cfRule type="duplicateValues" dxfId="2782" priority="3078"/>
    <cfRule type="duplicateValues" dxfId="2781" priority="3077"/>
    <cfRule type="duplicateValues" dxfId="2780" priority="3076"/>
    <cfRule type="duplicateValues" dxfId="2779" priority="3075"/>
    <cfRule type="duplicateValues" dxfId="2778" priority="3074"/>
    <cfRule type="duplicateValues" dxfId="2777" priority="3073"/>
    <cfRule type="duplicateValues" dxfId="2776" priority="3072"/>
    <cfRule type="duplicateValues" dxfId="2775" priority="3071"/>
    <cfRule type="duplicateValues" dxfId="2774" priority="3070"/>
    <cfRule type="duplicateValues" dxfId="2773" priority="3069"/>
    <cfRule type="duplicateValues" dxfId="2772" priority="3068"/>
    <cfRule type="duplicateValues" dxfId="2771" priority="3067"/>
    <cfRule type="duplicateValues" dxfId="2770" priority="3066"/>
    <cfRule type="duplicateValues" dxfId="2769" priority="3065"/>
    <cfRule type="duplicateValues" dxfId="2768" priority="3064"/>
    <cfRule type="duplicateValues" dxfId="2767" priority="3117"/>
    <cfRule type="duplicateValues" dxfId="2766" priority="3116"/>
    <cfRule type="duplicateValues" dxfId="2765" priority="3115"/>
    <cfRule type="duplicateValues" dxfId="2764" priority="3114"/>
    <cfRule type="duplicateValues" dxfId="2763" priority="3113"/>
    <cfRule type="duplicateValues" dxfId="2762" priority="3112"/>
    <cfRule type="duplicateValues" dxfId="2761" priority="3111"/>
    <cfRule type="duplicateValues" dxfId="2760" priority="3110"/>
    <cfRule type="duplicateValues" dxfId="2759" priority="3109"/>
  </conditionalFormatting>
  <conditionalFormatting sqref="B141:B143">
    <cfRule type="duplicateValues" dxfId="2758" priority="2996"/>
    <cfRule type="duplicateValues" dxfId="2757" priority="2995"/>
    <cfRule type="duplicateValues" dxfId="2756" priority="2994"/>
    <cfRule type="duplicateValues" dxfId="2755" priority="2993"/>
    <cfRule type="duplicateValues" dxfId="2754" priority="2992"/>
    <cfRule type="duplicateValues" dxfId="2753" priority="2991"/>
    <cfRule type="duplicateValues" dxfId="2752" priority="2990"/>
    <cfRule type="duplicateValues" dxfId="2751" priority="2989"/>
    <cfRule type="duplicateValues" dxfId="2750" priority="2988"/>
    <cfRule type="duplicateValues" dxfId="2749" priority="2987"/>
    <cfRule type="duplicateValues" dxfId="2748" priority="2986"/>
    <cfRule type="duplicateValues" dxfId="2747" priority="2985"/>
    <cfRule type="duplicateValues" dxfId="2746" priority="2984"/>
    <cfRule type="duplicateValues" dxfId="2745" priority="2983"/>
    <cfRule type="duplicateValues" dxfId="2744" priority="2982"/>
    <cfRule type="duplicateValues" dxfId="2743" priority="2981"/>
    <cfRule type="duplicateValues" dxfId="2742" priority="2980"/>
    <cfRule type="duplicateValues" dxfId="2741" priority="2979"/>
    <cfRule type="duplicateValues" dxfId="2740" priority="2978"/>
    <cfRule type="duplicateValues" dxfId="2739" priority="2977"/>
    <cfRule type="duplicateValues" dxfId="2738" priority="2976"/>
    <cfRule type="duplicateValues" dxfId="2737" priority="2975"/>
    <cfRule type="duplicateValues" dxfId="2736" priority="2974"/>
    <cfRule type="duplicateValues" dxfId="2735" priority="2973"/>
    <cfRule type="duplicateValues" dxfId="2734" priority="2972"/>
    <cfRule type="duplicateValues" dxfId="2733" priority="2971"/>
    <cfRule type="duplicateValues" dxfId="2732" priority="2970"/>
    <cfRule type="duplicateValues" dxfId="2731" priority="2969"/>
    <cfRule type="duplicateValues" dxfId="2730" priority="2968"/>
    <cfRule type="duplicateValues" dxfId="2729" priority="2967"/>
    <cfRule type="duplicateValues" dxfId="2728" priority="2966"/>
    <cfRule type="duplicateValues" dxfId="2727" priority="2965"/>
    <cfRule type="duplicateValues" dxfId="2726" priority="2964"/>
    <cfRule type="duplicateValues" dxfId="2725" priority="2963"/>
    <cfRule type="duplicateValues" dxfId="2724" priority="2962"/>
    <cfRule type="duplicateValues" dxfId="2723" priority="2961"/>
    <cfRule type="duplicateValues" dxfId="2722" priority="2960"/>
    <cfRule type="duplicateValues" dxfId="2721" priority="2959"/>
    <cfRule type="duplicateValues" dxfId="2720" priority="2958"/>
    <cfRule type="duplicateValues" dxfId="2719" priority="2957"/>
    <cfRule type="duplicateValues" dxfId="2718" priority="2956"/>
    <cfRule type="duplicateValues" dxfId="2717" priority="2955"/>
    <cfRule type="duplicateValues" dxfId="2716" priority="2954"/>
    <cfRule type="duplicateValues" dxfId="2715" priority="2953"/>
    <cfRule type="duplicateValues" dxfId="2714" priority="2952"/>
    <cfRule type="duplicateValues" dxfId="2713" priority="2951"/>
    <cfRule type="duplicateValues" dxfId="2712" priority="2950"/>
    <cfRule type="duplicateValues" dxfId="2711" priority="2949"/>
    <cfRule type="duplicateValues" dxfId="2710" priority="2948"/>
    <cfRule type="duplicateValues" dxfId="2709" priority="2947"/>
    <cfRule type="duplicateValues" dxfId="2708" priority="2946"/>
    <cfRule type="duplicateValues" dxfId="2707" priority="2945"/>
    <cfRule type="duplicateValues" dxfId="2706" priority="2944"/>
    <cfRule type="duplicateValues" dxfId="2705" priority="2943"/>
    <cfRule type="duplicateValues" dxfId="2704" priority="2942"/>
    <cfRule type="duplicateValues" dxfId="2703" priority="2941"/>
    <cfRule type="duplicateValues" dxfId="2702" priority="2940"/>
    <cfRule type="duplicateValues" dxfId="2701" priority="2939"/>
    <cfRule type="duplicateValues" dxfId="2700" priority="2938"/>
    <cfRule type="duplicateValues" dxfId="2699" priority="2937"/>
    <cfRule type="duplicateValues" dxfId="2698" priority="2936"/>
    <cfRule type="duplicateValues" dxfId="2697" priority="2935"/>
    <cfRule type="duplicateValues" dxfId="2696" priority="3055"/>
    <cfRule type="duplicateValues" dxfId="2695" priority="3054"/>
    <cfRule type="duplicateValues" dxfId="2694" priority="3053"/>
    <cfRule type="duplicateValues" dxfId="2693" priority="3052"/>
    <cfRule type="duplicateValues" dxfId="2692" priority="3051"/>
    <cfRule type="duplicateValues" dxfId="2691" priority="3050"/>
    <cfRule type="duplicateValues" dxfId="2690" priority="3049"/>
    <cfRule type="duplicateValues" dxfId="2689" priority="3048"/>
    <cfRule type="duplicateValues" dxfId="2688" priority="3047"/>
    <cfRule type="duplicateValues" dxfId="2687" priority="3046"/>
    <cfRule type="duplicateValues" dxfId="2686" priority="3045"/>
    <cfRule type="duplicateValues" dxfId="2685" priority="3044"/>
    <cfRule type="duplicateValues" dxfId="2684" priority="3043"/>
    <cfRule type="duplicateValues" dxfId="2683" priority="3042"/>
    <cfRule type="duplicateValues" dxfId="2682" priority="3041"/>
    <cfRule type="duplicateValues" dxfId="2681" priority="3040"/>
    <cfRule type="duplicateValues" dxfId="2680" priority="3039"/>
    <cfRule type="duplicateValues" dxfId="2679" priority="3038"/>
    <cfRule type="duplicateValues" dxfId="2678" priority="3037"/>
    <cfRule type="duplicateValues" dxfId="2677" priority="3036"/>
    <cfRule type="duplicateValues" dxfId="2676" priority="3035"/>
    <cfRule type="duplicateValues" dxfId="2675" priority="3034"/>
    <cfRule type="duplicateValues" dxfId="2674" priority="3033"/>
    <cfRule type="duplicateValues" dxfId="2673" priority="3032"/>
    <cfRule type="duplicateValues" dxfId="2672" priority="3031"/>
    <cfRule type="duplicateValues" dxfId="2671" priority="3030"/>
    <cfRule type="duplicateValues" dxfId="2670" priority="3029"/>
    <cfRule type="duplicateValues" dxfId="2669" priority="3028"/>
    <cfRule type="duplicateValues" dxfId="2668" priority="3027"/>
    <cfRule type="duplicateValues" dxfId="2667" priority="3026"/>
    <cfRule type="duplicateValues" dxfId="2666" priority="3025"/>
    <cfRule type="duplicateValues" dxfId="2665" priority="3024"/>
    <cfRule type="duplicateValues" dxfId="2664" priority="3023"/>
    <cfRule type="duplicateValues" dxfId="2663" priority="3022"/>
    <cfRule type="duplicateValues" dxfId="2662" priority="3021"/>
    <cfRule type="duplicateValues" dxfId="2661" priority="3020"/>
    <cfRule type="duplicateValues" dxfId="2660" priority="3019"/>
    <cfRule type="duplicateValues" dxfId="2659" priority="3018"/>
    <cfRule type="duplicateValues" dxfId="2658" priority="3017"/>
    <cfRule type="duplicateValues" dxfId="2657" priority="3016"/>
    <cfRule type="duplicateValues" dxfId="2656" priority="3015"/>
    <cfRule type="duplicateValues" dxfId="2655" priority="3014"/>
    <cfRule type="duplicateValues" dxfId="2654" priority="3013"/>
    <cfRule type="duplicateValues" dxfId="2653" priority="3012"/>
    <cfRule type="duplicateValues" dxfId="2652" priority="3011"/>
    <cfRule type="duplicateValues" dxfId="2651" priority="3010"/>
    <cfRule type="duplicateValues" dxfId="2650" priority="3009"/>
    <cfRule type="duplicateValues" dxfId="2649" priority="3008"/>
    <cfRule type="duplicateValues" dxfId="2648" priority="3007"/>
    <cfRule type="duplicateValues" dxfId="2647" priority="3006"/>
    <cfRule type="duplicateValues" dxfId="2646" priority="3005"/>
    <cfRule type="duplicateValues" dxfId="2645" priority="3004"/>
    <cfRule type="duplicateValues" dxfId="2644" priority="3003"/>
    <cfRule type="duplicateValues" dxfId="2643" priority="3002"/>
    <cfRule type="duplicateValues" dxfId="2642" priority="3001"/>
    <cfRule type="duplicateValues" dxfId="2641" priority="3000"/>
    <cfRule type="duplicateValues" dxfId="2640" priority="2999"/>
    <cfRule type="duplicateValues" dxfId="2639" priority="2998"/>
    <cfRule type="duplicateValues" dxfId="2638" priority="2997"/>
  </conditionalFormatting>
  <conditionalFormatting sqref="B144:B145">
    <cfRule type="duplicateValues" dxfId="2637" priority="2873"/>
    <cfRule type="duplicateValues" dxfId="2636" priority="2872"/>
    <cfRule type="duplicateValues" dxfId="2635" priority="2871"/>
    <cfRule type="duplicateValues" dxfId="2634" priority="2870"/>
    <cfRule type="duplicateValues" dxfId="2633" priority="2869"/>
    <cfRule type="duplicateValues" dxfId="2632" priority="2868"/>
    <cfRule type="duplicateValues" dxfId="2631" priority="2867"/>
    <cfRule type="duplicateValues" dxfId="2630" priority="2866"/>
    <cfRule type="duplicateValues" dxfId="2629" priority="2865"/>
    <cfRule type="duplicateValues" dxfId="2628" priority="2864"/>
    <cfRule type="duplicateValues" dxfId="2627" priority="2863"/>
    <cfRule type="duplicateValues" dxfId="2626" priority="2862"/>
    <cfRule type="duplicateValues" dxfId="2625" priority="2861"/>
    <cfRule type="duplicateValues" dxfId="2624" priority="2860"/>
    <cfRule type="duplicateValues" dxfId="2623" priority="2859"/>
    <cfRule type="duplicateValues" dxfId="2622" priority="2858"/>
    <cfRule type="duplicateValues" dxfId="2621" priority="2857"/>
    <cfRule type="duplicateValues" dxfId="2620" priority="2856"/>
    <cfRule type="duplicateValues" dxfId="2619" priority="2855"/>
    <cfRule type="duplicateValues" dxfId="2618" priority="2854"/>
    <cfRule type="duplicateValues" dxfId="2617" priority="2853"/>
    <cfRule type="duplicateValues" dxfId="2616" priority="2852"/>
    <cfRule type="duplicateValues" dxfId="2615" priority="2851"/>
    <cfRule type="duplicateValues" dxfId="2614" priority="2850"/>
    <cfRule type="duplicateValues" dxfId="2613" priority="2849"/>
    <cfRule type="duplicateValues" dxfId="2612" priority="2848"/>
    <cfRule type="duplicateValues" dxfId="2611" priority="2847"/>
    <cfRule type="duplicateValues" dxfId="2610" priority="2846"/>
    <cfRule type="duplicateValues" dxfId="2609" priority="2845"/>
    <cfRule type="duplicateValues" dxfId="2608" priority="2844"/>
    <cfRule type="duplicateValues" dxfId="2607" priority="2843"/>
    <cfRule type="duplicateValues" dxfId="2606" priority="2842"/>
    <cfRule type="duplicateValues" dxfId="2605" priority="2841"/>
    <cfRule type="duplicateValues" dxfId="2604" priority="2840"/>
    <cfRule type="duplicateValues" dxfId="2603" priority="2839"/>
    <cfRule type="duplicateValues" dxfId="2602" priority="2838"/>
    <cfRule type="duplicateValues" dxfId="2601" priority="2837"/>
    <cfRule type="duplicateValues" dxfId="2600" priority="2836"/>
    <cfRule type="duplicateValues" dxfId="2599" priority="2835"/>
    <cfRule type="duplicateValues" dxfId="2598" priority="2834"/>
    <cfRule type="duplicateValues" dxfId="2597" priority="2833"/>
    <cfRule type="duplicateValues" dxfId="2596" priority="2832"/>
    <cfRule type="duplicateValues" dxfId="2595" priority="2831"/>
    <cfRule type="duplicateValues" dxfId="2594" priority="2765"/>
    <cfRule type="duplicateValues" dxfId="2593" priority="2829"/>
    <cfRule type="duplicateValues" dxfId="2592" priority="2828"/>
    <cfRule type="duplicateValues" dxfId="2591" priority="2827"/>
    <cfRule type="duplicateValues" dxfId="2590" priority="2826"/>
    <cfRule type="duplicateValues" dxfId="2589" priority="2825"/>
    <cfRule type="duplicateValues" dxfId="2588" priority="2824"/>
    <cfRule type="duplicateValues" dxfId="2587" priority="2823"/>
    <cfRule type="duplicateValues" dxfId="2586" priority="2822"/>
    <cfRule type="duplicateValues" dxfId="2585" priority="2821"/>
    <cfRule type="duplicateValues" dxfId="2584" priority="2820"/>
    <cfRule type="duplicateValues" dxfId="2583" priority="2819"/>
    <cfRule type="duplicateValues" dxfId="2582" priority="2818"/>
    <cfRule type="duplicateValues" dxfId="2581" priority="2817"/>
    <cfRule type="duplicateValues" dxfId="2580" priority="2816"/>
    <cfRule type="duplicateValues" dxfId="2579" priority="2815"/>
    <cfRule type="duplicateValues" dxfId="2578" priority="2814"/>
    <cfRule type="duplicateValues" dxfId="2577" priority="2813"/>
    <cfRule type="duplicateValues" dxfId="2576" priority="2812"/>
    <cfRule type="duplicateValues" dxfId="2575" priority="2811"/>
    <cfRule type="duplicateValues" dxfId="2574" priority="2810"/>
    <cfRule type="duplicateValues" dxfId="2573" priority="2809"/>
    <cfRule type="duplicateValues" dxfId="2572" priority="2808"/>
    <cfRule type="duplicateValues" dxfId="2571" priority="2807"/>
    <cfRule type="duplicateValues" dxfId="2570" priority="2806"/>
    <cfRule type="duplicateValues" dxfId="2569" priority="2805"/>
    <cfRule type="duplicateValues" dxfId="2568" priority="2804"/>
    <cfRule type="duplicateValues" dxfId="2567" priority="2803"/>
    <cfRule type="duplicateValues" dxfId="2566" priority="2802"/>
    <cfRule type="duplicateValues" dxfId="2565" priority="2801"/>
    <cfRule type="duplicateValues" dxfId="2564" priority="2800"/>
    <cfRule type="duplicateValues" dxfId="2563" priority="2799"/>
    <cfRule type="duplicateValues" dxfId="2562" priority="2798"/>
    <cfRule type="duplicateValues" dxfId="2561" priority="2797"/>
    <cfRule type="duplicateValues" dxfId="2560" priority="2796"/>
    <cfRule type="duplicateValues" dxfId="2559" priority="2795"/>
    <cfRule type="duplicateValues" dxfId="2558" priority="2794"/>
    <cfRule type="duplicateValues" dxfId="2557" priority="2793"/>
    <cfRule type="duplicateValues" dxfId="2556" priority="2792"/>
    <cfRule type="duplicateValues" dxfId="2555" priority="2791"/>
    <cfRule type="duplicateValues" dxfId="2554" priority="2790"/>
    <cfRule type="duplicateValues" dxfId="2553" priority="2789"/>
    <cfRule type="duplicateValues" dxfId="2552" priority="2788"/>
    <cfRule type="duplicateValues" dxfId="2551" priority="2787"/>
    <cfRule type="duplicateValues" dxfId="2550" priority="2766"/>
    <cfRule type="duplicateValues" dxfId="2549" priority="2786"/>
    <cfRule type="duplicateValues" dxfId="2548" priority="2785"/>
    <cfRule type="duplicateValues" dxfId="2547" priority="2784"/>
    <cfRule type="duplicateValues" dxfId="2546" priority="2783"/>
    <cfRule type="duplicateValues" dxfId="2545" priority="2782"/>
    <cfRule type="duplicateValues" dxfId="2544" priority="2781"/>
    <cfRule type="duplicateValues" dxfId="2543" priority="2780"/>
    <cfRule type="duplicateValues" dxfId="2542" priority="2779"/>
    <cfRule type="duplicateValues" dxfId="2541" priority="2778"/>
    <cfRule type="duplicateValues" dxfId="2540" priority="2777"/>
    <cfRule type="duplicateValues" dxfId="2539" priority="2776"/>
    <cfRule type="duplicateValues" dxfId="2538" priority="2775"/>
    <cfRule type="duplicateValues" dxfId="2537" priority="2774"/>
    <cfRule type="duplicateValues" dxfId="2536" priority="2773"/>
    <cfRule type="duplicateValues" dxfId="2535" priority="2772"/>
    <cfRule type="duplicateValues" dxfId="2534" priority="2771"/>
    <cfRule type="duplicateValues" dxfId="2533" priority="2770"/>
    <cfRule type="duplicateValues" dxfId="2532" priority="2769"/>
    <cfRule type="duplicateValues" dxfId="2531" priority="2768"/>
    <cfRule type="duplicateValues" dxfId="2530" priority="2767"/>
    <cfRule type="duplicateValues" dxfId="2529" priority="2691"/>
    <cfRule type="duplicateValues" dxfId="2528" priority="2692"/>
    <cfRule type="duplicateValues" dxfId="2527" priority="2693"/>
    <cfRule type="duplicateValues" dxfId="2526" priority="2694"/>
    <cfRule type="duplicateValues" dxfId="2525" priority="2695"/>
    <cfRule type="duplicateValues" dxfId="2524" priority="2696"/>
    <cfRule type="duplicateValues" dxfId="2523" priority="2697"/>
    <cfRule type="duplicateValues" dxfId="2522" priority="2698"/>
    <cfRule type="duplicateValues" dxfId="2521" priority="2699"/>
    <cfRule type="duplicateValues" dxfId="2520" priority="2700"/>
    <cfRule type="duplicateValues" dxfId="2519" priority="2701"/>
    <cfRule type="duplicateValues" dxfId="2518" priority="2702"/>
    <cfRule type="duplicateValues" dxfId="2517" priority="2703"/>
    <cfRule type="duplicateValues" dxfId="2516" priority="2704"/>
    <cfRule type="duplicateValues" dxfId="2515" priority="2705"/>
    <cfRule type="duplicateValues" dxfId="2514" priority="2706"/>
    <cfRule type="duplicateValues" dxfId="2513" priority="2707"/>
    <cfRule type="duplicateValues" dxfId="2512" priority="2708"/>
    <cfRule type="duplicateValues" dxfId="2511" priority="2709"/>
    <cfRule type="duplicateValues" dxfId="2510" priority="2710"/>
    <cfRule type="duplicateValues" dxfId="2509" priority="2711"/>
    <cfRule type="duplicateValues" dxfId="2508" priority="2712"/>
    <cfRule type="duplicateValues" dxfId="2507" priority="2713"/>
    <cfRule type="duplicateValues" dxfId="2506" priority="2714"/>
    <cfRule type="duplicateValues" dxfId="2505" priority="2715"/>
    <cfRule type="duplicateValues" dxfId="2504" priority="2716"/>
    <cfRule type="duplicateValues" dxfId="2503" priority="2717"/>
    <cfRule type="duplicateValues" dxfId="2502" priority="2718"/>
    <cfRule type="duplicateValues" dxfId="2501" priority="2719"/>
    <cfRule type="duplicateValues" dxfId="2500" priority="2720"/>
    <cfRule type="duplicateValues" dxfId="2499" priority="2721"/>
    <cfRule type="duplicateValues" dxfId="2498" priority="2722"/>
    <cfRule type="duplicateValues" dxfId="2497" priority="2723"/>
    <cfRule type="duplicateValues" dxfId="2496" priority="2724"/>
    <cfRule type="duplicateValues" dxfId="2495" priority="2725"/>
    <cfRule type="duplicateValues" dxfId="2494" priority="2726"/>
    <cfRule type="duplicateValues" dxfId="2493" priority="2727"/>
    <cfRule type="duplicateValues" dxfId="2492" priority="2734"/>
    <cfRule type="duplicateValues" dxfId="2491" priority="2728"/>
    <cfRule type="duplicateValues" dxfId="2490" priority="2729"/>
    <cfRule type="duplicateValues" dxfId="2489" priority="2730"/>
    <cfRule type="duplicateValues" dxfId="2488" priority="2731"/>
    <cfRule type="duplicateValues" dxfId="2487" priority="2732"/>
    <cfRule type="duplicateValues" dxfId="2486" priority="2733"/>
    <cfRule type="duplicateValues" dxfId="2485" priority="2735"/>
    <cfRule type="duplicateValues" dxfId="2484" priority="2736"/>
    <cfRule type="duplicateValues" dxfId="2483" priority="2737"/>
    <cfRule type="duplicateValues" dxfId="2482" priority="2738"/>
    <cfRule type="duplicateValues" dxfId="2481" priority="2739"/>
    <cfRule type="duplicateValues" dxfId="2480" priority="2740"/>
    <cfRule type="duplicateValues" dxfId="2479" priority="2741"/>
    <cfRule type="duplicateValues" dxfId="2478" priority="2742"/>
    <cfRule type="duplicateValues" dxfId="2477" priority="2743"/>
    <cfRule type="duplicateValues" dxfId="2476" priority="2744"/>
    <cfRule type="duplicateValues" dxfId="2475" priority="2745"/>
    <cfRule type="duplicateValues" dxfId="2474" priority="2746"/>
    <cfRule type="duplicateValues" dxfId="2473" priority="2747"/>
    <cfRule type="duplicateValues" dxfId="2472" priority="2748"/>
    <cfRule type="duplicateValues" dxfId="2471" priority="2749"/>
    <cfRule type="duplicateValues" dxfId="2470" priority="2750"/>
    <cfRule type="duplicateValues" dxfId="2469" priority="2751"/>
    <cfRule type="duplicateValues" dxfId="2468" priority="2752"/>
    <cfRule type="duplicateValues" dxfId="2467" priority="2753"/>
    <cfRule type="duplicateValues" dxfId="2466" priority="2754"/>
    <cfRule type="duplicateValues" dxfId="2465" priority="2755"/>
    <cfRule type="duplicateValues" dxfId="2464" priority="2756"/>
    <cfRule type="duplicateValues" dxfId="2463" priority="2757"/>
    <cfRule type="duplicateValues" dxfId="2462" priority="2758"/>
    <cfRule type="duplicateValues" dxfId="2461" priority="2759"/>
    <cfRule type="duplicateValues" dxfId="2460" priority="2760"/>
    <cfRule type="duplicateValues" dxfId="2459" priority="2761"/>
    <cfRule type="duplicateValues" dxfId="2458" priority="2762"/>
    <cfRule type="duplicateValues" dxfId="2457" priority="2763"/>
    <cfRule type="duplicateValues" dxfId="2456" priority="2764"/>
    <cfRule type="duplicateValues" dxfId="2455" priority="2830"/>
    <cfRule type="duplicateValues" dxfId="2454" priority="2932"/>
    <cfRule type="duplicateValues" dxfId="2453" priority="2931"/>
    <cfRule type="duplicateValues" dxfId="2452" priority="2930"/>
    <cfRule type="duplicateValues" dxfId="2451" priority="2929"/>
    <cfRule type="duplicateValues" dxfId="2450" priority="2928"/>
    <cfRule type="duplicateValues" dxfId="2449" priority="2927"/>
    <cfRule type="duplicateValues" dxfId="2448" priority="2926"/>
    <cfRule type="duplicateValues" dxfId="2447" priority="2925"/>
    <cfRule type="duplicateValues" dxfId="2446" priority="2924"/>
    <cfRule type="duplicateValues" dxfId="2445" priority="2923"/>
    <cfRule type="duplicateValues" dxfId="2444" priority="2922"/>
    <cfRule type="duplicateValues" dxfId="2443" priority="2921"/>
    <cfRule type="duplicateValues" dxfId="2442" priority="2920"/>
    <cfRule type="duplicateValues" dxfId="2441" priority="2919"/>
    <cfRule type="duplicateValues" dxfId="2440" priority="2918"/>
    <cfRule type="duplicateValues" dxfId="2439" priority="2917"/>
    <cfRule type="duplicateValues" dxfId="2438" priority="2916"/>
    <cfRule type="duplicateValues" dxfId="2437" priority="2915"/>
    <cfRule type="duplicateValues" dxfId="2436" priority="2914"/>
    <cfRule type="duplicateValues" dxfId="2435" priority="2913"/>
    <cfRule type="duplicateValues" dxfId="2434" priority="2912"/>
    <cfRule type="duplicateValues" dxfId="2433" priority="2911"/>
    <cfRule type="duplicateValues" dxfId="2432" priority="2910"/>
    <cfRule type="duplicateValues" dxfId="2431" priority="2909"/>
    <cfRule type="duplicateValues" dxfId="2430" priority="2908"/>
    <cfRule type="duplicateValues" dxfId="2429" priority="2907"/>
    <cfRule type="duplicateValues" dxfId="2428" priority="2906"/>
    <cfRule type="duplicateValues" dxfId="2427" priority="2905"/>
    <cfRule type="duplicateValues" dxfId="2426" priority="2904"/>
    <cfRule type="duplicateValues" dxfId="2425" priority="2903"/>
    <cfRule type="duplicateValues" dxfId="2424" priority="2902"/>
    <cfRule type="duplicateValues" dxfId="2423" priority="2901"/>
    <cfRule type="duplicateValues" dxfId="2422" priority="2900"/>
    <cfRule type="duplicateValues" dxfId="2421" priority="2899"/>
    <cfRule type="duplicateValues" dxfId="2420" priority="2898"/>
    <cfRule type="duplicateValues" dxfId="2419" priority="2897"/>
    <cfRule type="duplicateValues" dxfId="2418" priority="2896"/>
    <cfRule type="duplicateValues" dxfId="2417" priority="2895"/>
    <cfRule type="duplicateValues" dxfId="2416" priority="2894"/>
    <cfRule type="duplicateValues" dxfId="2415" priority="2893"/>
    <cfRule type="duplicateValues" dxfId="2414" priority="2892"/>
    <cfRule type="duplicateValues" dxfId="2413" priority="2891"/>
    <cfRule type="duplicateValues" dxfId="2412" priority="2890"/>
    <cfRule type="duplicateValues" dxfId="2411" priority="2889"/>
    <cfRule type="duplicateValues" dxfId="2410" priority="2888"/>
    <cfRule type="duplicateValues" dxfId="2409" priority="2887"/>
    <cfRule type="duplicateValues" dxfId="2408" priority="2886"/>
    <cfRule type="duplicateValues" dxfId="2407" priority="2885"/>
    <cfRule type="duplicateValues" dxfId="2406" priority="2884"/>
    <cfRule type="duplicateValues" dxfId="2405" priority="2883"/>
    <cfRule type="duplicateValues" dxfId="2404" priority="2882"/>
    <cfRule type="duplicateValues" dxfId="2403" priority="2881"/>
    <cfRule type="duplicateValues" dxfId="2402" priority="2880"/>
    <cfRule type="duplicateValues" dxfId="2401" priority="2879"/>
    <cfRule type="duplicateValues" dxfId="2400" priority="2878"/>
    <cfRule type="duplicateValues" dxfId="2399" priority="2877"/>
    <cfRule type="duplicateValues" dxfId="2398" priority="2876"/>
    <cfRule type="duplicateValues" dxfId="2397" priority="2875"/>
    <cfRule type="duplicateValues" dxfId="2396" priority="2874"/>
  </conditionalFormatting>
  <conditionalFormatting sqref="B146">
    <cfRule type="duplicateValues" dxfId="2395" priority="2556"/>
    <cfRule type="duplicateValues" dxfId="2394" priority="2555"/>
    <cfRule type="duplicateValues" dxfId="2393" priority="2554"/>
    <cfRule type="duplicateValues" dxfId="2392" priority="2553"/>
    <cfRule type="duplicateValues" dxfId="2391" priority="2552"/>
    <cfRule type="duplicateValues" dxfId="2390" priority="2551"/>
    <cfRule type="duplicateValues" dxfId="2389" priority="2550"/>
    <cfRule type="duplicateValues" dxfId="2388" priority="2549"/>
    <cfRule type="duplicateValues" dxfId="2387" priority="2548"/>
    <cfRule type="duplicateValues" dxfId="2386" priority="2547"/>
    <cfRule type="duplicateValues" dxfId="2385" priority="2546"/>
    <cfRule type="duplicateValues" dxfId="2384" priority="2545"/>
    <cfRule type="duplicateValues" dxfId="2383" priority="2544"/>
    <cfRule type="duplicateValues" dxfId="2382" priority="2543"/>
    <cfRule type="duplicateValues" dxfId="2381" priority="2542"/>
    <cfRule type="duplicateValues" dxfId="2380" priority="2541"/>
    <cfRule type="duplicateValues" dxfId="2379" priority="2540"/>
    <cfRule type="duplicateValues" dxfId="2378" priority="2539"/>
    <cfRule type="duplicateValues" dxfId="2377" priority="2538"/>
    <cfRule type="duplicateValues" dxfId="2376" priority="2537"/>
    <cfRule type="duplicateValues" dxfId="2375" priority="2536"/>
    <cfRule type="duplicateValues" dxfId="2374" priority="2535"/>
    <cfRule type="duplicateValues" dxfId="2373" priority="2534"/>
    <cfRule type="duplicateValues" dxfId="2372" priority="2533"/>
    <cfRule type="duplicateValues" dxfId="2371" priority="2532"/>
    <cfRule type="duplicateValues" dxfId="2370" priority="2531"/>
    <cfRule type="duplicateValues" dxfId="2369" priority="2530"/>
    <cfRule type="duplicateValues" dxfId="2368" priority="2529"/>
    <cfRule type="duplicateValues" dxfId="2367" priority="2528"/>
    <cfRule type="duplicateValues" dxfId="2366" priority="2527"/>
    <cfRule type="duplicateValues" dxfId="2365" priority="2526"/>
    <cfRule type="duplicateValues" dxfId="2364" priority="2525"/>
    <cfRule type="duplicateValues" dxfId="2363" priority="2524"/>
    <cfRule type="duplicateValues" dxfId="2362" priority="2523"/>
    <cfRule type="duplicateValues" dxfId="2361" priority="2522"/>
    <cfRule type="duplicateValues" dxfId="2360" priority="2521"/>
    <cfRule type="duplicateValues" dxfId="2359" priority="2520"/>
    <cfRule type="duplicateValues" dxfId="2358" priority="2519"/>
    <cfRule type="duplicateValues" dxfId="2357" priority="2518"/>
    <cfRule type="duplicateValues" dxfId="2356" priority="2517"/>
    <cfRule type="duplicateValues" dxfId="2355" priority="2516"/>
    <cfRule type="duplicateValues" dxfId="2354" priority="2515"/>
    <cfRule type="duplicateValues" dxfId="2353" priority="2514"/>
    <cfRule type="duplicateValues" dxfId="2352" priority="2513"/>
    <cfRule type="duplicateValues" dxfId="2351" priority="2512"/>
    <cfRule type="duplicateValues" dxfId="2350" priority="2511"/>
    <cfRule type="duplicateValues" dxfId="2349" priority="2510"/>
    <cfRule type="duplicateValues" dxfId="2348" priority="2509"/>
    <cfRule type="duplicateValues" dxfId="2347" priority="2508"/>
    <cfRule type="duplicateValues" dxfId="2346" priority="2507"/>
    <cfRule type="duplicateValues" dxfId="2345" priority="2506"/>
    <cfRule type="duplicateValues" dxfId="2344" priority="2504"/>
    <cfRule type="duplicateValues" dxfId="2343" priority="2503"/>
    <cfRule type="duplicateValues" dxfId="2342" priority="2502"/>
    <cfRule type="duplicateValues" dxfId="2341" priority="2501"/>
    <cfRule type="duplicateValues" dxfId="2340" priority="2500"/>
    <cfRule type="duplicateValues" dxfId="2339" priority="2499"/>
    <cfRule type="duplicateValues" dxfId="2338" priority="2498"/>
    <cfRule type="duplicateValues" dxfId="2337" priority="2497"/>
    <cfRule type="duplicateValues" dxfId="2336" priority="2496"/>
    <cfRule type="duplicateValues" dxfId="2335" priority="2495"/>
    <cfRule type="duplicateValues" dxfId="2334" priority="2494"/>
    <cfRule type="duplicateValues" dxfId="2333" priority="2493"/>
    <cfRule type="duplicateValues" dxfId="2332" priority="2492"/>
    <cfRule type="duplicateValues" dxfId="2331" priority="2491"/>
    <cfRule type="duplicateValues" dxfId="2330" priority="2490"/>
    <cfRule type="duplicateValues" dxfId="2329" priority="2489"/>
    <cfRule type="duplicateValues" dxfId="2328" priority="2488"/>
    <cfRule type="duplicateValues" dxfId="2327" priority="2487"/>
    <cfRule type="duplicateValues" dxfId="2326" priority="2486"/>
    <cfRule type="duplicateValues" dxfId="2325" priority="2485"/>
    <cfRule type="duplicateValues" dxfId="2324" priority="2484"/>
    <cfRule type="duplicateValues" dxfId="2323" priority="2483"/>
    <cfRule type="duplicateValues" dxfId="2322" priority="2482"/>
    <cfRule type="duplicateValues" dxfId="2321" priority="2481"/>
    <cfRule type="duplicateValues" dxfId="2320" priority="2480"/>
    <cfRule type="duplicateValues" dxfId="2319" priority="2479"/>
    <cfRule type="duplicateValues" dxfId="2318" priority="2478"/>
    <cfRule type="duplicateValues" dxfId="2317" priority="2477"/>
    <cfRule type="duplicateValues" dxfId="2316" priority="2476"/>
    <cfRule type="duplicateValues" dxfId="2315" priority="2475"/>
    <cfRule type="duplicateValues" dxfId="2314" priority="2474"/>
    <cfRule type="duplicateValues" dxfId="2313" priority="2473"/>
    <cfRule type="duplicateValues" dxfId="2312" priority="2472"/>
    <cfRule type="duplicateValues" dxfId="2311" priority="2471"/>
    <cfRule type="duplicateValues" dxfId="2310" priority="2470"/>
    <cfRule type="duplicateValues" dxfId="2309" priority="2469"/>
    <cfRule type="duplicateValues" dxfId="2308" priority="2468"/>
    <cfRule type="duplicateValues" dxfId="2307" priority="2467"/>
    <cfRule type="duplicateValues" dxfId="2306" priority="2466"/>
    <cfRule type="duplicateValues" dxfId="2305" priority="2465"/>
    <cfRule type="duplicateValues" dxfId="2304" priority="2464"/>
    <cfRule type="duplicateValues" dxfId="2303" priority="2463"/>
    <cfRule type="duplicateValues" dxfId="2302" priority="2462"/>
    <cfRule type="duplicateValues" dxfId="2301" priority="2461"/>
    <cfRule type="duplicateValues" dxfId="2300" priority="2460"/>
    <cfRule type="duplicateValues" dxfId="2299" priority="2459"/>
    <cfRule type="duplicateValues" dxfId="2298" priority="2458"/>
    <cfRule type="duplicateValues" dxfId="2297" priority="2457"/>
    <cfRule type="duplicateValues" dxfId="2296" priority="2456"/>
    <cfRule type="duplicateValues" dxfId="2295" priority="2455"/>
    <cfRule type="duplicateValues" dxfId="2294" priority="2454"/>
    <cfRule type="duplicateValues" dxfId="2293" priority="2453"/>
    <cfRule type="duplicateValues" dxfId="2292" priority="2452"/>
    <cfRule type="duplicateValues" dxfId="2291" priority="2451"/>
    <cfRule type="duplicateValues" dxfId="2290" priority="2450"/>
    <cfRule type="duplicateValues" dxfId="2289" priority="2449"/>
    <cfRule type="duplicateValues" dxfId="2288" priority="2505"/>
    <cfRule type="duplicateValues" dxfId="2287" priority="2690"/>
    <cfRule type="duplicateValues" dxfId="2286" priority="2689"/>
    <cfRule type="duplicateValues" dxfId="2285" priority="2688"/>
    <cfRule type="duplicateValues" dxfId="2284" priority="2687"/>
    <cfRule type="duplicateValues" dxfId="2283" priority="2686"/>
    <cfRule type="duplicateValues" dxfId="2282" priority="2685"/>
    <cfRule type="duplicateValues" dxfId="2281" priority="2684"/>
    <cfRule type="duplicateValues" dxfId="2280" priority="2683"/>
    <cfRule type="duplicateValues" dxfId="2279" priority="2682"/>
    <cfRule type="duplicateValues" dxfId="2278" priority="2681"/>
    <cfRule type="duplicateValues" dxfId="2277" priority="2680"/>
    <cfRule type="duplicateValues" dxfId="2276" priority="2679"/>
    <cfRule type="duplicateValues" dxfId="2275" priority="2678"/>
    <cfRule type="duplicateValues" dxfId="2274" priority="2677"/>
    <cfRule type="duplicateValues" dxfId="2273" priority="2676"/>
    <cfRule type="duplicateValues" dxfId="2272" priority="2675"/>
    <cfRule type="duplicateValues" dxfId="2271" priority="2674"/>
    <cfRule type="duplicateValues" dxfId="2270" priority="2673"/>
    <cfRule type="duplicateValues" dxfId="2269" priority="2672"/>
    <cfRule type="duplicateValues" dxfId="2268" priority="2671"/>
    <cfRule type="duplicateValues" dxfId="2267" priority="2670"/>
    <cfRule type="duplicateValues" dxfId="2266" priority="2669"/>
    <cfRule type="duplicateValues" dxfId="2265" priority="2668"/>
    <cfRule type="duplicateValues" dxfId="2264" priority="2667"/>
    <cfRule type="duplicateValues" dxfId="2263" priority="2666"/>
    <cfRule type="duplicateValues" dxfId="2262" priority="2665"/>
    <cfRule type="duplicateValues" dxfId="2261" priority="2664"/>
    <cfRule type="duplicateValues" dxfId="2260" priority="2663"/>
    <cfRule type="duplicateValues" dxfId="2259" priority="2662"/>
    <cfRule type="duplicateValues" dxfId="2258" priority="2661"/>
    <cfRule type="duplicateValues" dxfId="2257" priority="2660"/>
    <cfRule type="duplicateValues" dxfId="2256" priority="2659"/>
    <cfRule type="duplicateValues" dxfId="2255" priority="2658"/>
    <cfRule type="duplicateValues" dxfId="2254" priority="2657"/>
    <cfRule type="duplicateValues" dxfId="2253" priority="2656"/>
    <cfRule type="duplicateValues" dxfId="2252" priority="2655"/>
    <cfRule type="duplicateValues" dxfId="2251" priority="2654"/>
    <cfRule type="duplicateValues" dxfId="2250" priority="2653"/>
    <cfRule type="duplicateValues" dxfId="2249" priority="2652"/>
    <cfRule type="duplicateValues" dxfId="2248" priority="2651"/>
    <cfRule type="duplicateValues" dxfId="2247" priority="2650"/>
    <cfRule type="duplicateValues" dxfId="2246" priority="2649"/>
    <cfRule type="duplicateValues" dxfId="2245" priority="2648"/>
    <cfRule type="duplicateValues" dxfId="2244" priority="2647"/>
    <cfRule type="duplicateValues" dxfId="2243" priority="2646"/>
    <cfRule type="duplicateValues" dxfId="2242" priority="2645"/>
    <cfRule type="duplicateValues" dxfId="2241" priority="2644"/>
    <cfRule type="duplicateValues" dxfId="2240" priority="2643"/>
    <cfRule type="duplicateValues" dxfId="2239" priority="2642"/>
    <cfRule type="duplicateValues" dxfId="2238" priority="2641"/>
    <cfRule type="duplicateValues" dxfId="2237" priority="2640"/>
    <cfRule type="duplicateValues" dxfId="2236" priority="2639"/>
    <cfRule type="duplicateValues" dxfId="2235" priority="2638"/>
    <cfRule type="duplicateValues" dxfId="2234" priority="2637"/>
    <cfRule type="duplicateValues" dxfId="2233" priority="2636"/>
    <cfRule type="duplicateValues" dxfId="2232" priority="2635"/>
    <cfRule type="duplicateValues" dxfId="2231" priority="2634"/>
    <cfRule type="duplicateValues" dxfId="2230" priority="2633"/>
    <cfRule type="duplicateValues" dxfId="2229" priority="2632"/>
    <cfRule type="duplicateValues" dxfId="2228" priority="2631"/>
    <cfRule type="duplicateValues" dxfId="2227" priority="2630"/>
    <cfRule type="duplicateValues" dxfId="2226" priority="2629"/>
    <cfRule type="duplicateValues" dxfId="2225" priority="2628"/>
    <cfRule type="duplicateValues" dxfId="2224" priority="2627"/>
    <cfRule type="duplicateValues" dxfId="2223" priority="2626"/>
    <cfRule type="duplicateValues" dxfId="2222" priority="2625"/>
    <cfRule type="duplicateValues" dxfId="2221" priority="2624"/>
    <cfRule type="duplicateValues" dxfId="2220" priority="2623"/>
    <cfRule type="duplicateValues" dxfId="2219" priority="2622"/>
    <cfRule type="duplicateValues" dxfId="2218" priority="2621"/>
    <cfRule type="duplicateValues" dxfId="2217" priority="2620"/>
    <cfRule type="duplicateValues" dxfId="2216" priority="2619"/>
    <cfRule type="duplicateValues" dxfId="2215" priority="2618"/>
    <cfRule type="duplicateValues" dxfId="2214" priority="2617"/>
    <cfRule type="duplicateValues" dxfId="2213" priority="2616"/>
    <cfRule type="duplicateValues" dxfId="2212" priority="2615"/>
    <cfRule type="duplicateValues" dxfId="2211" priority="2614"/>
    <cfRule type="duplicateValues" dxfId="2210" priority="2613"/>
    <cfRule type="duplicateValues" dxfId="2209" priority="2612"/>
    <cfRule type="duplicateValues" dxfId="2208" priority="2611"/>
    <cfRule type="duplicateValues" dxfId="2207" priority="2610"/>
    <cfRule type="duplicateValues" dxfId="2206" priority="2609"/>
    <cfRule type="duplicateValues" dxfId="2205" priority="2608"/>
    <cfRule type="duplicateValues" dxfId="2204" priority="2607"/>
    <cfRule type="duplicateValues" dxfId="2203" priority="2606"/>
    <cfRule type="duplicateValues" dxfId="2202" priority="2605"/>
    <cfRule type="duplicateValues" dxfId="2201" priority="2604"/>
    <cfRule type="duplicateValues" dxfId="2200" priority="2603"/>
    <cfRule type="duplicateValues" dxfId="2199" priority="2602"/>
    <cfRule type="duplicateValues" dxfId="2198" priority="2601"/>
    <cfRule type="duplicateValues" dxfId="2197" priority="2600"/>
    <cfRule type="duplicateValues" dxfId="2196" priority="2599"/>
    <cfRule type="duplicateValues" dxfId="2195" priority="2598"/>
    <cfRule type="duplicateValues" dxfId="2194" priority="2597"/>
    <cfRule type="duplicateValues" dxfId="2193" priority="2596"/>
    <cfRule type="duplicateValues" dxfId="2192" priority="2595"/>
    <cfRule type="duplicateValues" dxfId="2191" priority="2594"/>
    <cfRule type="duplicateValues" dxfId="2190" priority="2593"/>
    <cfRule type="duplicateValues" dxfId="2189" priority="2592"/>
    <cfRule type="duplicateValues" dxfId="2188" priority="2591"/>
    <cfRule type="duplicateValues" dxfId="2187" priority="2590"/>
    <cfRule type="duplicateValues" dxfId="2186" priority="2589"/>
    <cfRule type="duplicateValues" dxfId="2185" priority="2588"/>
    <cfRule type="duplicateValues" dxfId="2184" priority="2587"/>
    <cfRule type="duplicateValues" dxfId="2183" priority="2586"/>
    <cfRule type="duplicateValues" dxfId="2182" priority="2585"/>
    <cfRule type="duplicateValues" dxfId="2181" priority="2584"/>
    <cfRule type="duplicateValues" dxfId="2180" priority="2583"/>
    <cfRule type="duplicateValues" dxfId="2179" priority="2582"/>
    <cfRule type="duplicateValues" dxfId="2178" priority="2581"/>
    <cfRule type="duplicateValues" dxfId="2177" priority="2580"/>
    <cfRule type="duplicateValues" dxfId="2176" priority="2579"/>
    <cfRule type="duplicateValues" dxfId="2175" priority="2578"/>
    <cfRule type="duplicateValues" dxfId="2174" priority="2577"/>
    <cfRule type="duplicateValues" dxfId="2173" priority="2576"/>
    <cfRule type="duplicateValues" dxfId="2172" priority="2575"/>
    <cfRule type="duplicateValues" dxfId="2171" priority="2574"/>
    <cfRule type="duplicateValues" dxfId="2170" priority="2573"/>
    <cfRule type="duplicateValues" dxfId="2169" priority="2572"/>
    <cfRule type="duplicateValues" dxfId="2168" priority="2571"/>
    <cfRule type="duplicateValues" dxfId="2167" priority="2570"/>
    <cfRule type="duplicateValues" dxfId="2166" priority="2569"/>
    <cfRule type="duplicateValues" dxfId="2165" priority="2568"/>
    <cfRule type="duplicateValues" dxfId="2164" priority="2567"/>
    <cfRule type="duplicateValues" dxfId="2163" priority="2566"/>
    <cfRule type="duplicateValues" dxfId="2162" priority="2565"/>
    <cfRule type="duplicateValues" dxfId="2161" priority="2564"/>
    <cfRule type="duplicateValues" dxfId="2160" priority="2563"/>
    <cfRule type="duplicateValues" dxfId="2159" priority="2562"/>
    <cfRule type="duplicateValues" dxfId="2158" priority="2561"/>
    <cfRule type="duplicateValues" dxfId="2157" priority="2560"/>
    <cfRule type="duplicateValues" dxfId="2156" priority="2559"/>
    <cfRule type="duplicateValues" dxfId="2155" priority="2558"/>
    <cfRule type="duplicateValues" dxfId="2154" priority="2557"/>
  </conditionalFormatting>
  <conditionalFormatting sqref="B147 B102:B114 B89:B90 B1 B163:B189">
    <cfRule type="duplicateValues" dxfId="2153" priority="5790"/>
    <cfRule type="duplicateValues" dxfId="2152" priority="5789"/>
    <cfRule type="duplicateValues" dxfId="2151" priority="5788"/>
    <cfRule type="duplicateValues" dxfId="2150" priority="5787"/>
    <cfRule type="duplicateValues" dxfId="2149" priority="5786"/>
    <cfRule type="duplicateValues" dxfId="2148" priority="5791"/>
  </conditionalFormatting>
  <conditionalFormatting sqref="B147 B102:B114 B89:B90 B20:B38 B1:B5 B163:B189">
    <cfRule type="duplicateValues" dxfId="2147" priority="5785"/>
    <cfRule type="duplicateValues" dxfId="2146" priority="5784"/>
    <cfRule type="duplicateValues" dxfId="2145" priority="5783"/>
  </conditionalFormatting>
  <conditionalFormatting sqref="B147 B102:B114 B89:B90 B163:B189">
    <cfRule type="duplicateValues" dxfId="2144" priority="4825"/>
    <cfRule type="duplicateValues" dxfId="2143" priority="4826"/>
    <cfRule type="duplicateValues" dxfId="2142" priority="4827"/>
  </conditionalFormatting>
  <conditionalFormatting sqref="B147">
    <cfRule type="duplicateValues" dxfId="2141" priority="2416"/>
    <cfRule type="duplicateValues" dxfId="2140" priority="2415"/>
    <cfRule type="duplicateValues" dxfId="2139" priority="2414"/>
    <cfRule type="duplicateValues" dxfId="2138" priority="2413"/>
    <cfRule type="duplicateValues" dxfId="2137" priority="2412"/>
    <cfRule type="duplicateValues" dxfId="2136" priority="2411"/>
    <cfRule type="duplicateValues" dxfId="2135" priority="2410"/>
    <cfRule type="duplicateValues" dxfId="2134" priority="2409"/>
    <cfRule type="duplicateValues" dxfId="2133" priority="2408"/>
    <cfRule type="duplicateValues" dxfId="2132" priority="2407"/>
    <cfRule type="duplicateValues" dxfId="2131" priority="2406"/>
    <cfRule type="duplicateValues" dxfId="2130" priority="2405"/>
    <cfRule type="duplicateValues" dxfId="2129" priority="2404"/>
    <cfRule type="duplicateValues" dxfId="2128" priority="2403"/>
    <cfRule type="duplicateValues" dxfId="2127" priority="2402"/>
    <cfRule type="duplicateValues" dxfId="2126" priority="2401"/>
    <cfRule type="duplicateValues" dxfId="2125" priority="2400"/>
    <cfRule type="duplicateValues" dxfId="2124" priority="2399"/>
    <cfRule type="duplicateValues" dxfId="2123" priority="2398"/>
    <cfRule type="duplicateValues" dxfId="2122" priority="2397"/>
    <cfRule type="duplicateValues" dxfId="2121" priority="2396"/>
    <cfRule type="duplicateValues" dxfId="2120" priority="2395"/>
    <cfRule type="duplicateValues" dxfId="2119" priority="2394"/>
    <cfRule type="duplicateValues" dxfId="2118" priority="2393"/>
    <cfRule type="duplicateValues" dxfId="2117" priority="2392"/>
    <cfRule type="duplicateValues" dxfId="2116" priority="2391"/>
    <cfRule type="duplicateValues" dxfId="2115" priority="2390"/>
    <cfRule type="duplicateValues" dxfId="2114" priority="2389"/>
    <cfRule type="duplicateValues" dxfId="2113" priority="2388"/>
    <cfRule type="duplicateValues" dxfId="2112" priority="2387"/>
    <cfRule type="duplicateValues" dxfId="2111" priority="2386"/>
    <cfRule type="duplicateValues" dxfId="2110" priority="2385"/>
    <cfRule type="duplicateValues" dxfId="2109" priority="2384"/>
    <cfRule type="duplicateValues" dxfId="2108" priority="2383"/>
    <cfRule type="duplicateValues" dxfId="2107" priority="2382"/>
    <cfRule type="duplicateValues" dxfId="2106" priority="2381"/>
    <cfRule type="duplicateValues" dxfId="2105" priority="2380"/>
    <cfRule type="duplicateValues" dxfId="2104" priority="2379"/>
    <cfRule type="duplicateValues" dxfId="2103" priority="2378"/>
    <cfRule type="duplicateValues" dxfId="2102" priority="2377"/>
    <cfRule type="duplicateValues" dxfId="2101" priority="2376"/>
    <cfRule type="duplicateValues" dxfId="2100" priority="2375"/>
    <cfRule type="duplicateValues" dxfId="2099" priority="2374"/>
    <cfRule type="duplicateValues" dxfId="2098" priority="2373"/>
    <cfRule type="duplicateValues" dxfId="2097" priority="2372"/>
    <cfRule type="duplicateValues" dxfId="2096" priority="2371"/>
    <cfRule type="duplicateValues" dxfId="2095" priority="2370"/>
    <cfRule type="duplicateValues" dxfId="2094" priority="2369"/>
    <cfRule type="duplicateValues" dxfId="2093" priority="2368"/>
    <cfRule type="duplicateValues" dxfId="2092" priority="2367"/>
    <cfRule type="duplicateValues" dxfId="2091" priority="2366"/>
    <cfRule type="duplicateValues" dxfId="2090" priority="2365"/>
    <cfRule type="duplicateValues" dxfId="2089" priority="2432"/>
    <cfRule type="duplicateValues" dxfId="2088" priority="2431"/>
    <cfRule type="duplicateValues" dxfId="2087" priority="2430"/>
    <cfRule type="duplicateValues" dxfId="2086" priority="2429"/>
    <cfRule type="duplicateValues" dxfId="2085" priority="2428"/>
    <cfRule type="duplicateValues" dxfId="2084" priority="2427"/>
    <cfRule type="duplicateValues" dxfId="2083" priority="2426"/>
    <cfRule type="duplicateValues" dxfId="2082" priority="2425"/>
    <cfRule type="duplicateValues" dxfId="2081" priority="2424"/>
    <cfRule type="duplicateValues" dxfId="2080" priority="2423"/>
    <cfRule type="duplicateValues" dxfId="2079" priority="2422"/>
    <cfRule type="duplicateValues" dxfId="2078" priority="2421"/>
    <cfRule type="duplicateValues" dxfId="2077" priority="2420"/>
    <cfRule type="duplicateValues" dxfId="2076" priority="2419"/>
    <cfRule type="duplicateValues" dxfId="2075" priority="2418"/>
    <cfRule type="duplicateValues" dxfId="2074" priority="2417"/>
    <cfRule type="duplicateValues" dxfId="2073" priority="2444"/>
    <cfRule type="duplicateValues" dxfId="2072" priority="2445"/>
    <cfRule type="duplicateValues" dxfId="2071" priority="2443"/>
    <cfRule type="duplicateValues" dxfId="2070" priority="2442"/>
    <cfRule type="duplicateValues" dxfId="2069" priority="2441"/>
    <cfRule type="duplicateValues" dxfId="2068" priority="2440"/>
    <cfRule type="duplicateValues" dxfId="2067" priority="2439"/>
    <cfRule type="duplicateValues" dxfId="2066" priority="2438"/>
    <cfRule type="duplicateValues" dxfId="2065" priority="2437"/>
    <cfRule type="duplicateValues" dxfId="2064" priority="2436"/>
    <cfRule type="duplicateValues" dxfId="2063" priority="2435"/>
    <cfRule type="duplicateValues" dxfId="2062" priority="2434"/>
    <cfRule type="duplicateValues" dxfId="2061" priority="2433"/>
  </conditionalFormatting>
  <conditionalFormatting sqref="B148">
    <cfRule type="duplicateValues" dxfId="2060" priority="2364"/>
    <cfRule type="duplicateValues" dxfId="2059" priority="2363"/>
    <cfRule type="duplicateValues" dxfId="2058" priority="2362"/>
    <cfRule type="duplicateValues" dxfId="2057" priority="2361"/>
    <cfRule type="duplicateValues" dxfId="2056" priority="2360"/>
    <cfRule type="duplicateValues" dxfId="2055" priority="2359"/>
    <cfRule type="duplicateValues" dxfId="2054" priority="2358"/>
    <cfRule type="duplicateValues" dxfId="2053" priority="2357"/>
    <cfRule type="duplicateValues" dxfId="2052" priority="2356"/>
    <cfRule type="duplicateValues" dxfId="2051" priority="2355"/>
    <cfRule type="duplicateValues" dxfId="2050" priority="2354"/>
    <cfRule type="duplicateValues" dxfId="2049" priority="2353"/>
    <cfRule type="duplicateValues" dxfId="2048" priority="2352"/>
    <cfRule type="duplicateValues" dxfId="2047" priority="2351"/>
    <cfRule type="duplicateValues" dxfId="2046" priority="2350"/>
    <cfRule type="duplicateValues" dxfId="2045" priority="2349"/>
    <cfRule type="duplicateValues" dxfId="2044" priority="2348"/>
    <cfRule type="duplicateValues" dxfId="2043" priority="2347"/>
    <cfRule type="duplicateValues" dxfId="2042" priority="2346"/>
    <cfRule type="duplicateValues" dxfId="2041" priority="2345"/>
    <cfRule type="duplicateValues" dxfId="2040" priority="2344"/>
    <cfRule type="duplicateValues" dxfId="2039" priority="2343"/>
    <cfRule type="duplicateValues" dxfId="2038" priority="2342"/>
    <cfRule type="duplicateValues" dxfId="2037" priority="2341"/>
    <cfRule type="duplicateValues" dxfId="2036" priority="2340"/>
    <cfRule type="duplicateValues" dxfId="2035" priority="2339"/>
    <cfRule type="duplicateValues" dxfId="2034" priority="2338"/>
    <cfRule type="duplicateValues" dxfId="2033" priority="2337"/>
    <cfRule type="duplicateValues" dxfId="2032" priority="2336"/>
    <cfRule type="duplicateValues" dxfId="2031" priority="2335"/>
    <cfRule type="duplicateValues" dxfId="2030" priority="2334"/>
    <cfRule type="duplicateValues" dxfId="2029" priority="2333"/>
    <cfRule type="duplicateValues" dxfId="2028" priority="2332"/>
    <cfRule type="duplicateValues" dxfId="2027" priority="2331"/>
    <cfRule type="duplicateValues" dxfId="2026" priority="2329"/>
    <cfRule type="duplicateValues" dxfId="2025" priority="2328"/>
    <cfRule type="duplicateValues" dxfId="2024" priority="2327"/>
    <cfRule type="duplicateValues" dxfId="2023" priority="2326"/>
    <cfRule type="duplicateValues" dxfId="2022" priority="2325"/>
    <cfRule type="duplicateValues" dxfId="2021" priority="2324"/>
    <cfRule type="duplicateValues" dxfId="2020" priority="2323"/>
    <cfRule type="duplicateValues" dxfId="2019" priority="2322"/>
    <cfRule type="duplicateValues" dxfId="2018" priority="2321"/>
    <cfRule type="duplicateValues" dxfId="2017" priority="2278"/>
    <cfRule type="duplicateValues" dxfId="2016" priority="2279"/>
    <cfRule type="duplicateValues" dxfId="2015" priority="2280"/>
    <cfRule type="duplicateValues" dxfId="2014" priority="2281"/>
    <cfRule type="duplicateValues" dxfId="2013" priority="2282"/>
    <cfRule type="duplicateValues" dxfId="2012" priority="2283"/>
    <cfRule type="duplicateValues" dxfId="2011" priority="2284"/>
    <cfRule type="duplicateValues" dxfId="2010" priority="2285"/>
    <cfRule type="duplicateValues" dxfId="2009" priority="2287"/>
    <cfRule type="duplicateValues" dxfId="2008" priority="2288"/>
    <cfRule type="duplicateValues" dxfId="2007" priority="2289"/>
    <cfRule type="duplicateValues" dxfId="2006" priority="2290"/>
    <cfRule type="duplicateValues" dxfId="2005" priority="2291"/>
    <cfRule type="duplicateValues" dxfId="2004" priority="2292"/>
    <cfRule type="duplicateValues" dxfId="2003" priority="2293"/>
    <cfRule type="duplicateValues" dxfId="2002" priority="2294"/>
    <cfRule type="duplicateValues" dxfId="2001" priority="2295"/>
    <cfRule type="duplicateValues" dxfId="2000" priority="2296"/>
    <cfRule type="duplicateValues" dxfId="1999" priority="2297"/>
    <cfRule type="duplicateValues" dxfId="1998" priority="2298"/>
    <cfRule type="duplicateValues" dxfId="1997" priority="2299"/>
    <cfRule type="duplicateValues" dxfId="1996" priority="2300"/>
    <cfRule type="duplicateValues" dxfId="1995" priority="2301"/>
    <cfRule type="duplicateValues" dxfId="1994" priority="2302"/>
    <cfRule type="duplicateValues" dxfId="1993" priority="2303"/>
    <cfRule type="duplicateValues" dxfId="1992" priority="2252"/>
    <cfRule type="duplicateValues" dxfId="1991" priority="2305"/>
    <cfRule type="duplicateValues" dxfId="1990" priority="2306"/>
    <cfRule type="duplicateValues" dxfId="1989" priority="2307"/>
    <cfRule type="duplicateValues" dxfId="1988" priority="2308"/>
    <cfRule type="duplicateValues" dxfId="1987" priority="2309"/>
    <cfRule type="duplicateValues" dxfId="1986" priority="2310"/>
    <cfRule type="duplicateValues" dxfId="1985" priority="2311"/>
    <cfRule type="duplicateValues" dxfId="1984" priority="2312"/>
    <cfRule type="duplicateValues" dxfId="1983" priority="2313"/>
    <cfRule type="duplicateValues" dxfId="1982" priority="2314"/>
    <cfRule type="duplicateValues" dxfId="1981" priority="2315"/>
    <cfRule type="duplicateValues" dxfId="1980" priority="2316"/>
    <cfRule type="duplicateValues" dxfId="1979" priority="2286"/>
    <cfRule type="duplicateValues" dxfId="1978" priority="2330"/>
    <cfRule type="duplicateValues" dxfId="1977" priority="2317"/>
    <cfRule type="duplicateValues" dxfId="1976" priority="2244"/>
    <cfRule type="duplicateValues" dxfId="1975" priority="2245"/>
    <cfRule type="duplicateValues" dxfId="1974" priority="2246"/>
    <cfRule type="duplicateValues" dxfId="1973" priority="2247"/>
    <cfRule type="duplicateValues" dxfId="1972" priority="2248"/>
    <cfRule type="duplicateValues" dxfId="1971" priority="2249"/>
    <cfRule type="duplicateValues" dxfId="1970" priority="2318"/>
    <cfRule type="duplicateValues" dxfId="1969" priority="2319"/>
    <cfRule type="duplicateValues" dxfId="1968" priority="2320"/>
    <cfRule type="duplicateValues" dxfId="1967" priority="2253"/>
    <cfRule type="duplicateValues" dxfId="1966" priority="2250"/>
    <cfRule type="duplicateValues" dxfId="1965" priority="2254"/>
    <cfRule type="duplicateValues" dxfId="1964" priority="2255"/>
    <cfRule type="duplicateValues" dxfId="1963" priority="2256"/>
    <cfRule type="duplicateValues" dxfId="1962" priority="2257"/>
    <cfRule type="duplicateValues" dxfId="1961" priority="2258"/>
    <cfRule type="duplicateValues" dxfId="1960" priority="2259"/>
    <cfRule type="duplicateValues" dxfId="1959" priority="2260"/>
    <cfRule type="duplicateValues" dxfId="1958" priority="2261"/>
    <cfRule type="duplicateValues" dxfId="1957" priority="2262"/>
    <cfRule type="duplicateValues" dxfId="1956" priority="2263"/>
    <cfRule type="duplicateValues" dxfId="1955" priority="2264"/>
    <cfRule type="duplicateValues" dxfId="1954" priority="2265"/>
    <cfRule type="duplicateValues" dxfId="1953" priority="2266"/>
    <cfRule type="duplicateValues" dxfId="1952" priority="2267"/>
    <cfRule type="duplicateValues" dxfId="1951" priority="2268"/>
    <cfRule type="duplicateValues" dxfId="1950" priority="2251"/>
    <cfRule type="duplicateValues" dxfId="1949" priority="2269"/>
    <cfRule type="duplicateValues" dxfId="1948" priority="2270"/>
    <cfRule type="duplicateValues" dxfId="1947" priority="2271"/>
    <cfRule type="duplicateValues" dxfId="1946" priority="2272"/>
    <cfRule type="duplicateValues" dxfId="1945" priority="2273"/>
    <cfRule type="duplicateValues" dxfId="1944" priority="2274"/>
    <cfRule type="duplicateValues" dxfId="1943" priority="2275"/>
    <cfRule type="duplicateValues" dxfId="1942" priority="2276"/>
    <cfRule type="duplicateValues" dxfId="1941" priority="2277"/>
    <cfRule type="duplicateValues" dxfId="1940" priority="2304"/>
  </conditionalFormatting>
  <conditionalFormatting sqref="B148:B152">
    <cfRule type="duplicateValues" dxfId="1939" priority="2175"/>
    <cfRule type="duplicateValues" dxfId="1938" priority="2174"/>
    <cfRule type="duplicateValues" dxfId="1937" priority="2173"/>
    <cfRule type="duplicateValues" dxfId="1936" priority="2172"/>
    <cfRule type="duplicateValues" dxfId="1935" priority="2171"/>
    <cfRule type="duplicateValues" dxfId="1934" priority="2170"/>
    <cfRule type="duplicateValues" dxfId="1933" priority="2169"/>
    <cfRule type="duplicateValues" dxfId="1932" priority="2168"/>
    <cfRule type="duplicateValues" dxfId="1931" priority="2167"/>
    <cfRule type="duplicateValues" dxfId="1930" priority="2166"/>
    <cfRule type="duplicateValues" dxfId="1929" priority="2165"/>
    <cfRule type="duplicateValues" dxfId="1928" priority="2164"/>
    <cfRule type="duplicateValues" dxfId="1927" priority="2163"/>
    <cfRule type="duplicateValues" dxfId="1926" priority="2162"/>
    <cfRule type="duplicateValues" dxfId="1925" priority="2161"/>
    <cfRule type="duplicateValues" dxfId="1924" priority="2160"/>
    <cfRule type="duplicateValues" dxfId="1923" priority="2159"/>
    <cfRule type="duplicateValues" dxfId="1922" priority="2158"/>
    <cfRule type="duplicateValues" dxfId="1921" priority="2157"/>
    <cfRule type="duplicateValues" dxfId="1920" priority="2156"/>
    <cfRule type="duplicateValues" dxfId="1919" priority="2155"/>
    <cfRule type="duplicateValues" dxfId="1918" priority="2154"/>
    <cfRule type="duplicateValues" dxfId="1917" priority="2153"/>
    <cfRule type="duplicateValues" dxfId="1916" priority="2152"/>
    <cfRule type="duplicateValues" dxfId="1915" priority="2151"/>
    <cfRule type="duplicateValues" dxfId="1914" priority="2150"/>
    <cfRule type="duplicateValues" dxfId="1913" priority="2149"/>
    <cfRule type="duplicateValues" dxfId="1912" priority="2148"/>
    <cfRule type="duplicateValues" dxfId="1911" priority="2147"/>
    <cfRule type="duplicateValues" dxfId="1910" priority="2146"/>
    <cfRule type="duplicateValues" dxfId="1909" priority="2145"/>
    <cfRule type="duplicateValues" dxfId="1908" priority="2144"/>
    <cfRule type="duplicateValues" dxfId="1907" priority="2143"/>
    <cfRule type="duplicateValues" dxfId="1906" priority="2142"/>
    <cfRule type="duplicateValues" dxfId="1905" priority="2141"/>
    <cfRule type="duplicateValues" dxfId="1904" priority="2140"/>
    <cfRule type="duplicateValues" dxfId="1903" priority="2139"/>
    <cfRule type="duplicateValues" dxfId="1902" priority="2138"/>
    <cfRule type="duplicateValues" dxfId="1901" priority="2137"/>
    <cfRule type="duplicateValues" dxfId="1900" priority="2136"/>
    <cfRule type="duplicateValues" dxfId="1899" priority="2135"/>
    <cfRule type="duplicateValues" dxfId="1898" priority="2134"/>
    <cfRule type="duplicateValues" dxfId="1897" priority="2133"/>
    <cfRule type="duplicateValues" dxfId="1896" priority="2132"/>
    <cfRule type="duplicateValues" dxfId="1895" priority="2131"/>
    <cfRule type="duplicateValues" dxfId="1894" priority="2130"/>
    <cfRule type="duplicateValues" dxfId="1893" priority="2129"/>
    <cfRule type="duplicateValues" dxfId="1892" priority="2128"/>
    <cfRule type="duplicateValues" dxfId="1891" priority="2127"/>
    <cfRule type="duplicateValues" dxfId="1890" priority="2126"/>
    <cfRule type="duplicateValues" dxfId="1889" priority="2125"/>
    <cfRule type="duplicateValues" dxfId="1888" priority="2124"/>
    <cfRule type="duplicateValues" dxfId="1887" priority="2123"/>
    <cfRule type="duplicateValues" dxfId="1886" priority="2243"/>
    <cfRule type="duplicateValues" dxfId="1885" priority="2242"/>
    <cfRule type="duplicateValues" dxfId="1884" priority="2241"/>
    <cfRule type="duplicateValues" dxfId="1883" priority="2240"/>
    <cfRule type="duplicateValues" dxfId="1882" priority="2239"/>
    <cfRule type="duplicateValues" dxfId="1881" priority="2238"/>
    <cfRule type="duplicateValues" dxfId="1880" priority="2237"/>
    <cfRule type="duplicateValues" dxfId="1879" priority="2236"/>
    <cfRule type="duplicateValues" dxfId="1878" priority="2235"/>
    <cfRule type="duplicateValues" dxfId="1877" priority="2234"/>
    <cfRule type="duplicateValues" dxfId="1876" priority="2233"/>
    <cfRule type="duplicateValues" dxfId="1875" priority="2232"/>
    <cfRule type="duplicateValues" dxfId="1874" priority="2231"/>
    <cfRule type="duplicateValues" dxfId="1873" priority="2230"/>
    <cfRule type="duplicateValues" dxfId="1872" priority="2229"/>
    <cfRule type="duplicateValues" dxfId="1871" priority="2228"/>
    <cfRule type="duplicateValues" dxfId="1870" priority="2227"/>
    <cfRule type="duplicateValues" dxfId="1869" priority="2226"/>
    <cfRule type="duplicateValues" dxfId="1868" priority="2225"/>
    <cfRule type="duplicateValues" dxfId="1867" priority="2224"/>
    <cfRule type="duplicateValues" dxfId="1866" priority="2223"/>
    <cfRule type="duplicateValues" dxfId="1865" priority="2222"/>
    <cfRule type="duplicateValues" dxfId="1864" priority="2221"/>
    <cfRule type="duplicateValues" dxfId="1863" priority="2220"/>
    <cfRule type="duplicateValues" dxfId="1862" priority="2219"/>
    <cfRule type="duplicateValues" dxfId="1861" priority="2218"/>
    <cfRule type="duplicateValues" dxfId="1860" priority="2217"/>
    <cfRule type="duplicateValues" dxfId="1859" priority="2216"/>
    <cfRule type="duplicateValues" dxfId="1858" priority="2215"/>
    <cfRule type="duplicateValues" dxfId="1857" priority="2214"/>
    <cfRule type="duplicateValues" dxfId="1856" priority="2213"/>
    <cfRule type="duplicateValues" dxfId="1855" priority="2212"/>
    <cfRule type="duplicateValues" dxfId="1854" priority="2211"/>
    <cfRule type="duplicateValues" dxfId="1853" priority="2210"/>
    <cfRule type="duplicateValues" dxfId="1852" priority="2209"/>
    <cfRule type="duplicateValues" dxfId="1851" priority="2208"/>
    <cfRule type="duplicateValues" dxfId="1850" priority="2207"/>
    <cfRule type="duplicateValues" dxfId="1849" priority="2206"/>
    <cfRule type="duplicateValues" dxfId="1848" priority="2205"/>
    <cfRule type="duplicateValues" dxfId="1847" priority="2204"/>
    <cfRule type="duplicateValues" dxfId="1846" priority="2203"/>
    <cfRule type="duplicateValues" dxfId="1845" priority="2202"/>
    <cfRule type="duplicateValues" dxfId="1844" priority="2201"/>
    <cfRule type="duplicateValues" dxfId="1843" priority="2200"/>
    <cfRule type="duplicateValues" dxfId="1842" priority="2199"/>
    <cfRule type="duplicateValues" dxfId="1841" priority="2198"/>
    <cfRule type="duplicateValues" dxfId="1840" priority="2197"/>
    <cfRule type="duplicateValues" dxfId="1839" priority="2196"/>
    <cfRule type="duplicateValues" dxfId="1838" priority="2195"/>
    <cfRule type="duplicateValues" dxfId="1837" priority="2194"/>
    <cfRule type="duplicateValues" dxfId="1836" priority="2193"/>
    <cfRule type="duplicateValues" dxfId="1835" priority="2192"/>
    <cfRule type="duplicateValues" dxfId="1834" priority="2191"/>
    <cfRule type="duplicateValues" dxfId="1833" priority="2190"/>
    <cfRule type="duplicateValues" dxfId="1832" priority="2189"/>
    <cfRule type="duplicateValues" dxfId="1831" priority="2188"/>
    <cfRule type="duplicateValues" dxfId="1830" priority="2187"/>
    <cfRule type="duplicateValues" dxfId="1829" priority="2186"/>
    <cfRule type="duplicateValues" dxfId="1828" priority="2185"/>
    <cfRule type="duplicateValues" dxfId="1827" priority="2184"/>
    <cfRule type="duplicateValues" dxfId="1826" priority="2183"/>
    <cfRule type="duplicateValues" dxfId="1825" priority="2182"/>
    <cfRule type="duplicateValues" dxfId="1824" priority="2181"/>
    <cfRule type="duplicateValues" dxfId="1823" priority="2180"/>
    <cfRule type="duplicateValues" dxfId="1822" priority="2179"/>
    <cfRule type="duplicateValues" dxfId="1821" priority="2178"/>
    <cfRule type="duplicateValues" dxfId="1820" priority="2177"/>
    <cfRule type="duplicateValues" dxfId="1819" priority="2176"/>
  </conditionalFormatting>
  <conditionalFormatting sqref="B153:B154">
    <cfRule type="duplicateValues" dxfId="1818" priority="2026"/>
    <cfRule type="duplicateValues" dxfId="1817" priority="2055"/>
    <cfRule type="duplicateValues" dxfId="1816" priority="2054"/>
    <cfRule type="duplicateValues" dxfId="1815" priority="2053"/>
    <cfRule type="duplicateValues" dxfId="1814" priority="2052"/>
    <cfRule type="duplicateValues" dxfId="1813" priority="2051"/>
    <cfRule type="duplicateValues" dxfId="1812" priority="2050"/>
    <cfRule type="duplicateValues" dxfId="1811" priority="2049"/>
    <cfRule type="duplicateValues" dxfId="1810" priority="2048"/>
    <cfRule type="duplicateValues" dxfId="1809" priority="2047"/>
    <cfRule type="duplicateValues" dxfId="1808" priority="2046"/>
    <cfRule type="duplicateValues" dxfId="1807" priority="2045"/>
    <cfRule type="duplicateValues" dxfId="1806" priority="2044"/>
    <cfRule type="duplicateValues" dxfId="1805" priority="2043"/>
    <cfRule type="duplicateValues" dxfId="1804" priority="2042"/>
    <cfRule type="duplicateValues" dxfId="1803" priority="2041"/>
    <cfRule type="duplicateValues" dxfId="1802" priority="2040"/>
    <cfRule type="duplicateValues" dxfId="1801" priority="2039"/>
    <cfRule type="duplicateValues" dxfId="1800" priority="2038"/>
    <cfRule type="duplicateValues" dxfId="1799" priority="2037"/>
    <cfRule type="duplicateValues" dxfId="1798" priority="2036"/>
    <cfRule type="duplicateValues" dxfId="1797" priority="2035"/>
    <cfRule type="duplicateValues" dxfId="1796" priority="2034"/>
    <cfRule type="duplicateValues" dxfId="1795" priority="2033"/>
    <cfRule type="duplicateValues" dxfId="1794" priority="2032"/>
    <cfRule type="duplicateValues" dxfId="1793" priority="2031"/>
    <cfRule type="duplicateValues" dxfId="1792" priority="2030"/>
    <cfRule type="duplicateValues" dxfId="1791" priority="2029"/>
    <cfRule type="duplicateValues" dxfId="1790" priority="2028"/>
    <cfRule type="duplicateValues" dxfId="1789" priority="2027"/>
    <cfRule type="duplicateValues" dxfId="1788" priority="2001"/>
    <cfRule type="duplicateValues" dxfId="1787" priority="2025"/>
    <cfRule type="duplicateValues" dxfId="1786" priority="2024"/>
    <cfRule type="duplicateValues" dxfId="1785" priority="2023"/>
    <cfRule type="duplicateValues" dxfId="1784" priority="2022"/>
    <cfRule type="duplicateValues" dxfId="1783" priority="2021"/>
    <cfRule type="duplicateValues" dxfId="1782" priority="2020"/>
    <cfRule type="duplicateValues" dxfId="1781" priority="2019"/>
    <cfRule type="duplicateValues" dxfId="1780" priority="2018"/>
    <cfRule type="duplicateValues" dxfId="1779" priority="2017"/>
    <cfRule type="duplicateValues" dxfId="1778" priority="2016"/>
    <cfRule type="duplicateValues" dxfId="1777" priority="2015"/>
    <cfRule type="duplicateValues" dxfId="1776" priority="2014"/>
    <cfRule type="duplicateValues" dxfId="1775" priority="2013"/>
    <cfRule type="duplicateValues" dxfId="1774" priority="2012"/>
    <cfRule type="duplicateValues" dxfId="1773" priority="2011"/>
    <cfRule type="duplicateValues" dxfId="1772" priority="2010"/>
    <cfRule type="duplicateValues" dxfId="1771" priority="2009"/>
    <cfRule type="duplicateValues" dxfId="1770" priority="2008"/>
    <cfRule type="duplicateValues" dxfId="1769" priority="2007"/>
    <cfRule type="duplicateValues" dxfId="1768" priority="2056"/>
    <cfRule type="duplicateValues" dxfId="1767" priority="2086"/>
    <cfRule type="duplicateValues" dxfId="1766" priority="2109"/>
    <cfRule type="duplicateValues" dxfId="1765" priority="2108"/>
    <cfRule type="duplicateValues" dxfId="1764" priority="2107"/>
    <cfRule type="duplicateValues" dxfId="1763" priority="2006"/>
    <cfRule type="duplicateValues" dxfId="1762" priority="2005"/>
    <cfRule type="duplicateValues" dxfId="1761" priority="2004"/>
    <cfRule type="duplicateValues" dxfId="1760" priority="2003"/>
    <cfRule type="duplicateValues" dxfId="1759" priority="2002"/>
    <cfRule type="duplicateValues" dxfId="1758" priority="2106"/>
    <cfRule type="duplicateValues" dxfId="1757" priority="2000"/>
    <cfRule type="duplicateValues" dxfId="1756" priority="1999"/>
    <cfRule type="duplicateValues" dxfId="1755" priority="1998"/>
    <cfRule type="duplicateValues" dxfId="1754" priority="1997"/>
    <cfRule type="duplicateValues" dxfId="1753" priority="1996"/>
    <cfRule type="duplicateValues" dxfId="1752" priority="1995"/>
    <cfRule type="duplicateValues" dxfId="1751" priority="1994"/>
    <cfRule type="duplicateValues" dxfId="1750" priority="1993"/>
    <cfRule type="duplicateValues" dxfId="1749" priority="1992"/>
    <cfRule type="duplicateValues" dxfId="1748" priority="1991"/>
    <cfRule type="duplicateValues" dxfId="1747" priority="1990"/>
    <cfRule type="duplicateValues" dxfId="1746" priority="1989"/>
    <cfRule type="duplicateValues" dxfId="1745" priority="2105"/>
    <cfRule type="duplicateValues" dxfId="1744" priority="2104"/>
    <cfRule type="duplicateValues" dxfId="1743" priority="2103"/>
    <cfRule type="duplicateValues" dxfId="1742" priority="2102"/>
    <cfRule type="duplicateValues" dxfId="1741" priority="2101"/>
    <cfRule type="duplicateValues" dxfId="1740" priority="2100"/>
    <cfRule type="duplicateValues" dxfId="1739" priority="2099"/>
    <cfRule type="duplicateValues" dxfId="1738" priority="2098"/>
    <cfRule type="duplicateValues" dxfId="1737" priority="2097"/>
    <cfRule type="duplicateValues" dxfId="1736" priority="2096"/>
    <cfRule type="duplicateValues" dxfId="1735" priority="2095"/>
    <cfRule type="duplicateValues" dxfId="1734" priority="2094"/>
    <cfRule type="duplicateValues" dxfId="1733" priority="2093"/>
    <cfRule type="duplicateValues" dxfId="1732" priority="2092"/>
    <cfRule type="duplicateValues" dxfId="1731" priority="2091"/>
    <cfRule type="duplicateValues" dxfId="1730" priority="2090"/>
    <cfRule type="duplicateValues" dxfId="1729" priority="2089"/>
    <cfRule type="duplicateValues" dxfId="1728" priority="2088"/>
    <cfRule type="duplicateValues" dxfId="1727" priority="2087"/>
    <cfRule type="duplicateValues" dxfId="1726" priority="2085"/>
    <cfRule type="duplicateValues" dxfId="1725" priority="2084"/>
    <cfRule type="duplicateValues" dxfId="1724" priority="2083"/>
    <cfRule type="duplicateValues" dxfId="1723" priority="2082"/>
    <cfRule type="duplicateValues" dxfId="1722" priority="2081"/>
    <cfRule type="duplicateValues" dxfId="1721" priority="2080"/>
    <cfRule type="duplicateValues" dxfId="1720" priority="2079"/>
    <cfRule type="duplicateValues" dxfId="1719" priority="2078"/>
    <cfRule type="duplicateValues" dxfId="1718" priority="2077"/>
    <cfRule type="duplicateValues" dxfId="1717" priority="2076"/>
    <cfRule type="duplicateValues" dxfId="1716" priority="2075"/>
    <cfRule type="duplicateValues" dxfId="1715" priority="2074"/>
    <cfRule type="duplicateValues" dxfId="1714" priority="2073"/>
    <cfRule type="duplicateValues" dxfId="1713" priority="2072"/>
    <cfRule type="duplicateValues" dxfId="1712" priority="2071"/>
    <cfRule type="duplicateValues" dxfId="1711" priority="2070"/>
    <cfRule type="duplicateValues" dxfId="1710" priority="2069"/>
    <cfRule type="duplicateValues" dxfId="1709" priority="2068"/>
    <cfRule type="duplicateValues" dxfId="1708" priority="2067"/>
    <cfRule type="duplicateValues" dxfId="1707" priority="2066"/>
    <cfRule type="duplicateValues" dxfId="1706" priority="2065"/>
    <cfRule type="duplicateValues" dxfId="1705" priority="2064"/>
    <cfRule type="duplicateValues" dxfId="1704" priority="2063"/>
    <cfRule type="duplicateValues" dxfId="1703" priority="2062"/>
    <cfRule type="duplicateValues" dxfId="1702" priority="2061"/>
    <cfRule type="duplicateValues" dxfId="1701" priority="2060"/>
    <cfRule type="duplicateValues" dxfId="1700" priority="2059"/>
    <cfRule type="duplicateValues" dxfId="1699" priority="2058"/>
    <cfRule type="duplicateValues" dxfId="1698" priority="2057"/>
  </conditionalFormatting>
  <conditionalFormatting sqref="B155:B160">
    <cfRule type="duplicateValues" dxfId="1697" priority="1950"/>
    <cfRule type="duplicateValues" dxfId="1696" priority="1951"/>
    <cfRule type="duplicateValues" dxfId="1695" priority="1952"/>
    <cfRule type="duplicateValues" dxfId="1694" priority="1954"/>
    <cfRule type="duplicateValues" dxfId="1693" priority="1955"/>
    <cfRule type="duplicateValues" dxfId="1692" priority="1953"/>
    <cfRule type="duplicateValues" dxfId="1691" priority="1956"/>
    <cfRule type="duplicateValues" dxfId="1690" priority="1957"/>
    <cfRule type="duplicateValues" dxfId="1689" priority="1958"/>
    <cfRule type="duplicateValues" dxfId="1688" priority="1985"/>
    <cfRule type="duplicateValues" dxfId="1687" priority="1984"/>
    <cfRule type="duplicateValues" dxfId="1686" priority="1983"/>
    <cfRule type="duplicateValues" dxfId="1685" priority="1982"/>
    <cfRule type="duplicateValues" dxfId="1684" priority="1981"/>
    <cfRule type="duplicateValues" dxfId="1683" priority="1980"/>
    <cfRule type="duplicateValues" dxfId="1682" priority="1979"/>
    <cfRule type="duplicateValues" dxfId="1681" priority="1978"/>
    <cfRule type="duplicateValues" dxfId="1680" priority="1977"/>
    <cfRule type="duplicateValues" dxfId="1679" priority="1962"/>
    <cfRule type="duplicateValues" dxfId="1678" priority="1976"/>
    <cfRule type="duplicateValues" dxfId="1677" priority="1975"/>
    <cfRule type="duplicateValues" dxfId="1676" priority="1974"/>
    <cfRule type="duplicateValues" dxfId="1675" priority="1973"/>
    <cfRule type="duplicateValues" dxfId="1674" priority="1972"/>
    <cfRule type="duplicateValues" dxfId="1673" priority="1971"/>
    <cfRule type="duplicateValues" dxfId="1672" priority="1970"/>
    <cfRule type="duplicateValues" dxfId="1671" priority="1969"/>
    <cfRule type="duplicateValues" dxfId="1670" priority="1968"/>
    <cfRule type="duplicateValues" dxfId="1669" priority="1967"/>
    <cfRule type="duplicateValues" dxfId="1668" priority="1966"/>
    <cfRule type="duplicateValues" dxfId="1667" priority="1965"/>
    <cfRule type="duplicateValues" dxfId="1666" priority="1959"/>
    <cfRule type="duplicateValues" dxfId="1665" priority="1960"/>
    <cfRule type="duplicateValues" dxfId="1664" priority="1961"/>
    <cfRule type="duplicateValues" dxfId="1663" priority="1964"/>
    <cfRule type="duplicateValues" dxfId="1662" priority="1963"/>
    <cfRule type="duplicateValues" dxfId="1661" priority="1865"/>
    <cfRule type="duplicateValues" dxfId="1660" priority="1866"/>
    <cfRule type="duplicateValues" dxfId="1659" priority="1867"/>
    <cfRule type="duplicateValues" dxfId="1658" priority="1868"/>
    <cfRule type="duplicateValues" dxfId="1657" priority="1869"/>
    <cfRule type="duplicateValues" dxfId="1656" priority="1870"/>
    <cfRule type="duplicateValues" dxfId="1655" priority="1871"/>
    <cfRule type="duplicateValues" dxfId="1654" priority="1872"/>
    <cfRule type="duplicateValues" dxfId="1653" priority="1873"/>
    <cfRule type="duplicateValues" dxfId="1652" priority="1874"/>
    <cfRule type="duplicateValues" dxfId="1651" priority="1875"/>
    <cfRule type="duplicateValues" dxfId="1650" priority="1876"/>
    <cfRule type="duplicateValues" dxfId="1649" priority="1877"/>
    <cfRule type="duplicateValues" dxfId="1648" priority="1878"/>
    <cfRule type="duplicateValues" dxfId="1647" priority="1879"/>
    <cfRule type="duplicateValues" dxfId="1646" priority="1880"/>
    <cfRule type="duplicateValues" dxfId="1645" priority="1881"/>
    <cfRule type="duplicateValues" dxfId="1644" priority="1882"/>
    <cfRule type="duplicateValues" dxfId="1643" priority="1937"/>
    <cfRule type="duplicateValues" dxfId="1642" priority="1938"/>
    <cfRule type="duplicateValues" dxfId="1641" priority="1939"/>
    <cfRule type="duplicateValues" dxfId="1640" priority="1940"/>
    <cfRule type="duplicateValues" dxfId="1639" priority="1941"/>
    <cfRule type="duplicateValues" dxfId="1638" priority="1942"/>
    <cfRule type="duplicateValues" dxfId="1637" priority="1884"/>
    <cfRule type="duplicateValues" dxfId="1636" priority="1944"/>
    <cfRule type="duplicateValues" dxfId="1635" priority="1945"/>
    <cfRule type="duplicateValues" dxfId="1634" priority="1946"/>
    <cfRule type="duplicateValues" dxfId="1633" priority="1947"/>
    <cfRule type="duplicateValues" dxfId="1632" priority="1948"/>
    <cfRule type="duplicateValues" dxfId="1631" priority="1885"/>
    <cfRule type="duplicateValues" dxfId="1630" priority="1886"/>
    <cfRule type="duplicateValues" dxfId="1629" priority="1887"/>
    <cfRule type="duplicateValues" dxfId="1628" priority="1888"/>
    <cfRule type="duplicateValues" dxfId="1627" priority="1889"/>
    <cfRule type="duplicateValues" dxfId="1626" priority="1890"/>
    <cfRule type="duplicateValues" dxfId="1625" priority="1891"/>
    <cfRule type="duplicateValues" dxfId="1624" priority="1892"/>
    <cfRule type="duplicateValues" dxfId="1623" priority="1893"/>
    <cfRule type="duplicateValues" dxfId="1622" priority="1894"/>
    <cfRule type="duplicateValues" dxfId="1621" priority="1895"/>
    <cfRule type="duplicateValues" dxfId="1620" priority="1896"/>
    <cfRule type="duplicateValues" dxfId="1619" priority="1897"/>
    <cfRule type="duplicateValues" dxfId="1618" priority="1898"/>
    <cfRule type="duplicateValues" dxfId="1617" priority="1899"/>
    <cfRule type="duplicateValues" dxfId="1616" priority="1900"/>
    <cfRule type="duplicateValues" dxfId="1615" priority="1901"/>
    <cfRule type="duplicateValues" dxfId="1614" priority="1902"/>
    <cfRule type="duplicateValues" dxfId="1613" priority="1903"/>
    <cfRule type="duplicateValues" dxfId="1612" priority="1904"/>
    <cfRule type="duplicateValues" dxfId="1611" priority="1905"/>
    <cfRule type="duplicateValues" dxfId="1610" priority="1906"/>
    <cfRule type="duplicateValues" dxfId="1609" priority="1907"/>
    <cfRule type="duplicateValues" dxfId="1608" priority="1949"/>
    <cfRule type="duplicateValues" dxfId="1607" priority="1883"/>
    <cfRule type="duplicateValues" dxfId="1606" priority="1908"/>
    <cfRule type="duplicateValues" dxfId="1605" priority="1909"/>
    <cfRule type="duplicateValues" dxfId="1604" priority="1910"/>
    <cfRule type="duplicateValues" dxfId="1603" priority="1911"/>
    <cfRule type="duplicateValues" dxfId="1602" priority="1912"/>
    <cfRule type="duplicateValues" dxfId="1601" priority="1913"/>
    <cfRule type="duplicateValues" dxfId="1600" priority="1914"/>
    <cfRule type="duplicateValues" dxfId="1599" priority="1915"/>
    <cfRule type="duplicateValues" dxfId="1598" priority="1916"/>
    <cfRule type="duplicateValues" dxfId="1597" priority="1917"/>
    <cfRule type="duplicateValues" dxfId="1596" priority="1918"/>
    <cfRule type="duplicateValues" dxfId="1595" priority="1919"/>
    <cfRule type="duplicateValues" dxfId="1594" priority="1920"/>
    <cfRule type="duplicateValues" dxfId="1593" priority="1921"/>
    <cfRule type="duplicateValues" dxfId="1592" priority="1922"/>
    <cfRule type="duplicateValues" dxfId="1591" priority="1923"/>
    <cfRule type="duplicateValues" dxfId="1590" priority="1924"/>
    <cfRule type="duplicateValues" dxfId="1589" priority="1925"/>
    <cfRule type="duplicateValues" dxfId="1588" priority="1926"/>
    <cfRule type="duplicateValues" dxfId="1587" priority="1927"/>
    <cfRule type="duplicateValues" dxfId="1586" priority="1928"/>
    <cfRule type="duplicateValues" dxfId="1585" priority="1929"/>
    <cfRule type="duplicateValues" dxfId="1584" priority="1930"/>
    <cfRule type="duplicateValues" dxfId="1583" priority="1931"/>
    <cfRule type="duplicateValues" dxfId="1582" priority="1932"/>
    <cfRule type="duplicateValues" dxfId="1581" priority="1933"/>
    <cfRule type="duplicateValues" dxfId="1580" priority="1934"/>
    <cfRule type="duplicateValues" dxfId="1579" priority="1935"/>
    <cfRule type="duplicateValues" dxfId="1578" priority="1936"/>
    <cfRule type="duplicateValues" dxfId="1577" priority="1943"/>
  </conditionalFormatting>
  <conditionalFormatting sqref="B161:B162">
    <cfRule type="duplicateValues" dxfId="1576" priority="1842"/>
    <cfRule type="duplicateValues" dxfId="1575" priority="1841"/>
    <cfRule type="duplicateValues" dxfId="1574" priority="1840"/>
    <cfRule type="duplicateValues" dxfId="1573" priority="1839"/>
    <cfRule type="duplicateValues" dxfId="1572" priority="1838"/>
    <cfRule type="duplicateValues" dxfId="1571" priority="1837"/>
    <cfRule type="duplicateValues" dxfId="1570" priority="1836"/>
    <cfRule type="duplicateValues" dxfId="1569" priority="1835"/>
    <cfRule type="duplicateValues" dxfId="1568" priority="1834"/>
    <cfRule type="duplicateValues" dxfId="1567" priority="1833"/>
    <cfRule type="duplicateValues" dxfId="1566" priority="1832"/>
    <cfRule type="duplicateValues" dxfId="1565" priority="1831"/>
    <cfRule type="duplicateValues" dxfId="1564" priority="1830"/>
    <cfRule type="duplicateValues" dxfId="1563" priority="1829"/>
    <cfRule type="duplicateValues" dxfId="1562" priority="1828"/>
    <cfRule type="duplicateValues" dxfId="1561" priority="1827"/>
    <cfRule type="duplicateValues" dxfId="1560" priority="1826"/>
    <cfRule type="duplicateValues" dxfId="1559" priority="1825"/>
    <cfRule type="duplicateValues" dxfId="1558" priority="1824"/>
    <cfRule type="duplicateValues" dxfId="1557" priority="1823"/>
    <cfRule type="duplicateValues" dxfId="1556" priority="1822"/>
    <cfRule type="duplicateValues" dxfId="1555" priority="1821"/>
    <cfRule type="duplicateValues" dxfId="1554" priority="1820"/>
    <cfRule type="duplicateValues" dxfId="1553" priority="1819"/>
    <cfRule type="duplicateValues" dxfId="1552" priority="1818"/>
    <cfRule type="duplicateValues" dxfId="1551" priority="1817"/>
    <cfRule type="duplicateValues" dxfId="1550" priority="1816"/>
    <cfRule type="duplicateValues" dxfId="1549" priority="1815"/>
    <cfRule type="duplicateValues" dxfId="1548" priority="1814"/>
    <cfRule type="duplicateValues" dxfId="1547" priority="1813"/>
    <cfRule type="duplicateValues" dxfId="1546" priority="1812"/>
    <cfRule type="duplicateValues" dxfId="1545" priority="1811"/>
    <cfRule type="duplicateValues" dxfId="1544" priority="1810"/>
    <cfRule type="duplicateValues" dxfId="1543" priority="1809"/>
    <cfRule type="duplicateValues" dxfId="1542" priority="1808"/>
    <cfRule type="duplicateValues" dxfId="1541" priority="1807"/>
    <cfRule type="duplicateValues" dxfId="1540" priority="1806"/>
    <cfRule type="duplicateValues" dxfId="1539" priority="1805"/>
    <cfRule type="duplicateValues" dxfId="1538" priority="1804"/>
    <cfRule type="duplicateValues" dxfId="1537" priority="1803"/>
    <cfRule type="duplicateValues" dxfId="1536" priority="1802"/>
    <cfRule type="duplicateValues" dxfId="1535" priority="1801"/>
    <cfRule type="duplicateValues" dxfId="1534" priority="1800"/>
    <cfRule type="duplicateValues" dxfId="1533" priority="1799"/>
    <cfRule type="duplicateValues" dxfId="1532" priority="1798"/>
    <cfRule type="duplicateValues" dxfId="1531" priority="1797"/>
    <cfRule type="duplicateValues" dxfId="1530" priority="1796"/>
    <cfRule type="duplicateValues" dxfId="1529" priority="1795"/>
    <cfRule type="duplicateValues" dxfId="1528" priority="1794"/>
    <cfRule type="duplicateValues" dxfId="1527" priority="1793"/>
    <cfRule type="duplicateValues" dxfId="1526" priority="1792"/>
    <cfRule type="duplicateValues" dxfId="1525" priority="1791"/>
    <cfRule type="duplicateValues" dxfId="1524" priority="1790"/>
    <cfRule type="duplicateValues" dxfId="1523" priority="1789"/>
    <cfRule type="duplicateValues" dxfId="1522" priority="1788"/>
    <cfRule type="duplicateValues" dxfId="1521" priority="1787"/>
    <cfRule type="duplicateValues" dxfId="1520" priority="1786"/>
    <cfRule type="duplicateValues" dxfId="1519" priority="1785"/>
    <cfRule type="duplicateValues" dxfId="1518" priority="1784"/>
    <cfRule type="duplicateValues" dxfId="1517" priority="1783"/>
    <cfRule type="duplicateValues" dxfId="1516" priority="1782"/>
    <cfRule type="duplicateValues" dxfId="1515" priority="1781"/>
    <cfRule type="duplicateValues" dxfId="1514" priority="1780"/>
    <cfRule type="duplicateValues" dxfId="1513" priority="1779"/>
    <cfRule type="duplicateValues" dxfId="1512" priority="1778"/>
    <cfRule type="duplicateValues" dxfId="1511" priority="1777"/>
    <cfRule type="duplicateValues" dxfId="1510" priority="1776"/>
    <cfRule type="duplicateValues" dxfId="1509" priority="1775"/>
    <cfRule type="duplicateValues" dxfId="1508" priority="1774"/>
    <cfRule type="duplicateValues" dxfId="1507" priority="1773"/>
    <cfRule type="duplicateValues" dxfId="1506" priority="1772"/>
    <cfRule type="duplicateValues" dxfId="1505" priority="1771"/>
    <cfRule type="duplicateValues" dxfId="1504" priority="1770"/>
    <cfRule type="duplicateValues" dxfId="1503" priority="1769"/>
    <cfRule type="duplicateValues" dxfId="1502" priority="1768"/>
    <cfRule type="duplicateValues" dxfId="1501" priority="1767"/>
    <cfRule type="duplicateValues" dxfId="1500" priority="1766"/>
    <cfRule type="duplicateValues" dxfId="1499" priority="1765"/>
    <cfRule type="duplicateValues" dxfId="1498" priority="1764"/>
    <cfRule type="duplicateValues" dxfId="1497" priority="1763"/>
    <cfRule type="duplicateValues" dxfId="1496" priority="1762"/>
    <cfRule type="duplicateValues" dxfId="1495" priority="1761"/>
    <cfRule type="duplicateValues" dxfId="1494" priority="1760"/>
    <cfRule type="duplicateValues" dxfId="1493" priority="1759"/>
    <cfRule type="duplicateValues" dxfId="1492" priority="1758"/>
    <cfRule type="duplicateValues" dxfId="1491" priority="1757"/>
    <cfRule type="duplicateValues" dxfId="1490" priority="1756"/>
    <cfRule type="duplicateValues" dxfId="1489" priority="1754"/>
    <cfRule type="duplicateValues" dxfId="1488" priority="1753"/>
    <cfRule type="duplicateValues" dxfId="1487" priority="1752"/>
    <cfRule type="duplicateValues" dxfId="1486" priority="1751"/>
    <cfRule type="duplicateValues" dxfId="1485" priority="1750"/>
    <cfRule type="duplicateValues" dxfId="1484" priority="1749"/>
    <cfRule type="duplicateValues" dxfId="1483" priority="1748"/>
    <cfRule type="duplicateValues" dxfId="1482" priority="1747"/>
    <cfRule type="duplicateValues" dxfId="1481" priority="1746"/>
    <cfRule type="duplicateValues" dxfId="1480" priority="1745"/>
    <cfRule type="duplicateValues" dxfId="1479" priority="1744"/>
    <cfRule type="duplicateValues" dxfId="1478" priority="1743"/>
    <cfRule type="duplicateValues" dxfId="1477" priority="1742"/>
    <cfRule type="duplicateValues" dxfId="1476" priority="1741"/>
    <cfRule type="duplicateValues" dxfId="1475" priority="1755"/>
    <cfRule type="duplicateValues" dxfId="1474" priority="1861"/>
    <cfRule type="duplicateValues" dxfId="1473" priority="1860"/>
    <cfRule type="duplicateValues" dxfId="1472" priority="1859"/>
    <cfRule type="duplicateValues" dxfId="1471" priority="1858"/>
    <cfRule type="duplicateValues" dxfId="1470" priority="1857"/>
    <cfRule type="duplicateValues" dxfId="1469" priority="1856"/>
    <cfRule type="duplicateValues" dxfId="1468" priority="1855"/>
    <cfRule type="duplicateValues" dxfId="1467" priority="1854"/>
    <cfRule type="duplicateValues" dxfId="1466" priority="1853"/>
    <cfRule type="duplicateValues" dxfId="1465" priority="1852"/>
    <cfRule type="duplicateValues" dxfId="1464" priority="1851"/>
    <cfRule type="duplicateValues" dxfId="1463" priority="1850"/>
    <cfRule type="duplicateValues" dxfId="1462" priority="1849"/>
    <cfRule type="duplicateValues" dxfId="1461" priority="1848"/>
    <cfRule type="duplicateValues" dxfId="1460" priority="1847"/>
    <cfRule type="duplicateValues" dxfId="1459" priority="1846"/>
    <cfRule type="duplicateValues" dxfId="1458" priority="1845"/>
    <cfRule type="duplicateValues" dxfId="1457" priority="1844"/>
    <cfRule type="duplicateValues" dxfId="1456" priority="1843"/>
  </conditionalFormatting>
  <conditionalFormatting sqref="B163:B173">
    <cfRule type="duplicateValues" dxfId="1455" priority="1669"/>
    <cfRule type="duplicateValues" dxfId="1454" priority="1668"/>
    <cfRule type="duplicateValues" dxfId="1453" priority="1667"/>
    <cfRule type="duplicateValues" dxfId="1452" priority="1666"/>
    <cfRule type="duplicateValues" dxfId="1451" priority="1665"/>
    <cfRule type="duplicateValues" dxfId="1450" priority="1664"/>
    <cfRule type="duplicateValues" dxfId="1449" priority="1663"/>
    <cfRule type="duplicateValues" dxfId="1448" priority="1662"/>
    <cfRule type="duplicateValues" dxfId="1447" priority="1661"/>
    <cfRule type="duplicateValues" dxfId="1446" priority="1660"/>
    <cfRule type="duplicateValues" dxfId="1445" priority="1659"/>
    <cfRule type="duplicateValues" dxfId="1444" priority="1658"/>
    <cfRule type="duplicateValues" dxfId="1443" priority="1657"/>
    <cfRule type="duplicateValues" dxfId="1442" priority="1700"/>
    <cfRule type="duplicateValues" dxfId="1441" priority="1701"/>
    <cfRule type="duplicateValues" dxfId="1440" priority="1702"/>
    <cfRule type="duplicateValues" dxfId="1439" priority="1703"/>
    <cfRule type="duplicateValues" dxfId="1438" priority="1704"/>
    <cfRule type="duplicateValues" dxfId="1437" priority="1705"/>
    <cfRule type="duplicateValues" dxfId="1436" priority="1706"/>
    <cfRule type="duplicateValues" dxfId="1435" priority="1707"/>
    <cfRule type="duplicateValues" dxfId="1434" priority="1708"/>
    <cfRule type="duplicateValues" dxfId="1433" priority="1709"/>
    <cfRule type="duplicateValues" dxfId="1432" priority="1711"/>
    <cfRule type="duplicateValues" dxfId="1431" priority="1712"/>
    <cfRule type="duplicateValues" dxfId="1430" priority="1713"/>
    <cfRule type="duplicateValues" dxfId="1429" priority="1714"/>
    <cfRule type="duplicateValues" dxfId="1428" priority="1715"/>
    <cfRule type="duplicateValues" dxfId="1427" priority="1716"/>
    <cfRule type="duplicateValues" dxfId="1426" priority="1717"/>
    <cfRule type="duplicateValues" dxfId="1425" priority="1718"/>
    <cfRule type="duplicateValues" dxfId="1424" priority="1719"/>
    <cfRule type="duplicateValues" dxfId="1423" priority="1720"/>
    <cfRule type="duplicateValues" dxfId="1422" priority="1734"/>
    <cfRule type="duplicateValues" dxfId="1421" priority="1735"/>
    <cfRule type="duplicateValues" dxfId="1420" priority="1736"/>
    <cfRule type="duplicateValues" dxfId="1419" priority="1737"/>
    <cfRule type="duplicateValues" dxfId="1418" priority="1721"/>
    <cfRule type="duplicateValues" dxfId="1417" priority="1722"/>
    <cfRule type="duplicateValues" dxfId="1416" priority="1723"/>
    <cfRule type="duplicateValues" dxfId="1415" priority="1670"/>
    <cfRule type="duplicateValues" dxfId="1414" priority="1724"/>
    <cfRule type="duplicateValues" dxfId="1413" priority="1725"/>
    <cfRule type="duplicateValues" dxfId="1412" priority="1710"/>
    <cfRule type="duplicateValues" dxfId="1411" priority="1726"/>
    <cfRule type="duplicateValues" dxfId="1410" priority="1727"/>
    <cfRule type="duplicateValues" dxfId="1409" priority="1728"/>
    <cfRule type="duplicateValues" dxfId="1408" priority="1729"/>
    <cfRule type="duplicateValues" dxfId="1407" priority="1730"/>
    <cfRule type="duplicateValues" dxfId="1406" priority="1731"/>
    <cfRule type="duplicateValues" dxfId="1405" priority="1732"/>
    <cfRule type="duplicateValues" dxfId="1404" priority="1733"/>
    <cfRule type="duplicateValues" dxfId="1403" priority="1671"/>
    <cfRule type="duplicateValues" dxfId="1402" priority="1672"/>
    <cfRule type="duplicateValues" dxfId="1401" priority="1673"/>
    <cfRule type="duplicateValues" dxfId="1400" priority="1674"/>
    <cfRule type="duplicateValues" dxfId="1399" priority="1675"/>
    <cfRule type="duplicateValues" dxfId="1398" priority="1676"/>
    <cfRule type="duplicateValues" dxfId="1397" priority="1677"/>
    <cfRule type="duplicateValues" dxfId="1396" priority="1678"/>
    <cfRule type="duplicateValues" dxfId="1395" priority="1679"/>
    <cfRule type="duplicateValues" dxfId="1394" priority="1680"/>
    <cfRule type="duplicateValues" dxfId="1393" priority="1681"/>
    <cfRule type="duplicateValues" dxfId="1392" priority="1682"/>
    <cfRule type="duplicateValues" dxfId="1391" priority="1683"/>
    <cfRule type="duplicateValues" dxfId="1390" priority="1684"/>
    <cfRule type="duplicateValues" dxfId="1389" priority="1685"/>
    <cfRule type="duplicateValues" dxfId="1388" priority="1686"/>
    <cfRule type="duplicateValues" dxfId="1387" priority="1687"/>
    <cfRule type="duplicateValues" dxfId="1386" priority="1688"/>
    <cfRule type="duplicateValues" dxfId="1385" priority="1689"/>
    <cfRule type="duplicateValues" dxfId="1384" priority="1690"/>
    <cfRule type="duplicateValues" dxfId="1383" priority="1691"/>
    <cfRule type="duplicateValues" dxfId="1382" priority="1692"/>
    <cfRule type="duplicateValues" dxfId="1381" priority="1693"/>
    <cfRule type="duplicateValues" dxfId="1380" priority="1694"/>
    <cfRule type="duplicateValues" dxfId="1379" priority="1695"/>
    <cfRule type="duplicateValues" dxfId="1378" priority="1696"/>
    <cfRule type="duplicateValues" dxfId="1377" priority="1697"/>
    <cfRule type="duplicateValues" dxfId="1376" priority="1698"/>
    <cfRule type="duplicateValues" dxfId="1375" priority="1699"/>
  </conditionalFormatting>
  <conditionalFormatting sqref="B174:B175">
    <cfRule type="duplicateValues" dxfId="1374" priority="1656"/>
    <cfRule type="duplicateValues" dxfId="1373" priority="1655"/>
    <cfRule type="duplicateValues" dxfId="1372" priority="1654"/>
    <cfRule type="duplicateValues" dxfId="1371" priority="1653"/>
    <cfRule type="duplicateValues" dxfId="1370" priority="1652"/>
    <cfRule type="duplicateValues" dxfId="1369" priority="1596"/>
    <cfRule type="duplicateValues" dxfId="1368" priority="1597"/>
    <cfRule type="duplicateValues" dxfId="1367" priority="1598"/>
    <cfRule type="duplicateValues" dxfId="1366" priority="1599"/>
    <cfRule type="duplicateValues" dxfId="1365" priority="1600"/>
    <cfRule type="duplicateValues" dxfId="1364" priority="1639"/>
    <cfRule type="duplicateValues" dxfId="1363" priority="1640"/>
    <cfRule type="duplicateValues" dxfId="1362" priority="1641"/>
    <cfRule type="duplicateValues" dxfId="1361" priority="1642"/>
    <cfRule type="duplicateValues" dxfId="1360" priority="1643"/>
    <cfRule type="duplicateValues" dxfId="1359" priority="1644"/>
    <cfRule type="duplicateValues" dxfId="1358" priority="1601"/>
    <cfRule type="duplicateValues" dxfId="1357" priority="1602"/>
    <cfRule type="duplicateValues" dxfId="1356" priority="1603"/>
    <cfRule type="duplicateValues" dxfId="1355" priority="1604"/>
    <cfRule type="duplicateValues" dxfId="1354" priority="1645"/>
    <cfRule type="duplicateValues" dxfId="1353" priority="1646"/>
    <cfRule type="duplicateValues" dxfId="1352" priority="1647"/>
    <cfRule type="duplicateValues" dxfId="1351" priority="1605"/>
    <cfRule type="duplicateValues" dxfId="1350" priority="1606"/>
    <cfRule type="duplicateValues" dxfId="1349" priority="1592"/>
    <cfRule type="duplicateValues" dxfId="1348" priority="1591"/>
    <cfRule type="duplicateValues" dxfId="1347" priority="1590"/>
    <cfRule type="duplicateValues" dxfId="1346" priority="1589"/>
    <cfRule type="duplicateValues" dxfId="1345" priority="1588"/>
    <cfRule type="duplicateValues" dxfId="1344" priority="1587"/>
    <cfRule type="duplicateValues" dxfId="1343" priority="1586"/>
    <cfRule type="duplicateValues" dxfId="1342" priority="1585"/>
    <cfRule type="duplicateValues" dxfId="1341" priority="1593"/>
    <cfRule type="duplicateValues" dxfId="1340" priority="1648"/>
    <cfRule type="duplicateValues" dxfId="1339" priority="1649"/>
    <cfRule type="duplicateValues" dxfId="1338" priority="1650"/>
    <cfRule type="duplicateValues" dxfId="1337" priority="1607"/>
    <cfRule type="duplicateValues" dxfId="1336" priority="1584"/>
    <cfRule type="duplicateValues" dxfId="1335" priority="1583"/>
    <cfRule type="duplicateValues" dxfId="1334" priority="1582"/>
    <cfRule type="duplicateValues" dxfId="1333" priority="1581"/>
    <cfRule type="duplicateValues" dxfId="1332" priority="1580"/>
    <cfRule type="duplicateValues" dxfId="1331" priority="1579"/>
    <cfRule type="duplicateValues" dxfId="1330" priority="1578"/>
    <cfRule type="duplicateValues" dxfId="1329" priority="1577"/>
    <cfRule type="duplicateValues" dxfId="1328" priority="1576"/>
    <cfRule type="duplicateValues" dxfId="1327" priority="1608"/>
    <cfRule type="duplicateValues" dxfId="1326" priority="1609"/>
    <cfRule type="duplicateValues" dxfId="1325" priority="1610"/>
    <cfRule type="duplicateValues" dxfId="1324" priority="1611"/>
    <cfRule type="duplicateValues" dxfId="1323" priority="1612"/>
    <cfRule type="duplicateValues" dxfId="1322" priority="1613"/>
    <cfRule type="duplicateValues" dxfId="1321" priority="1614"/>
    <cfRule type="duplicateValues" dxfId="1320" priority="1615"/>
    <cfRule type="duplicateValues" dxfId="1319" priority="1616"/>
    <cfRule type="duplicateValues" dxfId="1318" priority="1617"/>
    <cfRule type="duplicateValues" dxfId="1317" priority="1618"/>
    <cfRule type="duplicateValues" dxfId="1316" priority="1619"/>
    <cfRule type="duplicateValues" dxfId="1315" priority="1620"/>
    <cfRule type="duplicateValues" dxfId="1314" priority="1621"/>
    <cfRule type="duplicateValues" dxfId="1313" priority="1622"/>
    <cfRule type="duplicateValues" dxfId="1312" priority="1623"/>
    <cfRule type="duplicateValues" dxfId="1311" priority="1624"/>
    <cfRule type="duplicateValues" dxfId="1310" priority="1625"/>
    <cfRule type="duplicateValues" dxfId="1309" priority="1626"/>
    <cfRule type="duplicateValues" dxfId="1308" priority="1627"/>
    <cfRule type="duplicateValues" dxfId="1307" priority="1628"/>
    <cfRule type="duplicateValues" dxfId="1306" priority="1629"/>
    <cfRule type="duplicateValues" dxfId="1305" priority="1630"/>
    <cfRule type="duplicateValues" dxfId="1304" priority="1631"/>
    <cfRule type="duplicateValues" dxfId="1303" priority="1632"/>
    <cfRule type="duplicateValues" dxfId="1302" priority="1633"/>
    <cfRule type="duplicateValues" dxfId="1301" priority="1634"/>
    <cfRule type="duplicateValues" dxfId="1300" priority="1635"/>
    <cfRule type="duplicateValues" dxfId="1299" priority="1636"/>
    <cfRule type="duplicateValues" dxfId="1298" priority="1637"/>
    <cfRule type="duplicateValues" dxfId="1297" priority="1638"/>
    <cfRule type="duplicateValues" dxfId="1296" priority="1651"/>
    <cfRule type="duplicateValues" dxfId="1295" priority="1594"/>
    <cfRule type="duplicateValues" dxfId="1294" priority="1595"/>
  </conditionalFormatting>
  <conditionalFormatting sqref="B176:B178">
    <cfRule type="duplicateValues" dxfId="1293" priority="1506"/>
    <cfRule type="duplicateValues" dxfId="1292" priority="1558"/>
    <cfRule type="duplicateValues" dxfId="1291" priority="1556"/>
    <cfRule type="duplicateValues" dxfId="1290" priority="1555"/>
    <cfRule type="duplicateValues" dxfId="1289" priority="1554"/>
    <cfRule type="duplicateValues" dxfId="1288" priority="1553"/>
    <cfRule type="duplicateValues" dxfId="1287" priority="1552"/>
    <cfRule type="duplicateValues" dxfId="1286" priority="1543"/>
    <cfRule type="duplicateValues" dxfId="1285" priority="1542"/>
    <cfRule type="duplicateValues" dxfId="1284" priority="1541"/>
    <cfRule type="duplicateValues" dxfId="1283" priority="1540"/>
    <cfRule type="duplicateValues" dxfId="1282" priority="1539"/>
    <cfRule type="duplicateValues" dxfId="1281" priority="1538"/>
    <cfRule type="duplicateValues" dxfId="1280" priority="1537"/>
    <cfRule type="duplicateValues" dxfId="1279" priority="1559"/>
    <cfRule type="duplicateValues" dxfId="1278" priority="1560"/>
    <cfRule type="duplicateValues" dxfId="1277" priority="1561"/>
    <cfRule type="duplicateValues" dxfId="1276" priority="1562"/>
    <cfRule type="duplicateValues" dxfId="1275" priority="1563"/>
    <cfRule type="duplicateValues" dxfId="1274" priority="1564"/>
    <cfRule type="duplicateValues" dxfId="1273" priority="1528"/>
    <cfRule type="duplicateValues" dxfId="1272" priority="1566"/>
    <cfRule type="duplicateValues" dxfId="1271" priority="1567"/>
    <cfRule type="duplicateValues" dxfId="1270" priority="1568"/>
    <cfRule type="duplicateValues" dxfId="1269" priority="1569"/>
    <cfRule type="duplicateValues" dxfId="1268" priority="1570"/>
    <cfRule type="duplicateValues" dxfId="1267" priority="1571"/>
    <cfRule type="duplicateValues" dxfId="1266" priority="1572"/>
    <cfRule type="duplicateValues" dxfId="1265" priority="1573"/>
    <cfRule type="duplicateValues" dxfId="1264" priority="1574"/>
    <cfRule type="duplicateValues" dxfId="1263" priority="1575"/>
    <cfRule type="duplicateValues" dxfId="1262" priority="1496"/>
    <cfRule type="duplicateValues" dxfId="1261" priority="1495"/>
    <cfRule type="duplicateValues" dxfId="1260" priority="1535"/>
    <cfRule type="duplicateValues" dxfId="1259" priority="1534"/>
    <cfRule type="duplicateValues" dxfId="1258" priority="1533"/>
    <cfRule type="duplicateValues" dxfId="1257" priority="1532"/>
    <cfRule type="duplicateValues" dxfId="1256" priority="1531"/>
    <cfRule type="duplicateValues" dxfId="1255" priority="1530"/>
    <cfRule type="duplicateValues" dxfId="1254" priority="1529"/>
    <cfRule type="duplicateValues" dxfId="1253" priority="1536"/>
    <cfRule type="duplicateValues" dxfId="1252" priority="1527"/>
    <cfRule type="duplicateValues" dxfId="1251" priority="1526"/>
    <cfRule type="duplicateValues" dxfId="1250" priority="1525"/>
    <cfRule type="duplicateValues" dxfId="1249" priority="1524"/>
    <cfRule type="duplicateValues" dxfId="1248" priority="1523"/>
    <cfRule type="duplicateValues" dxfId="1247" priority="1522"/>
    <cfRule type="duplicateValues" dxfId="1246" priority="1521"/>
    <cfRule type="duplicateValues" dxfId="1245" priority="1520"/>
    <cfRule type="duplicateValues" dxfId="1244" priority="1519"/>
    <cfRule type="duplicateValues" dxfId="1243" priority="1518"/>
    <cfRule type="duplicateValues" dxfId="1242" priority="1551"/>
    <cfRule type="duplicateValues" dxfId="1241" priority="1550"/>
    <cfRule type="duplicateValues" dxfId="1240" priority="1549"/>
    <cfRule type="duplicateValues" dxfId="1239" priority="1548"/>
    <cfRule type="duplicateValues" dxfId="1238" priority="1517"/>
    <cfRule type="duplicateValues" dxfId="1237" priority="1516"/>
    <cfRule type="duplicateValues" dxfId="1236" priority="1515"/>
    <cfRule type="duplicateValues" dxfId="1235" priority="1514"/>
    <cfRule type="duplicateValues" dxfId="1234" priority="1513"/>
    <cfRule type="duplicateValues" dxfId="1233" priority="1512"/>
    <cfRule type="duplicateValues" dxfId="1232" priority="1511"/>
    <cfRule type="duplicateValues" dxfId="1231" priority="1510"/>
    <cfRule type="duplicateValues" dxfId="1230" priority="1509"/>
    <cfRule type="duplicateValues" dxfId="1229" priority="1508"/>
    <cfRule type="duplicateValues" dxfId="1228" priority="1507"/>
    <cfRule type="duplicateValues" dxfId="1227" priority="1505"/>
    <cfRule type="duplicateValues" dxfId="1226" priority="1547"/>
    <cfRule type="duplicateValues" dxfId="1225" priority="1546"/>
    <cfRule type="duplicateValues" dxfId="1224" priority="1545"/>
    <cfRule type="duplicateValues" dxfId="1223" priority="1504"/>
    <cfRule type="duplicateValues" dxfId="1222" priority="1503"/>
    <cfRule type="duplicateValues" dxfId="1221" priority="1502"/>
    <cfRule type="duplicateValues" dxfId="1220" priority="1501"/>
    <cfRule type="duplicateValues" dxfId="1219" priority="1500"/>
    <cfRule type="duplicateValues" dxfId="1218" priority="1499"/>
    <cfRule type="duplicateValues" dxfId="1217" priority="1565"/>
    <cfRule type="duplicateValues" dxfId="1216" priority="1498"/>
    <cfRule type="duplicateValues" dxfId="1215" priority="1497"/>
    <cfRule type="duplicateValues" dxfId="1214" priority="1544"/>
    <cfRule type="duplicateValues" dxfId="1213" priority="1557"/>
  </conditionalFormatting>
  <conditionalFormatting sqref="B179:B189">
    <cfRule type="duplicateValues" dxfId="1212" priority="1244"/>
    <cfRule type="duplicateValues" dxfId="1211" priority="1245"/>
    <cfRule type="duplicateValues" dxfId="1210" priority="1246"/>
    <cfRule type="duplicateValues" dxfId="1209" priority="1247"/>
    <cfRule type="duplicateValues" dxfId="1208" priority="1248"/>
    <cfRule type="duplicateValues" dxfId="1207" priority="1249"/>
    <cfRule type="duplicateValues" dxfId="1206" priority="1250"/>
    <cfRule type="duplicateValues" dxfId="1205" priority="1251"/>
    <cfRule type="duplicateValues" dxfId="1204" priority="1252"/>
    <cfRule type="duplicateValues" dxfId="1203" priority="1253"/>
    <cfRule type="duplicateValues" dxfId="1202" priority="1254"/>
    <cfRule type="duplicateValues" dxfId="1201" priority="1255"/>
    <cfRule type="duplicateValues" dxfId="1200" priority="1256"/>
    <cfRule type="duplicateValues" dxfId="1199" priority="1257"/>
    <cfRule type="duplicateValues" dxfId="1198" priority="1258"/>
    <cfRule type="duplicateValues" dxfId="1197" priority="1259"/>
    <cfRule type="duplicateValues" dxfId="1196" priority="1260"/>
    <cfRule type="duplicateValues" dxfId="1195" priority="1261"/>
    <cfRule type="duplicateValues" dxfId="1194" priority="1262"/>
    <cfRule type="duplicateValues" dxfId="1193" priority="1264"/>
    <cfRule type="duplicateValues" dxfId="1192" priority="1266"/>
    <cfRule type="duplicateValues" dxfId="1191" priority="1267"/>
    <cfRule type="duplicateValues" dxfId="1190" priority="1268"/>
    <cfRule type="duplicateValues" dxfId="1189" priority="1269"/>
    <cfRule type="duplicateValues" dxfId="1188" priority="1270"/>
    <cfRule type="duplicateValues" dxfId="1187" priority="1271"/>
    <cfRule type="duplicateValues" dxfId="1186" priority="1272"/>
    <cfRule type="duplicateValues" dxfId="1185" priority="1273"/>
    <cfRule type="duplicateValues" dxfId="1184" priority="1274"/>
    <cfRule type="duplicateValues" dxfId="1183" priority="1275"/>
    <cfRule type="duplicateValues" dxfId="1182" priority="1276"/>
    <cfRule type="duplicateValues" dxfId="1181" priority="1263"/>
    <cfRule type="duplicateValues" dxfId="1180" priority="1324"/>
    <cfRule type="duplicateValues" dxfId="1179" priority="1323"/>
    <cfRule type="duplicateValues" dxfId="1178" priority="1322"/>
    <cfRule type="duplicateValues" dxfId="1177" priority="1321"/>
    <cfRule type="duplicateValues" dxfId="1176" priority="1320"/>
    <cfRule type="duplicateValues" dxfId="1175" priority="1319"/>
    <cfRule type="duplicateValues" dxfId="1174" priority="1318"/>
    <cfRule type="duplicateValues" dxfId="1173" priority="1317"/>
    <cfRule type="duplicateValues" dxfId="1172" priority="1309"/>
    <cfRule type="duplicateValues" dxfId="1171" priority="1316"/>
    <cfRule type="duplicateValues" dxfId="1170" priority="1315"/>
    <cfRule type="duplicateValues" dxfId="1169" priority="1314"/>
    <cfRule type="duplicateValues" dxfId="1168" priority="1313"/>
    <cfRule type="duplicateValues" dxfId="1167" priority="1312"/>
    <cfRule type="duplicateValues" dxfId="1166" priority="1311"/>
    <cfRule type="duplicateValues" dxfId="1165" priority="1310"/>
    <cfRule type="duplicateValues" dxfId="1164" priority="1308"/>
    <cfRule type="duplicateValues" dxfId="1163" priority="1307"/>
    <cfRule type="duplicateValues" dxfId="1162" priority="1306"/>
    <cfRule type="duplicateValues" dxfId="1161" priority="1305"/>
    <cfRule type="duplicateValues" dxfId="1160" priority="1304"/>
    <cfRule type="duplicateValues" dxfId="1159" priority="1303"/>
    <cfRule type="duplicateValues" dxfId="1158" priority="1302"/>
    <cfRule type="duplicateValues" dxfId="1157" priority="1301"/>
    <cfRule type="duplicateValues" dxfId="1156" priority="1300"/>
    <cfRule type="duplicateValues" dxfId="1155" priority="1299"/>
    <cfRule type="duplicateValues" dxfId="1154" priority="1298"/>
    <cfRule type="duplicateValues" dxfId="1153" priority="1297"/>
    <cfRule type="duplicateValues" dxfId="1152" priority="1265"/>
    <cfRule type="duplicateValues" dxfId="1151" priority="1295"/>
    <cfRule type="duplicateValues" dxfId="1150" priority="1294"/>
    <cfRule type="duplicateValues" dxfId="1149" priority="1293"/>
    <cfRule type="duplicateValues" dxfId="1148" priority="1292"/>
    <cfRule type="duplicateValues" dxfId="1147" priority="1291"/>
    <cfRule type="duplicateValues" dxfId="1146" priority="1290"/>
    <cfRule type="duplicateValues" dxfId="1145" priority="1289"/>
    <cfRule type="duplicateValues" dxfId="1144" priority="1288"/>
    <cfRule type="duplicateValues" dxfId="1143" priority="1287"/>
    <cfRule type="duplicateValues" dxfId="1142" priority="1286"/>
    <cfRule type="duplicateValues" dxfId="1141" priority="1285"/>
    <cfRule type="duplicateValues" dxfId="1140" priority="1284"/>
    <cfRule type="duplicateValues" dxfId="1139" priority="1283"/>
    <cfRule type="duplicateValues" dxfId="1138" priority="1282"/>
    <cfRule type="duplicateValues" dxfId="1137" priority="1281"/>
    <cfRule type="duplicateValues" dxfId="1136" priority="1280"/>
    <cfRule type="duplicateValues" dxfId="1135" priority="1279"/>
    <cfRule type="duplicateValues" dxfId="1134" priority="1278"/>
    <cfRule type="duplicateValues" dxfId="1133" priority="1277"/>
    <cfRule type="duplicateValues" dxfId="1132" priority="1296"/>
  </conditionalFormatting>
  <conditionalFormatting sqref="B190">
    <cfRule type="duplicateValues" dxfId="1131" priority="340"/>
    <cfRule type="duplicateValues" dxfId="1130" priority="339"/>
    <cfRule type="duplicateValues" dxfId="1129" priority="338"/>
    <cfRule type="duplicateValues" dxfId="1128" priority="337"/>
    <cfRule type="duplicateValues" dxfId="1127" priority="336"/>
    <cfRule type="duplicateValues" dxfId="1126" priority="335"/>
    <cfRule type="duplicateValues" dxfId="1125" priority="334"/>
    <cfRule type="duplicateValues" dxfId="1124" priority="333"/>
    <cfRule type="duplicateValues" dxfId="1123" priority="332"/>
    <cfRule type="duplicateValues" dxfId="1122" priority="331"/>
    <cfRule type="duplicateValues" dxfId="1121" priority="330"/>
    <cfRule type="duplicateValues" dxfId="1120" priority="329"/>
    <cfRule type="duplicateValues" dxfId="1119" priority="328"/>
    <cfRule type="duplicateValues" dxfId="1118" priority="327"/>
    <cfRule type="duplicateValues" dxfId="1117" priority="326"/>
    <cfRule type="duplicateValues" dxfId="1116" priority="325"/>
    <cfRule type="duplicateValues" dxfId="1115" priority="324"/>
    <cfRule type="duplicateValues" dxfId="1114" priority="323"/>
    <cfRule type="duplicateValues" dxfId="1113" priority="383"/>
    <cfRule type="duplicateValues" dxfId="1112" priority="564"/>
    <cfRule type="duplicateValues" dxfId="1111" priority="563"/>
    <cfRule type="duplicateValues" dxfId="1110" priority="562"/>
    <cfRule type="duplicateValues" dxfId="1109" priority="561"/>
    <cfRule type="duplicateValues" dxfId="1108" priority="560"/>
    <cfRule type="duplicateValues" dxfId="1107" priority="559"/>
    <cfRule type="duplicateValues" dxfId="1106" priority="558"/>
    <cfRule type="duplicateValues" dxfId="1105" priority="557"/>
    <cfRule type="duplicateValues" dxfId="1104" priority="556"/>
    <cfRule type="duplicateValues" dxfId="1103" priority="555"/>
    <cfRule type="duplicateValues" dxfId="1102" priority="554"/>
    <cfRule type="duplicateValues" dxfId="1101" priority="553"/>
    <cfRule type="duplicateValues" dxfId="1100" priority="552"/>
    <cfRule type="duplicateValues" dxfId="1099" priority="551"/>
    <cfRule type="duplicateValues" dxfId="1098" priority="550"/>
    <cfRule type="duplicateValues" dxfId="1097" priority="549"/>
    <cfRule type="duplicateValues" dxfId="1096" priority="548"/>
    <cfRule type="duplicateValues" dxfId="1095" priority="547"/>
    <cfRule type="duplicateValues" dxfId="1094" priority="546"/>
    <cfRule type="duplicateValues" dxfId="1093" priority="545"/>
    <cfRule type="duplicateValues" dxfId="1092" priority="544"/>
    <cfRule type="duplicateValues" dxfId="1091" priority="543"/>
    <cfRule type="duplicateValues" dxfId="1090" priority="542"/>
    <cfRule type="duplicateValues" dxfId="1089" priority="541"/>
    <cfRule type="duplicateValues" dxfId="1088" priority="540"/>
    <cfRule type="duplicateValues" dxfId="1087" priority="539"/>
    <cfRule type="duplicateValues" dxfId="1086" priority="538"/>
    <cfRule type="duplicateValues" dxfId="1085" priority="537"/>
    <cfRule type="duplicateValues" dxfId="1084" priority="536"/>
    <cfRule type="duplicateValues" dxfId="1083" priority="535"/>
    <cfRule type="duplicateValues" dxfId="1082" priority="534"/>
    <cfRule type="duplicateValues" dxfId="1081" priority="533"/>
    <cfRule type="duplicateValues" dxfId="1080" priority="532"/>
    <cfRule type="duplicateValues" dxfId="1079" priority="531"/>
    <cfRule type="duplicateValues" dxfId="1078" priority="530"/>
    <cfRule type="duplicateValues" dxfId="1077" priority="529"/>
    <cfRule type="duplicateValues" dxfId="1076" priority="528"/>
    <cfRule type="duplicateValues" dxfId="1075" priority="527"/>
    <cfRule type="duplicateValues" dxfId="1074" priority="526"/>
    <cfRule type="duplicateValues" dxfId="1073" priority="525"/>
    <cfRule type="duplicateValues" dxfId="1072" priority="524"/>
    <cfRule type="duplicateValues" dxfId="1071" priority="523"/>
    <cfRule type="duplicateValues" dxfId="1070" priority="522"/>
    <cfRule type="duplicateValues" dxfId="1069" priority="521"/>
    <cfRule type="duplicateValues" dxfId="1068" priority="520"/>
    <cfRule type="duplicateValues" dxfId="1067" priority="519"/>
    <cfRule type="duplicateValues" dxfId="1066" priority="518"/>
    <cfRule type="duplicateValues" dxfId="1065" priority="517"/>
    <cfRule type="duplicateValues" dxfId="1064" priority="516"/>
    <cfRule type="duplicateValues" dxfId="1063" priority="515"/>
    <cfRule type="duplicateValues" dxfId="1062" priority="514"/>
    <cfRule type="duplicateValues" dxfId="1061" priority="513"/>
    <cfRule type="duplicateValues" dxfId="1060" priority="512"/>
    <cfRule type="duplicateValues" dxfId="1059" priority="511"/>
    <cfRule type="duplicateValues" dxfId="1058" priority="510"/>
    <cfRule type="duplicateValues" dxfId="1057" priority="509"/>
    <cfRule type="duplicateValues" dxfId="1056" priority="508"/>
    <cfRule type="duplicateValues" dxfId="1055" priority="507"/>
    <cfRule type="duplicateValues" dxfId="1054" priority="506"/>
    <cfRule type="duplicateValues" dxfId="1053" priority="505"/>
    <cfRule type="duplicateValues" dxfId="1052" priority="504"/>
    <cfRule type="duplicateValues" dxfId="1051" priority="503"/>
    <cfRule type="duplicateValues" dxfId="1050" priority="502"/>
    <cfRule type="duplicateValues" dxfId="1049" priority="501"/>
    <cfRule type="duplicateValues" dxfId="1048" priority="500"/>
    <cfRule type="duplicateValues" dxfId="1047" priority="499"/>
    <cfRule type="duplicateValues" dxfId="1046" priority="498"/>
    <cfRule type="duplicateValues" dxfId="1045" priority="497"/>
    <cfRule type="duplicateValues" dxfId="1044" priority="496"/>
    <cfRule type="duplicateValues" dxfId="1043" priority="495"/>
    <cfRule type="duplicateValues" dxfId="1042" priority="494"/>
    <cfRule type="duplicateValues" dxfId="1041" priority="493"/>
    <cfRule type="duplicateValues" dxfId="1040" priority="492"/>
    <cfRule type="duplicateValues" dxfId="1039" priority="491"/>
    <cfRule type="duplicateValues" dxfId="1038" priority="490"/>
    <cfRule type="duplicateValues" dxfId="1037" priority="489"/>
    <cfRule type="duplicateValues" dxfId="1036" priority="488"/>
    <cfRule type="duplicateValues" dxfId="1035" priority="487"/>
    <cfRule type="duplicateValues" dxfId="1034" priority="486"/>
    <cfRule type="duplicateValues" dxfId="1033" priority="485"/>
    <cfRule type="duplicateValues" dxfId="1032" priority="484"/>
    <cfRule type="duplicateValues" dxfId="1031" priority="483"/>
    <cfRule type="duplicateValues" dxfId="1030" priority="482"/>
    <cfRule type="duplicateValues" dxfId="1029" priority="481"/>
    <cfRule type="duplicateValues" dxfId="1028" priority="480"/>
    <cfRule type="duplicateValues" dxfId="1027" priority="479"/>
    <cfRule type="duplicateValues" dxfId="1026" priority="478"/>
    <cfRule type="duplicateValues" dxfId="1025" priority="477"/>
    <cfRule type="duplicateValues" dxfId="1024" priority="476"/>
    <cfRule type="duplicateValues" dxfId="1023" priority="475"/>
    <cfRule type="duplicateValues" dxfId="1022" priority="474"/>
    <cfRule type="duplicateValues" dxfId="1021" priority="473"/>
    <cfRule type="duplicateValues" dxfId="1020" priority="472"/>
    <cfRule type="duplicateValues" dxfId="1019" priority="471"/>
    <cfRule type="duplicateValues" dxfId="1018" priority="470"/>
    <cfRule type="duplicateValues" dxfId="1017" priority="469"/>
    <cfRule type="duplicateValues" dxfId="1016" priority="468"/>
    <cfRule type="duplicateValues" dxfId="1015" priority="467"/>
    <cfRule type="duplicateValues" dxfId="1014" priority="466"/>
    <cfRule type="duplicateValues" dxfId="1013" priority="465"/>
    <cfRule type="duplicateValues" dxfId="1012" priority="464"/>
    <cfRule type="duplicateValues" dxfId="1011" priority="463"/>
    <cfRule type="duplicateValues" dxfId="1010" priority="462"/>
    <cfRule type="duplicateValues" dxfId="1009" priority="461"/>
    <cfRule type="duplicateValues" dxfId="1008" priority="460"/>
    <cfRule type="duplicateValues" dxfId="1007" priority="459"/>
    <cfRule type="duplicateValues" dxfId="1006" priority="458"/>
    <cfRule type="duplicateValues" dxfId="1005" priority="457"/>
    <cfRule type="duplicateValues" dxfId="1004" priority="456"/>
    <cfRule type="duplicateValues" dxfId="1003" priority="455"/>
    <cfRule type="duplicateValues" dxfId="1002" priority="454"/>
    <cfRule type="duplicateValues" dxfId="1001" priority="453"/>
    <cfRule type="duplicateValues" dxfId="1000" priority="452"/>
    <cfRule type="duplicateValues" dxfId="999" priority="451"/>
    <cfRule type="duplicateValues" dxfId="998" priority="450"/>
    <cfRule type="duplicateValues" dxfId="997" priority="449"/>
    <cfRule type="duplicateValues" dxfId="996" priority="448"/>
    <cfRule type="duplicateValues" dxfId="995" priority="447"/>
    <cfRule type="duplicateValues" dxfId="994" priority="446"/>
    <cfRule type="duplicateValues" dxfId="993" priority="445"/>
    <cfRule type="duplicateValues" dxfId="992" priority="444"/>
    <cfRule type="duplicateValues" dxfId="991" priority="443"/>
    <cfRule type="duplicateValues" dxfId="990" priority="442"/>
    <cfRule type="duplicateValues" dxfId="989" priority="441"/>
    <cfRule type="duplicateValues" dxfId="988" priority="440"/>
    <cfRule type="duplicateValues" dxfId="987" priority="439"/>
    <cfRule type="duplicateValues" dxfId="986" priority="438"/>
    <cfRule type="duplicateValues" dxfId="985" priority="437"/>
    <cfRule type="duplicateValues" dxfId="984" priority="436"/>
    <cfRule type="duplicateValues" dxfId="983" priority="435"/>
    <cfRule type="duplicateValues" dxfId="982" priority="434"/>
    <cfRule type="duplicateValues" dxfId="981" priority="433"/>
    <cfRule type="duplicateValues" dxfId="980" priority="432"/>
    <cfRule type="duplicateValues" dxfId="979" priority="431"/>
    <cfRule type="duplicateValues" dxfId="978" priority="430"/>
    <cfRule type="duplicateValues" dxfId="977" priority="429"/>
    <cfRule type="duplicateValues" dxfId="976" priority="428"/>
    <cfRule type="duplicateValues" dxfId="975" priority="427"/>
    <cfRule type="duplicateValues" dxfId="974" priority="426"/>
    <cfRule type="duplicateValues" dxfId="973" priority="425"/>
    <cfRule type="duplicateValues" dxfId="972" priority="424"/>
    <cfRule type="duplicateValues" dxfId="971" priority="423"/>
    <cfRule type="duplicateValues" dxfId="970" priority="422"/>
    <cfRule type="duplicateValues" dxfId="969" priority="421"/>
    <cfRule type="duplicateValues" dxfId="968" priority="420"/>
    <cfRule type="duplicateValues" dxfId="967" priority="419"/>
    <cfRule type="duplicateValues" dxfId="966" priority="418"/>
    <cfRule type="duplicateValues" dxfId="965" priority="417"/>
    <cfRule type="duplicateValues" dxfId="964" priority="416"/>
    <cfRule type="duplicateValues" dxfId="963" priority="415"/>
    <cfRule type="duplicateValues" dxfId="962" priority="414"/>
    <cfRule type="duplicateValues" dxfId="961" priority="413"/>
    <cfRule type="duplicateValues" dxfId="960" priority="412"/>
    <cfRule type="duplicateValues" dxfId="959" priority="411"/>
    <cfRule type="duplicateValues" dxfId="958" priority="410"/>
    <cfRule type="duplicateValues" dxfId="957" priority="409"/>
    <cfRule type="duplicateValues" dxfId="956" priority="408"/>
    <cfRule type="duplicateValues" dxfId="955" priority="407"/>
    <cfRule type="duplicateValues" dxfId="954" priority="406"/>
    <cfRule type="duplicateValues" dxfId="953" priority="405"/>
    <cfRule type="duplicateValues" dxfId="952" priority="404"/>
    <cfRule type="duplicateValues" dxfId="951" priority="403"/>
    <cfRule type="duplicateValues" dxfId="950" priority="402"/>
    <cfRule type="duplicateValues" dxfId="949" priority="401"/>
    <cfRule type="duplicateValues" dxfId="948" priority="400"/>
    <cfRule type="duplicateValues" dxfId="947" priority="399"/>
    <cfRule type="duplicateValues" dxfId="946" priority="398"/>
    <cfRule type="duplicateValues" dxfId="945" priority="397"/>
    <cfRule type="duplicateValues" dxfId="944" priority="396"/>
    <cfRule type="duplicateValues" dxfId="943" priority="395"/>
    <cfRule type="duplicateValues" dxfId="942" priority="394"/>
    <cfRule type="duplicateValues" dxfId="941" priority="393"/>
    <cfRule type="duplicateValues" dxfId="940" priority="392"/>
    <cfRule type="duplicateValues" dxfId="939" priority="391"/>
    <cfRule type="duplicateValues" dxfId="938" priority="390"/>
    <cfRule type="duplicateValues" dxfId="937" priority="389"/>
    <cfRule type="duplicateValues" dxfId="936" priority="388"/>
    <cfRule type="duplicateValues" dxfId="935" priority="387"/>
    <cfRule type="duplicateValues" dxfId="934" priority="386"/>
    <cfRule type="duplicateValues" dxfId="933" priority="385"/>
    <cfRule type="duplicateValues" dxfId="932" priority="384"/>
    <cfRule type="duplicateValues" dxfId="931" priority="382"/>
    <cfRule type="duplicateValues" dxfId="930" priority="381"/>
    <cfRule type="duplicateValues" dxfId="929" priority="380"/>
    <cfRule type="duplicateValues" dxfId="928" priority="379"/>
    <cfRule type="duplicateValues" dxfId="927" priority="378"/>
    <cfRule type="duplicateValues" dxfId="926" priority="377"/>
    <cfRule type="duplicateValues" dxfId="925" priority="376"/>
    <cfRule type="duplicateValues" dxfId="924" priority="375"/>
    <cfRule type="duplicateValues" dxfId="923" priority="374"/>
    <cfRule type="duplicateValues" dxfId="922" priority="373"/>
    <cfRule type="duplicateValues" dxfId="921" priority="372"/>
    <cfRule type="duplicateValues" dxfId="920" priority="371"/>
    <cfRule type="duplicateValues" dxfId="919" priority="370"/>
    <cfRule type="duplicateValues" dxfId="918" priority="369"/>
    <cfRule type="duplicateValues" dxfId="917" priority="368"/>
    <cfRule type="duplicateValues" dxfId="916" priority="367"/>
    <cfRule type="duplicateValues" dxfId="915" priority="366"/>
    <cfRule type="duplicateValues" dxfId="914" priority="365"/>
    <cfRule type="duplicateValues" dxfId="913" priority="364"/>
    <cfRule type="duplicateValues" dxfId="912" priority="363"/>
    <cfRule type="duplicateValues" dxfId="911" priority="362"/>
    <cfRule type="duplicateValues" dxfId="910" priority="361"/>
    <cfRule type="duplicateValues" dxfId="909" priority="360"/>
    <cfRule type="duplicateValues" dxfId="908" priority="359"/>
    <cfRule type="duplicateValues" dxfId="907" priority="358"/>
    <cfRule type="duplicateValues" dxfId="906" priority="357"/>
    <cfRule type="duplicateValues" dxfId="905" priority="356"/>
    <cfRule type="duplicateValues" dxfId="904" priority="355"/>
    <cfRule type="duplicateValues" dxfId="903" priority="354"/>
    <cfRule type="duplicateValues" dxfId="902" priority="353"/>
    <cfRule type="duplicateValues" dxfId="901" priority="352"/>
    <cfRule type="duplicateValues" dxfId="900" priority="351"/>
    <cfRule type="duplicateValues" dxfId="899" priority="350"/>
    <cfRule type="duplicateValues" dxfId="898" priority="349"/>
    <cfRule type="duplicateValues" dxfId="897" priority="348"/>
    <cfRule type="duplicateValues" dxfId="896" priority="347"/>
    <cfRule type="duplicateValues" dxfId="895" priority="346"/>
    <cfRule type="duplicateValues" dxfId="894" priority="345"/>
    <cfRule type="duplicateValues" dxfId="893" priority="344"/>
    <cfRule type="duplicateValues" dxfId="892" priority="343"/>
    <cfRule type="duplicateValues" dxfId="891" priority="342"/>
    <cfRule type="duplicateValues" dxfId="890" priority="341"/>
  </conditionalFormatting>
  <conditionalFormatting sqref="B191">
    <cfRule type="duplicateValues" dxfId="889" priority="242"/>
    <cfRule type="duplicateValues" dxfId="888" priority="315"/>
    <cfRule type="duplicateValues" dxfId="887" priority="316"/>
    <cfRule type="duplicateValues" dxfId="886" priority="317"/>
    <cfRule type="duplicateValues" dxfId="885" priority="318"/>
    <cfRule type="duplicateValues" dxfId="884" priority="319"/>
    <cfRule type="duplicateValues" dxfId="883" priority="320"/>
    <cfRule type="duplicateValues" dxfId="882" priority="241"/>
    <cfRule type="duplicateValues" dxfId="881" priority="240"/>
    <cfRule type="duplicateValues" dxfId="880" priority="239"/>
    <cfRule type="duplicateValues" dxfId="879" priority="238"/>
    <cfRule type="duplicateValues" dxfId="878" priority="248"/>
    <cfRule type="duplicateValues" dxfId="877" priority="237"/>
    <cfRule type="duplicateValues" dxfId="876" priority="235"/>
    <cfRule type="duplicateValues" dxfId="875" priority="234"/>
    <cfRule type="duplicateValues" dxfId="874" priority="233"/>
    <cfRule type="duplicateValues" dxfId="873" priority="232"/>
    <cfRule type="duplicateValues" dxfId="872" priority="231"/>
    <cfRule type="duplicateValues" dxfId="871" priority="206"/>
    <cfRule type="duplicateValues" dxfId="870" priority="205"/>
    <cfRule type="duplicateValues" dxfId="869" priority="204"/>
    <cfRule type="duplicateValues" dxfId="868" priority="203"/>
    <cfRule type="duplicateValues" dxfId="867" priority="202"/>
    <cfRule type="duplicateValues" dxfId="866" priority="230"/>
    <cfRule type="duplicateValues" dxfId="865" priority="229"/>
    <cfRule type="duplicateValues" dxfId="864" priority="228"/>
    <cfRule type="duplicateValues" dxfId="863" priority="321"/>
    <cfRule type="duplicateValues" dxfId="862" priority="322"/>
    <cfRule type="duplicateValues" dxfId="861" priority="207"/>
    <cfRule type="duplicateValues" dxfId="860" priority="227"/>
    <cfRule type="duplicateValues" dxfId="859" priority="226"/>
    <cfRule type="duplicateValues" dxfId="858" priority="225"/>
    <cfRule type="duplicateValues" dxfId="857" priority="224"/>
    <cfRule type="duplicateValues" dxfId="856" priority="211"/>
    <cfRule type="duplicateValues" dxfId="855" priority="212"/>
    <cfRule type="duplicateValues" dxfId="854" priority="213"/>
    <cfRule type="duplicateValues" dxfId="853" priority="236"/>
    <cfRule type="duplicateValues" dxfId="852" priority="214"/>
    <cfRule type="duplicateValues" dxfId="851" priority="208"/>
    <cfRule type="duplicateValues" dxfId="850" priority="209"/>
    <cfRule type="duplicateValues" dxfId="849" priority="210"/>
    <cfRule type="duplicateValues" dxfId="848" priority="215"/>
    <cfRule type="duplicateValues" dxfId="847" priority="216"/>
    <cfRule type="duplicateValues" dxfId="846" priority="217"/>
    <cfRule type="duplicateValues" dxfId="845" priority="218"/>
    <cfRule type="duplicateValues" dxfId="844" priority="219"/>
    <cfRule type="duplicateValues" dxfId="843" priority="220"/>
    <cfRule type="duplicateValues" dxfId="842" priority="221"/>
    <cfRule type="duplicateValues" dxfId="841" priority="222"/>
    <cfRule type="duplicateValues" dxfId="840" priority="223"/>
    <cfRule type="duplicateValues" dxfId="839" priority="247"/>
    <cfRule type="duplicateValues" dxfId="838" priority="246"/>
    <cfRule type="duplicateValues" dxfId="837" priority="245"/>
    <cfRule type="duplicateValues" dxfId="836" priority="244"/>
    <cfRule type="duplicateValues" dxfId="835" priority="243"/>
    <cfRule type="duplicateValues" dxfId="834" priority="249"/>
    <cfRule type="duplicateValues" dxfId="833" priority="250"/>
    <cfRule type="duplicateValues" dxfId="832" priority="251"/>
    <cfRule type="duplicateValues" dxfId="831" priority="252"/>
    <cfRule type="duplicateValues" dxfId="830" priority="253"/>
    <cfRule type="duplicateValues" dxfId="829" priority="254"/>
    <cfRule type="duplicateValues" dxfId="828" priority="255"/>
    <cfRule type="duplicateValues" dxfId="827" priority="256"/>
    <cfRule type="duplicateValues" dxfId="826" priority="271"/>
    <cfRule type="duplicateValues" dxfId="825" priority="257"/>
    <cfRule type="duplicateValues" dxfId="824" priority="270"/>
    <cfRule type="duplicateValues" dxfId="823" priority="269"/>
    <cfRule type="duplicateValues" dxfId="822" priority="268"/>
    <cfRule type="duplicateValues" dxfId="821" priority="267"/>
    <cfRule type="duplicateValues" dxfId="820" priority="266"/>
    <cfRule type="duplicateValues" dxfId="819" priority="265"/>
    <cfRule type="duplicateValues" dxfId="818" priority="264"/>
    <cfRule type="duplicateValues" dxfId="817" priority="258"/>
    <cfRule type="duplicateValues" dxfId="816" priority="259"/>
    <cfRule type="duplicateValues" dxfId="815" priority="260"/>
    <cfRule type="duplicateValues" dxfId="814" priority="261"/>
    <cfRule type="duplicateValues" dxfId="813" priority="262"/>
    <cfRule type="duplicateValues" dxfId="812" priority="263"/>
    <cfRule type="duplicateValues" dxfId="811" priority="314"/>
    <cfRule type="duplicateValues" dxfId="810" priority="313"/>
    <cfRule type="duplicateValues" dxfId="809" priority="312"/>
    <cfRule type="duplicateValues" dxfId="808" priority="311"/>
    <cfRule type="duplicateValues" dxfId="807" priority="310"/>
    <cfRule type="duplicateValues" dxfId="806" priority="309"/>
    <cfRule type="duplicateValues" dxfId="805" priority="308"/>
    <cfRule type="duplicateValues" dxfId="804" priority="307"/>
    <cfRule type="duplicateValues" dxfId="803" priority="306"/>
    <cfRule type="duplicateValues" dxfId="802" priority="305"/>
    <cfRule type="duplicateValues" dxfId="801" priority="304"/>
    <cfRule type="duplicateValues" dxfId="800" priority="303"/>
    <cfRule type="duplicateValues" dxfId="799" priority="302"/>
    <cfRule type="duplicateValues" dxfId="798" priority="301"/>
    <cfRule type="duplicateValues" dxfId="797" priority="300"/>
    <cfRule type="duplicateValues" dxfId="796" priority="299"/>
    <cfRule type="duplicateValues" dxfId="795" priority="298"/>
    <cfRule type="duplicateValues" dxfId="794" priority="297"/>
    <cfRule type="duplicateValues" dxfId="793" priority="296"/>
    <cfRule type="duplicateValues" dxfId="792" priority="295"/>
    <cfRule type="duplicateValues" dxfId="791" priority="273"/>
    <cfRule type="duplicateValues" dxfId="790" priority="272"/>
    <cfRule type="duplicateValues" dxfId="789" priority="294"/>
    <cfRule type="duplicateValues" dxfId="788" priority="293"/>
    <cfRule type="duplicateValues" dxfId="787" priority="292"/>
    <cfRule type="duplicateValues" dxfId="786" priority="291"/>
    <cfRule type="duplicateValues" dxfId="785" priority="290"/>
    <cfRule type="duplicateValues" dxfId="784" priority="289"/>
    <cfRule type="duplicateValues" dxfId="783" priority="288"/>
    <cfRule type="duplicateValues" dxfId="782" priority="287"/>
    <cfRule type="duplicateValues" dxfId="781" priority="286"/>
    <cfRule type="duplicateValues" dxfId="780" priority="285"/>
    <cfRule type="duplicateValues" dxfId="779" priority="284"/>
    <cfRule type="duplicateValues" dxfId="778" priority="283"/>
    <cfRule type="duplicateValues" dxfId="777" priority="282"/>
    <cfRule type="duplicateValues" dxfId="776" priority="281"/>
    <cfRule type="duplicateValues" dxfId="775" priority="280"/>
    <cfRule type="duplicateValues" dxfId="774" priority="279"/>
    <cfRule type="duplicateValues" dxfId="773" priority="278"/>
    <cfRule type="duplicateValues" dxfId="772" priority="277"/>
    <cfRule type="duplicateValues" dxfId="771" priority="276"/>
    <cfRule type="duplicateValues" dxfId="770" priority="275"/>
    <cfRule type="duplicateValues" dxfId="769" priority="274"/>
  </conditionalFormatting>
  <conditionalFormatting sqref="B192:B193">
    <cfRule type="duplicateValues" dxfId="768" priority="46"/>
    <cfRule type="duplicateValues" dxfId="767" priority="45"/>
    <cfRule type="duplicateValues" dxfId="766" priority="44"/>
    <cfRule type="duplicateValues" dxfId="765" priority="43"/>
    <cfRule type="duplicateValues" dxfId="764" priority="42"/>
    <cfRule type="duplicateValues" dxfId="763" priority="41"/>
    <cfRule type="duplicateValues" dxfId="762" priority="40"/>
    <cfRule type="duplicateValues" dxfId="761" priority="39"/>
    <cfRule type="duplicateValues" dxfId="760" priority="38"/>
    <cfRule type="duplicateValues" dxfId="759" priority="37"/>
    <cfRule type="duplicateValues" dxfId="758" priority="36"/>
    <cfRule type="duplicateValues" dxfId="757" priority="35"/>
    <cfRule type="duplicateValues" dxfId="756" priority="34"/>
    <cfRule type="duplicateValues" dxfId="755" priority="33"/>
    <cfRule type="duplicateValues" dxfId="754" priority="32"/>
    <cfRule type="duplicateValues" dxfId="753" priority="31"/>
    <cfRule type="duplicateValues" dxfId="752" priority="30"/>
    <cfRule type="duplicateValues" dxfId="751" priority="29"/>
    <cfRule type="duplicateValues" dxfId="750" priority="28"/>
    <cfRule type="duplicateValues" dxfId="749" priority="27"/>
    <cfRule type="duplicateValues" dxfId="748" priority="26"/>
    <cfRule type="duplicateValues" dxfId="747" priority="25"/>
    <cfRule type="duplicateValues" dxfId="746" priority="24"/>
    <cfRule type="duplicateValues" dxfId="745" priority="23"/>
    <cfRule type="duplicateValues" dxfId="744" priority="22"/>
    <cfRule type="duplicateValues" dxfId="743" priority="95"/>
    <cfRule type="duplicateValues" dxfId="742" priority="71"/>
    <cfRule type="duplicateValues" dxfId="741" priority="10"/>
    <cfRule type="duplicateValues" dxfId="740" priority="11"/>
    <cfRule type="duplicateValues" dxfId="739" priority="12"/>
    <cfRule type="duplicateValues" dxfId="738" priority="13"/>
    <cfRule type="duplicateValues" dxfId="737" priority="14"/>
    <cfRule type="duplicateValues" dxfId="736" priority="15"/>
    <cfRule type="duplicateValues" dxfId="735" priority="16"/>
    <cfRule type="duplicateValues" dxfId="734" priority="17"/>
    <cfRule type="duplicateValues" dxfId="733" priority="18"/>
    <cfRule type="duplicateValues" dxfId="732" priority="19"/>
    <cfRule type="duplicateValues" dxfId="731" priority="20"/>
    <cfRule type="duplicateValues" dxfId="730" priority="105"/>
    <cfRule type="duplicateValues" dxfId="729" priority="104"/>
    <cfRule type="duplicateValues" dxfId="728" priority="103"/>
    <cfRule type="duplicateValues" dxfId="727" priority="102"/>
    <cfRule type="duplicateValues" dxfId="726" priority="101"/>
    <cfRule type="duplicateValues" dxfId="725" priority="100"/>
    <cfRule type="duplicateValues" dxfId="724" priority="99"/>
    <cfRule type="duplicateValues" dxfId="723" priority="98"/>
    <cfRule type="duplicateValues" dxfId="722" priority="97"/>
    <cfRule type="duplicateValues" dxfId="721" priority="96"/>
    <cfRule type="duplicateValues" dxfId="720" priority="94"/>
    <cfRule type="duplicateValues" dxfId="719" priority="90"/>
    <cfRule type="duplicateValues" dxfId="718" priority="89"/>
    <cfRule type="duplicateValues" dxfId="717" priority="88"/>
    <cfRule type="duplicateValues" dxfId="716" priority="87"/>
    <cfRule type="duplicateValues" dxfId="715" priority="86"/>
    <cfRule type="duplicateValues" dxfId="714" priority="85"/>
    <cfRule type="duplicateValues" dxfId="713" priority="84"/>
    <cfRule type="duplicateValues" dxfId="712" priority="83"/>
    <cfRule type="duplicateValues" dxfId="711" priority="82"/>
    <cfRule type="duplicateValues" dxfId="710" priority="81"/>
    <cfRule type="duplicateValues" dxfId="709" priority="80"/>
    <cfRule type="duplicateValues" dxfId="708" priority="79"/>
    <cfRule type="duplicateValues" dxfId="707" priority="78"/>
    <cfRule type="duplicateValues" dxfId="706" priority="77"/>
    <cfRule type="duplicateValues" dxfId="705" priority="76"/>
    <cfRule type="duplicateValues" dxfId="704" priority="75"/>
    <cfRule type="duplicateValues" dxfId="703" priority="74"/>
    <cfRule type="duplicateValues" dxfId="702" priority="73"/>
    <cfRule type="duplicateValues" dxfId="701" priority="72"/>
    <cfRule type="duplicateValues" dxfId="700" priority="70"/>
    <cfRule type="duplicateValues" dxfId="699" priority="21"/>
    <cfRule type="duplicateValues" dxfId="698" priority="69"/>
    <cfRule type="duplicateValues" dxfId="697" priority="68"/>
    <cfRule type="duplicateValues" dxfId="696" priority="67"/>
    <cfRule type="duplicateValues" dxfId="695" priority="66"/>
    <cfRule type="duplicateValues" dxfId="694" priority="65"/>
    <cfRule type="duplicateValues" dxfId="693" priority="64"/>
    <cfRule type="duplicateValues" dxfId="692" priority="63"/>
    <cfRule type="duplicateValues" dxfId="691" priority="62"/>
    <cfRule type="duplicateValues" dxfId="690" priority="61"/>
    <cfRule type="duplicateValues" dxfId="689" priority="60"/>
    <cfRule type="duplicateValues" dxfId="688" priority="59"/>
    <cfRule type="duplicateValues" dxfId="687" priority="58"/>
    <cfRule type="duplicateValues" dxfId="686" priority="57"/>
    <cfRule type="duplicateValues" dxfId="685" priority="56"/>
    <cfRule type="duplicateValues" dxfId="684" priority="55"/>
    <cfRule type="duplicateValues" dxfId="683" priority="54"/>
    <cfRule type="duplicateValues" dxfId="682" priority="53"/>
    <cfRule type="duplicateValues" dxfId="681" priority="52"/>
    <cfRule type="duplicateValues" dxfId="680" priority="51"/>
    <cfRule type="duplicateValues" dxfId="679" priority="50"/>
    <cfRule type="duplicateValues" dxfId="678" priority="49"/>
    <cfRule type="duplicateValues" dxfId="677" priority="48"/>
    <cfRule type="duplicateValues" dxfId="676" priority="47"/>
  </conditionalFormatting>
  <conditionalFormatting sqref="B194:B232">
    <cfRule type="duplicateValues" dxfId="675" priority="10155"/>
  </conditionalFormatting>
  <conditionalFormatting sqref="B233:B1048576">
    <cfRule type="duplicateValues" dxfId="674" priority="13292"/>
  </conditionalFormatting>
  <conditionalFormatting sqref="B194:C232">
    <cfRule type="duplicateValues" dxfId="673" priority="10156"/>
  </conditionalFormatting>
  <conditionalFormatting sqref="C1:E1 G1:K1">
    <cfRule type="duplicateValues" dxfId="672" priority="5779"/>
    <cfRule type="duplicateValues" dxfId="671" priority="5778"/>
    <cfRule type="duplicateValues" dxfId="670" priority="5777"/>
    <cfRule type="duplicateValues" dxfId="669" priority="5780"/>
    <cfRule type="duplicateValues" dxfId="668" priority="5781"/>
    <cfRule type="duplicateValues" dxfId="667" priority="5782"/>
  </conditionalFormatting>
  <conditionalFormatting sqref="I99:I101">
    <cfRule type="containsText" dxfId="666" priority="4691" operator="containsText" text="PENDIENTE">
      <formula>NOT(ISERROR(SEARCH("PENDIENTE",I99)))</formula>
    </cfRule>
    <cfRule type="containsText" dxfId="665" priority="4690" operator="containsText" text="POR ENVIAR">
      <formula>NOT(ISERROR(SEARCH("POR ENVIAR",I99)))</formula>
    </cfRule>
    <cfRule type="containsText" dxfId="664" priority="4689" operator="containsText" text="ENVIADO">
      <formula>NOT(ISERROR(SEARCH("ENVIADO",I99)))</formula>
    </cfRule>
    <cfRule type="containsText" dxfId="663" priority="4688" operator="containsText" text="SEND">
      <formula>NOT(ISERROR(SEARCH("SEND",I99)))</formula>
    </cfRule>
  </conditionalFormatting>
  <conditionalFormatting sqref="J99:J101">
    <cfRule type="containsText" dxfId="662" priority="4687" operator="containsText" text="PENDIENTE">
      <formula>NOT(ISERROR(SEARCH("PENDIENTE",J99)))</formula>
    </cfRule>
  </conditionalFormatting>
  <conditionalFormatting sqref="L194:L1048576">
    <cfRule type="containsText" dxfId="661" priority="5974" operator="containsText" text="SIN REGISTRO">
      <formula>NOT(ISERROR(SEARCH("SIN REGISTRO",L194)))</formula>
    </cfRule>
  </conditionalFormatting>
  <conditionalFormatting sqref="N1:N181 N191:N193">
    <cfRule type="duplicateValues" dxfId="660" priority="5770"/>
    <cfRule type="duplicateValues" dxfId="659" priority="5776"/>
    <cfRule type="duplicateValues" dxfId="658" priority="5775"/>
    <cfRule type="duplicateValues" dxfId="657" priority="5774"/>
    <cfRule type="duplicateValues" dxfId="656" priority="5725"/>
    <cfRule type="duplicateValues" dxfId="655" priority="5724"/>
    <cfRule type="duplicateValues" dxfId="654" priority="5726"/>
    <cfRule type="duplicateValues" dxfId="653" priority="5727"/>
    <cfRule type="duplicateValues" dxfId="652" priority="5730"/>
    <cfRule type="duplicateValues" dxfId="651" priority="5751"/>
    <cfRule type="duplicateValues" dxfId="650" priority="5752"/>
    <cfRule type="duplicateValues" dxfId="649" priority="5753"/>
    <cfRule type="duplicateValues" dxfId="648" priority="5754"/>
    <cfRule type="duplicateValues" dxfId="647" priority="5720"/>
    <cfRule type="duplicateValues" dxfId="646" priority="5772"/>
    <cfRule type="duplicateValues" dxfId="645" priority="5771"/>
    <cfRule type="duplicateValues" dxfId="644" priority="5773"/>
  </conditionalFormatting>
  <conditionalFormatting sqref="N8">
    <cfRule type="duplicateValues" dxfId="643" priority="5315"/>
    <cfRule type="duplicateValues" dxfId="642" priority="5316"/>
    <cfRule type="duplicateValues" dxfId="641" priority="5317"/>
    <cfRule type="duplicateValues" dxfId="640" priority="5318"/>
    <cfRule type="duplicateValues" dxfId="639" priority="5319"/>
    <cfRule type="duplicateValues" dxfId="638" priority="5320"/>
    <cfRule type="duplicateValues" dxfId="637" priority="5321"/>
    <cfRule type="duplicateValues" dxfId="636" priority="5313"/>
    <cfRule type="duplicateValues" dxfId="635" priority="5304"/>
    <cfRule type="duplicateValues" dxfId="634" priority="5303"/>
    <cfRule type="duplicateValues" dxfId="633" priority="5305"/>
    <cfRule type="duplicateValues" dxfId="632" priority="5306"/>
    <cfRule type="duplicateValues" dxfId="631" priority="5307"/>
    <cfRule type="duplicateValues" dxfId="630" priority="5308"/>
    <cfRule type="duplicateValues" dxfId="629" priority="5309"/>
    <cfRule type="duplicateValues" dxfId="628" priority="5310"/>
    <cfRule type="duplicateValues" dxfId="627" priority="5322"/>
    <cfRule type="duplicateValues" dxfId="626" priority="5323"/>
    <cfRule type="duplicateValues" dxfId="625" priority="5324"/>
    <cfRule type="duplicateValues" dxfId="624" priority="5311"/>
    <cfRule type="duplicateValues" dxfId="623" priority="5312"/>
    <cfRule type="duplicateValues" dxfId="622" priority="5301"/>
    <cfRule type="duplicateValues" dxfId="621" priority="5300"/>
    <cfRule type="duplicateValues" dxfId="620" priority="5299"/>
    <cfRule type="duplicateValues" dxfId="619" priority="5298"/>
    <cfRule type="duplicateValues" dxfId="618" priority="5297"/>
    <cfRule type="duplicateValues" dxfId="617" priority="5296"/>
    <cfRule type="duplicateValues" dxfId="616" priority="5295"/>
    <cfRule type="duplicateValues" dxfId="615" priority="5325"/>
    <cfRule type="duplicateValues" dxfId="614" priority="5293"/>
    <cfRule type="duplicateValues" dxfId="613" priority="5292"/>
    <cfRule type="duplicateValues" dxfId="612" priority="5291"/>
    <cfRule type="duplicateValues" dxfId="611" priority="5314"/>
    <cfRule type="duplicateValues" dxfId="610" priority="5302"/>
    <cfRule type="duplicateValues" dxfId="609" priority="5294"/>
  </conditionalFormatting>
  <conditionalFormatting sqref="N11">
    <cfRule type="duplicateValues" dxfId="608" priority="5287"/>
    <cfRule type="duplicateValues" dxfId="607" priority="5285"/>
    <cfRule type="duplicateValues" dxfId="606" priority="5286"/>
  </conditionalFormatting>
  <conditionalFormatting sqref="N14:N15">
    <cfRule type="duplicateValues" dxfId="605" priority="5290"/>
    <cfRule type="duplicateValues" dxfId="604" priority="5289"/>
    <cfRule type="duplicateValues" dxfId="603" priority="5288"/>
  </conditionalFormatting>
  <conditionalFormatting sqref="N20:N23">
    <cfRule type="duplicateValues" dxfId="602" priority="5279"/>
    <cfRule type="duplicateValues" dxfId="601" priority="5278"/>
    <cfRule type="duplicateValues" dxfId="600" priority="5280"/>
  </conditionalFormatting>
  <conditionalFormatting sqref="N24:N48">
    <cfRule type="duplicateValues" dxfId="599" priority="5275"/>
    <cfRule type="duplicateValues" dxfId="598" priority="5276"/>
    <cfRule type="duplicateValues" dxfId="597" priority="5277"/>
  </conditionalFormatting>
  <conditionalFormatting sqref="N61">
    <cfRule type="duplicateValues" dxfId="596" priority="5212"/>
    <cfRule type="duplicateValues" dxfId="595" priority="5213"/>
    <cfRule type="duplicateValues" dxfId="594" priority="5214"/>
    <cfRule type="duplicateValues" dxfId="593" priority="5215"/>
    <cfRule type="duplicateValues" dxfId="592" priority="5216"/>
    <cfRule type="duplicateValues" dxfId="591" priority="5217"/>
    <cfRule type="duplicateValues" dxfId="590" priority="5218"/>
    <cfRule type="duplicateValues" dxfId="589" priority="5219"/>
    <cfRule type="duplicateValues" dxfId="588" priority="5220"/>
    <cfRule type="duplicateValues" dxfId="587" priority="5221"/>
    <cfRule type="duplicateValues" dxfId="586" priority="5222"/>
    <cfRule type="duplicateValues" dxfId="585" priority="5223"/>
    <cfRule type="duplicateValues" dxfId="584" priority="5224"/>
    <cfRule type="duplicateValues" dxfId="583" priority="5225"/>
    <cfRule type="duplicateValues" dxfId="582" priority="5205"/>
    <cfRule type="duplicateValues" dxfId="581" priority="5206"/>
    <cfRule type="duplicateValues" dxfId="580" priority="5207"/>
    <cfRule type="duplicateValues" dxfId="579" priority="5208"/>
    <cfRule type="duplicateValues" dxfId="578" priority="5209"/>
    <cfRule type="duplicateValues" dxfId="577" priority="5210"/>
    <cfRule type="duplicateValues" dxfId="576" priority="5211"/>
  </conditionalFormatting>
  <conditionalFormatting sqref="N62:N72 N49:N60">
    <cfRule type="duplicateValues" dxfId="575" priority="5226"/>
    <cfRule type="duplicateValues" dxfId="574" priority="5227"/>
    <cfRule type="duplicateValues" dxfId="573" priority="5228"/>
  </conditionalFormatting>
  <conditionalFormatting sqref="N66:N72">
    <cfRule type="duplicateValues" dxfId="572" priority="5202"/>
    <cfRule type="duplicateValues" dxfId="571" priority="5201"/>
    <cfRule type="duplicateValues" dxfId="570" priority="5200"/>
    <cfRule type="duplicateValues" dxfId="569" priority="5199"/>
    <cfRule type="duplicateValues" dxfId="568" priority="5203"/>
    <cfRule type="duplicateValues" dxfId="567" priority="5204"/>
  </conditionalFormatting>
  <conditionalFormatting sqref="N73:N84">
    <cfRule type="duplicateValues" dxfId="566" priority="5118"/>
    <cfRule type="duplicateValues" dxfId="565" priority="5117"/>
    <cfRule type="duplicateValues" dxfId="564" priority="5116"/>
  </conditionalFormatting>
  <conditionalFormatting sqref="N85:N86">
    <cfRule type="duplicateValues" dxfId="563" priority="4988"/>
    <cfRule type="duplicateValues" dxfId="562" priority="4989"/>
    <cfRule type="duplicateValues" dxfId="561" priority="4990"/>
  </conditionalFormatting>
  <conditionalFormatting sqref="N87">
    <cfRule type="duplicateValues" dxfId="560" priority="4943"/>
    <cfRule type="duplicateValues" dxfId="559" priority="4944"/>
    <cfRule type="duplicateValues" dxfId="558" priority="4945"/>
    <cfRule type="duplicateValues" dxfId="557" priority="4940"/>
    <cfRule type="duplicateValues" dxfId="556" priority="4941"/>
    <cfRule type="duplicateValues" dxfId="555" priority="4942"/>
  </conditionalFormatting>
  <conditionalFormatting sqref="N88">
    <cfRule type="duplicateValues" dxfId="554" priority="4888"/>
    <cfRule type="duplicateValues" dxfId="553" priority="4890"/>
    <cfRule type="duplicateValues" dxfId="552" priority="4891"/>
    <cfRule type="duplicateValues" dxfId="551" priority="4892"/>
    <cfRule type="duplicateValues" dxfId="550" priority="4893"/>
    <cfRule type="duplicateValues" dxfId="549" priority="4894"/>
    <cfRule type="duplicateValues" dxfId="548" priority="4895"/>
    <cfRule type="duplicateValues" dxfId="547" priority="4896"/>
    <cfRule type="duplicateValues" dxfId="546" priority="4897"/>
    <cfRule type="duplicateValues" dxfId="545" priority="4898"/>
    <cfRule type="duplicateValues" dxfId="544" priority="4899"/>
    <cfRule type="duplicateValues" dxfId="543" priority="4881"/>
    <cfRule type="duplicateValues" dxfId="542" priority="4889"/>
    <cfRule type="duplicateValues" dxfId="541" priority="4882"/>
    <cfRule type="duplicateValues" dxfId="540" priority="4880"/>
    <cfRule type="duplicateValues" dxfId="539" priority="4879"/>
    <cfRule type="duplicateValues" dxfId="538" priority="4878"/>
    <cfRule type="duplicateValues" dxfId="537" priority="4883"/>
    <cfRule type="duplicateValues" dxfId="536" priority="4876"/>
    <cfRule type="duplicateValues" dxfId="535" priority="4875"/>
    <cfRule type="duplicateValues" dxfId="534" priority="4874"/>
    <cfRule type="duplicateValues" dxfId="533" priority="4873"/>
    <cfRule type="duplicateValues" dxfId="532" priority="4872"/>
    <cfRule type="duplicateValues" dxfId="531" priority="4871"/>
    <cfRule type="duplicateValues" dxfId="530" priority="4870"/>
    <cfRule type="duplicateValues" dxfId="529" priority="4877"/>
    <cfRule type="duplicateValues" dxfId="528" priority="4884"/>
    <cfRule type="duplicateValues" dxfId="527" priority="4885"/>
    <cfRule type="duplicateValues" dxfId="526" priority="4886"/>
    <cfRule type="duplicateValues" dxfId="525" priority="4887"/>
    <cfRule type="duplicateValues" dxfId="524" priority="4869"/>
  </conditionalFormatting>
  <conditionalFormatting sqref="N89:N146 N148:N181 N1:N84 N191:N193">
    <cfRule type="duplicateValues" dxfId="523" priority="5765"/>
    <cfRule type="duplicateValues" dxfId="522" priority="5764"/>
  </conditionalFormatting>
  <conditionalFormatting sqref="N89:N181 N1:N84 N191:N193">
    <cfRule type="duplicateValues" dxfId="521" priority="5760"/>
    <cfRule type="duplicateValues" dxfId="520" priority="5759"/>
    <cfRule type="duplicateValues" dxfId="519" priority="5758"/>
    <cfRule type="duplicateValues" dxfId="518" priority="5757"/>
    <cfRule type="duplicateValues" dxfId="517" priority="5755"/>
    <cfRule type="duplicateValues" dxfId="516" priority="5769"/>
    <cfRule type="duplicateValues" dxfId="515" priority="5768"/>
    <cfRule type="duplicateValues" dxfId="514" priority="5767"/>
    <cfRule type="duplicateValues" dxfId="513" priority="5766"/>
  </conditionalFormatting>
  <conditionalFormatting sqref="N89:N181 N1:N86 N191:N193">
    <cfRule type="duplicateValues" dxfId="512" priority="5756"/>
  </conditionalFormatting>
  <conditionalFormatting sqref="N89:N181 N1:N87 N191:N193">
    <cfRule type="duplicateValues" dxfId="511" priority="5762"/>
    <cfRule type="duplicateValues" dxfId="510" priority="5761"/>
    <cfRule type="duplicateValues" dxfId="509" priority="5763"/>
  </conditionalFormatting>
  <conditionalFormatting sqref="N91:N96">
    <cfRule type="duplicateValues" dxfId="508" priority="4783"/>
    <cfRule type="duplicateValues" dxfId="507" priority="4781"/>
    <cfRule type="duplicateValues" dxfId="506" priority="4782"/>
  </conditionalFormatting>
  <conditionalFormatting sqref="N96 N91">
    <cfRule type="duplicateValues" dxfId="505" priority="4777"/>
    <cfRule type="duplicateValues" dxfId="504" priority="4779"/>
    <cfRule type="duplicateValues" dxfId="503" priority="4780"/>
    <cfRule type="duplicateValues" dxfId="502" priority="4778"/>
  </conditionalFormatting>
  <conditionalFormatting sqref="N97:N98">
    <cfRule type="duplicateValues" dxfId="501" priority="4736"/>
    <cfRule type="duplicateValues" dxfId="500" priority="4735"/>
    <cfRule type="duplicateValues" dxfId="499" priority="4734"/>
  </conditionalFormatting>
  <conditionalFormatting sqref="N115">
    <cfRule type="duplicateValues" dxfId="498" priority="3515"/>
    <cfRule type="duplicateValues" dxfId="497" priority="3516"/>
    <cfRule type="duplicateValues" dxfId="496" priority="3517"/>
  </conditionalFormatting>
  <conditionalFormatting sqref="N116:N132">
    <cfRule type="duplicateValues" dxfId="495" priority="3514"/>
    <cfRule type="duplicateValues" dxfId="494" priority="3512"/>
    <cfRule type="duplicateValues" dxfId="493" priority="3513"/>
  </conditionalFormatting>
  <conditionalFormatting sqref="N147">
    <cfRule type="duplicateValues" dxfId="492" priority="2110"/>
    <cfRule type="duplicateValues" dxfId="491" priority="2120"/>
    <cfRule type="duplicateValues" dxfId="490" priority="2122"/>
    <cfRule type="duplicateValues" dxfId="489" priority="2121"/>
    <cfRule type="duplicateValues" dxfId="488" priority="2119"/>
    <cfRule type="duplicateValues" dxfId="487" priority="2118"/>
    <cfRule type="duplicateValues" dxfId="486" priority="2117"/>
    <cfRule type="duplicateValues" dxfId="485" priority="2116"/>
    <cfRule type="duplicateValues" dxfId="484" priority="2115"/>
    <cfRule type="duplicateValues" dxfId="483" priority="2114"/>
    <cfRule type="duplicateValues" dxfId="482" priority="2112"/>
    <cfRule type="duplicateValues" dxfId="481" priority="2113"/>
    <cfRule type="duplicateValues" dxfId="480" priority="2111"/>
  </conditionalFormatting>
  <conditionalFormatting sqref="N148:N160 N99:N146 N163:N181 N191:N193">
    <cfRule type="duplicateValues" dxfId="479" priority="4606"/>
  </conditionalFormatting>
  <conditionalFormatting sqref="N153:N154">
    <cfRule type="duplicateValues" dxfId="478" priority="1986"/>
    <cfRule type="duplicateValues" dxfId="477" priority="1987"/>
    <cfRule type="duplicateValues" dxfId="476" priority="1988"/>
  </conditionalFormatting>
  <conditionalFormatting sqref="N155:N160">
    <cfRule type="duplicateValues" dxfId="475" priority="1864"/>
    <cfRule type="duplicateValues" dxfId="474" priority="1863"/>
    <cfRule type="duplicateValues" dxfId="473" priority="1862"/>
  </conditionalFormatting>
  <conditionalFormatting sqref="N161:N162">
    <cfRule type="duplicateValues" dxfId="472" priority="1738"/>
    <cfRule type="duplicateValues" dxfId="471" priority="1739"/>
    <cfRule type="duplicateValues" dxfId="470" priority="1740"/>
  </conditionalFormatting>
  <conditionalFormatting sqref="N163:N175 N148:N152 N133:N146 N99:N114 N89:N90 N12:N13 N9:N10 N1:N7 N16:N19 N191:N193">
    <cfRule type="duplicateValues" dxfId="469" priority="5749"/>
    <cfRule type="duplicateValues" dxfId="468" priority="5748"/>
    <cfRule type="duplicateValues" dxfId="467" priority="5750"/>
  </conditionalFormatting>
  <conditionalFormatting sqref="N163:N175 N148:N152 N133:N146 N99:N114 N89:N90 N12:N13 N9:N10 N1:N7 N16:N23 N191:N193">
    <cfRule type="duplicateValues" dxfId="466" priority="5747"/>
    <cfRule type="duplicateValues" dxfId="465" priority="5746"/>
    <cfRule type="duplicateValues" dxfId="464" priority="5745"/>
    <cfRule type="duplicateValues" dxfId="463" priority="5744"/>
  </conditionalFormatting>
  <conditionalFormatting sqref="N163:N175 N148:N152 N133:N146 N99:N114 N89:N90 N49:N72 N12:N13 N9:N10 N1:N7 N16:N23 N191:N193">
    <cfRule type="duplicateValues" dxfId="462" priority="5743"/>
    <cfRule type="duplicateValues" dxfId="461" priority="5742"/>
  </conditionalFormatting>
  <conditionalFormatting sqref="N163:N175 N148:N152 N133:N146 N99:N114 N89:N90 N49:N84 N12:N13 N1:N10 N16:N23 N191:N193">
    <cfRule type="duplicateValues" dxfId="460" priority="5741"/>
    <cfRule type="duplicateValues" dxfId="459" priority="5740"/>
    <cfRule type="duplicateValues" dxfId="458" priority="5739"/>
    <cfRule type="duplicateValues" dxfId="457" priority="5738"/>
  </conditionalFormatting>
  <conditionalFormatting sqref="N174:N175 N148:N152 N141:N143 N133:N139 N99:N114 N89:N90 N191">
    <cfRule type="duplicateValues" dxfId="456" priority="4824"/>
  </conditionalFormatting>
  <conditionalFormatting sqref="N176:N181">
    <cfRule type="duplicateValues" dxfId="455" priority="1494"/>
    <cfRule type="duplicateValues" dxfId="454" priority="1493"/>
    <cfRule type="duplicateValues" dxfId="453" priority="1492"/>
  </conditionalFormatting>
  <conditionalFormatting sqref="N182:N190">
    <cfRule type="duplicateValues" dxfId="452" priority="822"/>
  </conditionalFormatting>
  <conditionalFormatting sqref="O8">
    <cfRule type="containsText" dxfId="451" priority="5284" operator="containsText" text="SIN BOUCHER">
      <formula>NOT(ISERROR(SEARCH("SIN BOUCHER",O8)))</formula>
    </cfRule>
  </conditionalFormatting>
  <conditionalFormatting sqref="P4">
    <cfRule type="containsText" dxfId="450" priority="5567" operator="containsText" text="PENDIENTES">
      <formula>NOT(ISERROR(SEARCH("PENDIENTES",P4)))</formula>
    </cfRule>
    <cfRule type="containsText" dxfId="449" priority="5568" operator="containsText" text="VERIFICADO">
      <formula>NOT(ISERROR(SEARCH("VERIFICADO",P4)))</formula>
    </cfRule>
    <cfRule type="containsText" dxfId="448" priority="5566" operator="containsText" text="TODO OK">
      <formula>NOT(ISERROR(SEARCH("TODO OK",P4)))</formula>
    </cfRule>
  </conditionalFormatting>
  <conditionalFormatting sqref="P9 P38 P51:P52 P140">
    <cfRule type="containsText" dxfId="447" priority="5281" operator="containsText" text="TODO OK">
      <formula>NOT(ISERROR(SEARCH("TODO OK",P9)))</formula>
    </cfRule>
    <cfRule type="containsText" dxfId="446" priority="5282" operator="containsText" text="PENDIENTES">
      <formula>NOT(ISERROR(SEARCH("PENDIENTES",P9)))</formula>
    </cfRule>
    <cfRule type="containsText" dxfId="445" priority="5283" operator="containsText" text="VERIFICADO">
      <formula>NOT(ISERROR(SEARCH("VERIFICADO",P9)))</formula>
    </cfRule>
  </conditionalFormatting>
  <conditionalFormatting sqref="P24">
    <cfRule type="containsText" dxfId="444" priority="5273" operator="containsText" text="PENDIENTES">
      <formula>NOT(ISERROR(SEARCH("PENDIENTES",P24)))</formula>
    </cfRule>
    <cfRule type="containsText" dxfId="443" priority="5274" operator="containsText" text="VERIFICADO">
      <formula>NOT(ISERROR(SEARCH("VERIFICADO",P24)))</formula>
    </cfRule>
    <cfRule type="containsText" dxfId="442" priority="5272" operator="containsText" text="TODO OK">
      <formula>NOT(ISERROR(SEARCH("TODO OK",P24)))</formula>
    </cfRule>
  </conditionalFormatting>
  <conditionalFormatting sqref="P36">
    <cfRule type="containsText" dxfId="441" priority="5269" operator="containsText" text="TODO OK">
      <formula>NOT(ISERROR(SEARCH("TODO OK",P36)))</formula>
    </cfRule>
    <cfRule type="containsText" dxfId="440" priority="5270" operator="containsText" text="PENDIENTES">
      <formula>NOT(ISERROR(SEARCH("PENDIENTES",P36)))</formula>
    </cfRule>
    <cfRule type="containsText" dxfId="439" priority="5271" operator="containsText" text="VERIFICADO">
      <formula>NOT(ISERROR(SEARCH("VERIFICADO",P36)))</formula>
    </cfRule>
  </conditionalFormatting>
  <conditionalFormatting sqref="P74:P77">
    <cfRule type="containsText" dxfId="438" priority="5113" operator="containsText" text="TODO OK">
      <formula>NOT(ISERROR(SEARCH("TODO OK",P74)))</formula>
    </cfRule>
    <cfRule type="containsText" dxfId="437" priority="5114" operator="containsText" text="PENDIENTES">
      <formula>NOT(ISERROR(SEARCH("PENDIENTES",P74)))</formula>
    </cfRule>
    <cfRule type="containsText" dxfId="436" priority="5115" operator="containsText" text="VERIFICADO">
      <formula>NOT(ISERROR(SEARCH("VERIFICADO",P74)))</formula>
    </cfRule>
  </conditionalFormatting>
  <conditionalFormatting sqref="P144:P146 P163:P173">
    <cfRule type="containsText" dxfId="435" priority="2446" operator="containsText" text="TODO OK">
      <formula>NOT(ISERROR(SEARCH("TODO OK",P144)))</formula>
    </cfRule>
    <cfRule type="containsText" dxfId="434" priority="2447" operator="containsText" text="PENDIENTES">
      <formula>NOT(ISERROR(SEARCH("PENDIENTES",P144)))</formula>
    </cfRule>
    <cfRule type="containsText" dxfId="433" priority="2448" operator="containsText" text="VERIFICADO">
      <formula>NOT(ISERROR(SEARCH("VERIFICADO",P144)))</formula>
    </cfRule>
  </conditionalFormatting>
  <conditionalFormatting sqref="P192:P193">
    <cfRule type="containsText" dxfId="432" priority="93" operator="containsText" text="VERIFICADO">
      <formula>NOT(ISERROR(SEARCH("VERIFICADO",P192)))</formula>
    </cfRule>
    <cfRule type="containsText" dxfId="431" priority="92" operator="containsText" text="PENDIENTES">
      <formula>NOT(ISERROR(SEARCH("PENDIENTES",P192)))</formula>
    </cfRule>
    <cfRule type="containsText" dxfId="430" priority="91" operator="containsText" text="TODO OK">
      <formula>NOT(ISERROR(SEARCH("TODO OK",P192)))</formula>
    </cfRule>
  </conditionalFormatting>
  <conditionalFormatting sqref="Q1">
    <cfRule type="containsText" dxfId="429" priority="5737" operator="containsText" text="ENVIADO">
      <formula>NOT(ISERROR(SEARCH("ENVIADO",Q1)))</formula>
    </cfRule>
    <cfRule type="containsText" dxfId="428" priority="5736" operator="containsText" text="SIN">
      <formula>NOT(ISERROR(SEARCH("SIN",Q1)))</formula>
    </cfRule>
    <cfRule type="containsText" dxfId="427" priority="5735" operator="containsText" text="EMAIL">
      <formula>NOT(ISERROR(SEARCH("EMAIL",Q1)))</formula>
    </cfRule>
  </conditionalFormatting>
  <conditionalFormatting sqref="Q1:Q193">
    <cfRule type="containsText" dxfId="426" priority="571" operator="containsText" text="SEND">
      <formula>NOT(ISERROR(SEARCH("SEND",Q1)))</formula>
    </cfRule>
    <cfRule type="containsText" dxfId="425" priority="573" operator="containsText" text="POR ENVIAR">
      <formula>NOT(ISERROR(SEARCH("POR ENVIAR",Q1)))</formula>
    </cfRule>
    <cfRule type="containsText" dxfId="424" priority="572" operator="containsText" text="ENVIADO">
      <formula>NOT(ISERROR(SEARCH("ENVIADO",Q1)))</formula>
    </cfRule>
    <cfRule type="containsText" dxfId="423" priority="570" operator="containsText" text="PENDIENTE">
      <formula>NOT(ISERROR(SEARCH("PENDIENTE",Q1)))</formula>
    </cfRule>
    <cfRule type="containsText" dxfId="422" priority="569" operator="containsText" text="VERIFICADO">
      <formula>NOT(ISERROR(SEARCH("VERIFICADO",Q1)))</formula>
    </cfRule>
    <cfRule type="containsText" dxfId="421" priority="568" operator="containsText" text="VERIFICADO">
      <formula>NOT(ISERROR(SEARCH("VERIFICADO",Q1)))</formula>
    </cfRule>
  </conditionalFormatting>
  <conditionalFormatting sqref="R1:R193">
    <cfRule type="containsText" dxfId="420" priority="565" operator="containsText" text="N/A">
      <formula>NOT(ISERROR(SEARCH("N/A",R1)))</formula>
    </cfRule>
    <cfRule type="containsText" dxfId="419" priority="567" operator="containsText" text="VIGENTE">
      <formula>NOT(ISERROR(SEARCH("VIGENTE",R1)))</formula>
    </cfRule>
    <cfRule type="containsText" dxfId="418" priority="566" operator="containsText" text="VENCIDO">
      <formula>NOT(ISERROR(SEARCH("VENCIDO",R1)))</formula>
    </cfRule>
  </conditionalFormatting>
  <conditionalFormatting sqref="T1">
    <cfRule type="containsText" dxfId="417" priority="3" operator="containsText" text="PENDIENTE">
      <formula>NOT(ISERROR(SEARCH("PENDIENTE",T1)))</formula>
    </cfRule>
    <cfRule type="containsText" dxfId="416" priority="9" operator="containsText" text="ENVIADO">
      <formula>NOT(ISERROR(SEARCH("ENVIADO",T1)))</formula>
    </cfRule>
    <cfRule type="containsText" dxfId="415" priority="5" operator="containsText" text="ENVIADO">
      <formula>NOT(ISERROR(SEARCH("ENVIADO",T1)))</formula>
    </cfRule>
    <cfRule type="containsText" dxfId="414" priority="8" operator="containsText" text="SIN">
      <formula>NOT(ISERROR(SEARCH("SIN",T1)))</formula>
    </cfRule>
    <cfRule type="containsText" dxfId="413" priority="4" operator="containsText" text="SEND">
      <formula>NOT(ISERROR(SEARCH("SEND",T1)))</formula>
    </cfRule>
    <cfRule type="containsText" dxfId="412" priority="1" operator="containsText" text="VERIFICADO">
      <formula>NOT(ISERROR(SEARCH("VERIFICADO",T1)))</formula>
    </cfRule>
    <cfRule type="containsText" dxfId="411" priority="2" operator="containsText" text="VERIFICADO">
      <formula>NOT(ISERROR(SEARCH("VERIFICADO",T1)))</formula>
    </cfRule>
    <cfRule type="containsText" dxfId="410" priority="7" operator="containsText" text="EMAIL">
      <formula>NOT(ISERROR(SEARCH("EMAIL",T1)))</formula>
    </cfRule>
    <cfRule type="containsText" dxfId="409" priority="6" operator="containsText" text="POR ENVIAR">
      <formula>NOT(ISERROR(SEARCH("POR ENVIAR",T1)))</formula>
    </cfRule>
  </conditionalFormatting>
  <dataValidations count="1">
    <dataValidation type="list" allowBlank="1" showInputMessage="1" showErrorMessage="1" sqref="R189 R191:R193 R2:R184" xr:uid="{EB0EC011-A2A5-4888-AA39-1C089DD18441}">
      <formula1>"N/A, VIGENTE, VENCIDO"</formula1>
    </dataValidation>
  </dataValidations>
  <hyperlinks>
    <hyperlink ref="J193" r:id="rId1" xr:uid="{301992A5-4903-45E9-8B3A-0A4052F49961}"/>
    <hyperlink ref="J52" r:id="rId2" xr:uid="{E8A592A3-B90A-429D-8A21-EF82912D0FF2}"/>
    <hyperlink ref="J51" r:id="rId3" xr:uid="{F98E9616-892D-4950-9E04-D956B29C103C}"/>
    <hyperlink ref="J53:J57" r:id="rId4" display="hortencianino076@gmail.com" xr:uid="{6EC5891E-D495-4E94-B892-AC8654851328}"/>
  </hyperlinks>
  <pageMargins left="0.7" right="0.7" top="0.75" bottom="0.75" header="0.3" footer="0.3"/>
  <pageSetup paperSize="9" orientation="portrait" r:id="rId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033647-C9F4-4469-97CD-ACE9A18994C8}">
  <sheetPr codeName="Hoja2">
    <tabColor theme="9" tint="-0.249977111117893"/>
  </sheetPr>
  <dimension ref="A1:DC96"/>
  <sheetViews>
    <sheetView showGridLines="0" zoomScale="40" zoomScaleNormal="40" workbookViewId="0">
      <pane ySplit="18" topLeftCell="A19" activePane="bottomLeft" state="frozen"/>
      <selection pane="bottomLeft" activeCell="E33" sqref="E33"/>
    </sheetView>
  </sheetViews>
  <sheetFormatPr baseColWidth="10" defaultRowHeight="15" x14ac:dyDescent="0.25"/>
  <cols>
    <col min="1" max="1" width="16" style="11" customWidth="1"/>
    <col min="2" max="2" width="53.42578125" style="11" customWidth="1"/>
    <col min="3" max="3" width="94.28515625" style="11" customWidth="1"/>
    <col min="4" max="4" width="23.42578125" style="11" customWidth="1"/>
    <col min="5" max="5" width="57.7109375" style="11" customWidth="1"/>
    <col min="6" max="6" width="23.42578125" style="11" customWidth="1"/>
    <col min="7" max="7" width="38.28515625" style="11" customWidth="1"/>
    <col min="8" max="8" width="23.42578125" style="11" customWidth="1"/>
    <col min="9" max="9" width="33.85546875" style="11" customWidth="1"/>
    <col min="10" max="10" width="25.7109375" style="11" customWidth="1"/>
    <col min="11" max="11" width="37.85546875" style="11" customWidth="1"/>
    <col min="12" max="12" width="25.7109375" style="11" customWidth="1"/>
    <col min="13" max="13" width="34.28515625" style="11" customWidth="1"/>
    <col min="14" max="14" width="25.7109375" style="11" customWidth="1"/>
    <col min="15" max="15" width="33.28515625" style="11" customWidth="1"/>
    <col min="16" max="16" width="25.7109375" style="11" customWidth="1"/>
    <col min="17" max="17" width="32.28515625" style="11" customWidth="1"/>
    <col min="18" max="18" width="35.42578125" style="11" customWidth="1"/>
    <col min="19" max="19" width="36" style="11" customWidth="1"/>
    <col min="20" max="21" width="41.85546875" style="11" customWidth="1"/>
    <col min="22" max="22" width="38.85546875" style="11" customWidth="1"/>
    <col min="23" max="23" width="35.7109375" style="11" customWidth="1"/>
    <col min="24" max="24" width="32.7109375" style="7" customWidth="1"/>
    <col min="25" max="25" width="19.42578125" style="7" bestFit="1" customWidth="1"/>
    <col min="26" max="26" width="30.85546875" style="7" bestFit="1" customWidth="1"/>
    <col min="27" max="27" width="15.5703125" style="7" bestFit="1" customWidth="1"/>
    <col min="28" max="28" width="24.85546875" style="7" bestFit="1" customWidth="1"/>
    <col min="29" max="107" width="11.42578125" style="7"/>
    <col min="108" max="16384" width="11.42578125" style="10"/>
  </cols>
  <sheetData>
    <row r="1" spans="1:28" x14ac:dyDescent="0.25">
      <c r="A1" s="6"/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40"/>
      <c r="W1" s="40"/>
    </row>
    <row r="2" spans="1:28" x14ac:dyDescent="0.25">
      <c r="A2" s="6"/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40"/>
      <c r="W2" s="40"/>
    </row>
    <row r="3" spans="1:28" x14ac:dyDescent="0.25">
      <c r="A3" s="6"/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40" t="s">
        <v>40</v>
      </c>
      <c r="W3" s="40" t="s">
        <v>42</v>
      </c>
    </row>
    <row r="4" spans="1:28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40" t="s">
        <v>41</v>
      </c>
      <c r="W4" s="40" t="s">
        <v>43</v>
      </c>
    </row>
    <row r="5" spans="1:28" x14ac:dyDescent="0.25">
      <c r="A5" s="6"/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40"/>
      <c r="W5" s="40"/>
    </row>
    <row r="6" spans="1:28" x14ac:dyDescent="0.25">
      <c r="A6" s="6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40"/>
      <c r="W6" s="40"/>
    </row>
    <row r="7" spans="1:28" x14ac:dyDescent="0.25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40"/>
      <c r="W7" s="40"/>
    </row>
    <row r="8" spans="1:28" x14ac:dyDescent="0.25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</row>
    <row r="9" spans="1:28" x14ac:dyDescent="0.25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</row>
    <row r="10" spans="1:28" x14ac:dyDescent="0.25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</row>
    <row r="11" spans="1:28" x14ac:dyDescent="0.25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</row>
    <row r="12" spans="1:28" x14ac:dyDescent="0.25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</row>
    <row r="13" spans="1:28" x14ac:dyDescent="0.25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</row>
    <row r="14" spans="1:28" x14ac:dyDescent="0.25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</row>
    <row r="15" spans="1:28" ht="16.5" customHeight="1" x14ac:dyDescent="0.25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</row>
    <row r="16" spans="1:28" ht="57" customHeight="1" x14ac:dyDescent="0.35">
      <c r="A16" s="6"/>
      <c r="B16" s="6"/>
      <c r="C16" s="27" t="s">
        <v>20</v>
      </c>
      <c r="D16" s="164" t="s">
        <v>122</v>
      </c>
      <c r="E16" s="164"/>
      <c r="F16" s="164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72"/>
      <c r="AA16" s="6"/>
      <c r="AB16" s="73"/>
    </row>
    <row r="17" spans="1:107" ht="30" customHeight="1" thickBot="1" x14ac:dyDescent="0.4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161" t="s">
        <v>81</v>
      </c>
      <c r="Z17" s="162"/>
      <c r="AA17" s="163"/>
      <c r="AB17" s="73"/>
    </row>
    <row r="18" spans="1:107" ht="64.5" customHeight="1" thickBot="1" x14ac:dyDescent="0.4">
      <c r="A18" s="6"/>
      <c r="B18" s="120" t="s">
        <v>36</v>
      </c>
      <c r="C18" s="121" t="s">
        <v>30</v>
      </c>
      <c r="D18" s="165" t="s">
        <v>21</v>
      </c>
      <c r="E18" s="165"/>
      <c r="F18" s="166" t="s">
        <v>22</v>
      </c>
      <c r="G18" s="166"/>
      <c r="H18" s="167" t="s">
        <v>45</v>
      </c>
      <c r="I18" s="167"/>
      <c r="J18" s="168" t="s">
        <v>46</v>
      </c>
      <c r="K18" s="168"/>
      <c r="L18" s="157" t="s">
        <v>113</v>
      </c>
      <c r="M18" s="157"/>
      <c r="N18" s="158" t="s">
        <v>114</v>
      </c>
      <c r="O18" s="158"/>
      <c r="P18" s="159" t="s">
        <v>115</v>
      </c>
      <c r="Q18" s="160"/>
      <c r="R18" s="37" t="s">
        <v>17</v>
      </c>
      <c r="S18" s="38" t="s">
        <v>23</v>
      </c>
      <c r="T18" s="39" t="s">
        <v>24</v>
      </c>
      <c r="U18" s="83" t="s">
        <v>42</v>
      </c>
      <c r="V18" s="83" t="s">
        <v>43</v>
      </c>
      <c r="W18" s="74" t="s">
        <v>9</v>
      </c>
      <c r="X18" s="82" t="s">
        <v>25</v>
      </c>
      <c r="Y18" s="78" t="s">
        <v>82</v>
      </c>
      <c r="Z18" s="78" t="s">
        <v>42</v>
      </c>
      <c r="AA18" s="78" t="s">
        <v>43</v>
      </c>
      <c r="AB18" s="75" t="s">
        <v>14</v>
      </c>
      <c r="AC18" s="73"/>
    </row>
    <row r="19" spans="1:107" s="9" customFormat="1" ht="64.5" customHeight="1" thickBot="1" x14ac:dyDescent="0.25">
      <c r="A19" s="25" t="s">
        <v>27</v>
      </c>
      <c r="B19" s="122" t="s">
        <v>36</v>
      </c>
      <c r="C19" s="123" t="s">
        <v>30</v>
      </c>
      <c r="D19" s="41" t="s">
        <v>32</v>
      </c>
      <c r="E19" s="42" t="s">
        <v>11</v>
      </c>
      <c r="F19" s="43" t="s">
        <v>37</v>
      </c>
      <c r="G19" s="44" t="s">
        <v>34</v>
      </c>
      <c r="H19" s="45" t="s">
        <v>44</v>
      </c>
      <c r="I19" s="46" t="s">
        <v>33</v>
      </c>
      <c r="J19" s="47" t="s">
        <v>38</v>
      </c>
      <c r="K19" s="48" t="s">
        <v>35</v>
      </c>
      <c r="L19" s="124" t="s">
        <v>116</v>
      </c>
      <c r="M19" s="125" t="s">
        <v>112</v>
      </c>
      <c r="N19" s="126" t="s">
        <v>117</v>
      </c>
      <c r="O19" s="127" t="s">
        <v>118</v>
      </c>
      <c r="P19" s="128" t="s">
        <v>119</v>
      </c>
      <c r="Q19" s="129" t="s">
        <v>120</v>
      </c>
      <c r="R19" s="19" t="s">
        <v>17</v>
      </c>
      <c r="S19" s="20" t="s">
        <v>23</v>
      </c>
      <c r="T19" s="21" t="s">
        <v>24</v>
      </c>
      <c r="U19" s="21" t="s">
        <v>83</v>
      </c>
      <c r="V19" s="21" t="s">
        <v>84</v>
      </c>
      <c r="W19" s="76" t="s">
        <v>9</v>
      </c>
      <c r="X19" s="77" t="s">
        <v>25</v>
      </c>
      <c r="Y19" s="78" t="s">
        <v>82</v>
      </c>
      <c r="Z19" s="78" t="s">
        <v>42</v>
      </c>
      <c r="AA19" s="78" t="s">
        <v>43</v>
      </c>
      <c r="AB19" s="79" t="s">
        <v>85</v>
      </c>
      <c r="AC19" s="80"/>
      <c r="AD19" s="8"/>
      <c r="AE19" s="8"/>
      <c r="AF19" s="8"/>
      <c r="AG19" s="8"/>
      <c r="AH19" s="8"/>
      <c r="AI19" s="8"/>
      <c r="AJ19" s="8"/>
      <c r="AK19" s="8"/>
      <c r="AL19" s="8"/>
      <c r="AM19" s="8"/>
      <c r="AN19" s="8"/>
      <c r="AO19" s="8"/>
      <c r="AP19" s="8"/>
      <c r="AQ19" s="8"/>
      <c r="AR19" s="8"/>
      <c r="AS19" s="8"/>
      <c r="AT19" s="8"/>
      <c r="AU19" s="8"/>
      <c r="AV19" s="8"/>
      <c r="AW19" s="8"/>
      <c r="AX19" s="8"/>
      <c r="AY19" s="8"/>
      <c r="AZ19" s="8"/>
      <c r="BA19" s="8"/>
      <c r="BB19" s="8"/>
      <c r="BC19" s="8"/>
      <c r="BD19" s="8"/>
      <c r="BE19" s="8"/>
      <c r="BF19" s="8"/>
      <c r="BG19" s="8"/>
      <c r="BH19" s="8"/>
      <c r="BI19" s="8"/>
      <c r="BJ19" s="8"/>
      <c r="BK19" s="8"/>
      <c r="BL19" s="8"/>
      <c r="BM19" s="8"/>
      <c r="BN19" s="8"/>
      <c r="BO19" s="8"/>
      <c r="BP19" s="8"/>
      <c r="BQ19" s="8"/>
      <c r="BR19" s="8"/>
      <c r="BS19" s="8"/>
      <c r="BT19" s="8"/>
      <c r="BU19" s="8"/>
      <c r="BV19" s="8"/>
      <c r="BW19" s="8"/>
      <c r="BX19" s="8"/>
      <c r="BY19" s="8"/>
      <c r="BZ19" s="8"/>
      <c r="CA19" s="8"/>
      <c r="CB19" s="8"/>
      <c r="CC19" s="8"/>
      <c r="CD19" s="8"/>
      <c r="CE19" s="8"/>
      <c r="CF19" s="8"/>
      <c r="CG19" s="8"/>
      <c r="CH19" s="8"/>
      <c r="CI19" s="8"/>
      <c r="CJ19" s="8"/>
      <c r="CK19" s="8"/>
      <c r="CL19" s="8"/>
      <c r="CM19" s="8"/>
      <c r="CN19" s="8"/>
      <c r="CO19" s="8"/>
      <c r="CP19" s="8"/>
      <c r="CQ19" s="8"/>
      <c r="CR19" s="8"/>
      <c r="CS19" s="8"/>
      <c r="CT19" s="8"/>
      <c r="CU19" s="8"/>
      <c r="CV19" s="8"/>
      <c r="CW19" s="8"/>
      <c r="CX19" s="8"/>
      <c r="CY19" s="8"/>
      <c r="CZ19" s="8"/>
      <c r="DA19" s="8"/>
      <c r="DB19" s="8"/>
      <c r="DC19" s="8"/>
    </row>
    <row r="20" spans="1:107" ht="31.5" x14ac:dyDescent="0.5">
      <c r="A20" s="69">
        <v>1</v>
      </c>
      <c r="B20" s="112">
        <v>65698739</v>
      </c>
      <c r="C20" s="113" t="s">
        <v>123</v>
      </c>
      <c r="D20" s="114">
        <v>3</v>
      </c>
      <c r="E20" s="50">
        <f>(Tabla3[[#This Row],[CANT]]*5000000)</f>
        <v>15000000</v>
      </c>
      <c r="F20" s="114"/>
      <c r="G20" s="50"/>
      <c r="H20" s="114"/>
      <c r="I20" s="50"/>
      <c r="J20" s="68"/>
      <c r="K20" s="50"/>
      <c r="L20" s="68"/>
      <c r="M20" s="50"/>
      <c r="N20" s="68"/>
      <c r="O20" s="50"/>
      <c r="P20" s="68"/>
      <c r="Q20" s="50"/>
      <c r="R20" s="51">
        <f>(Tabla3[[#This Row],[MONTO]]+Tabla3[[#This Row],[MONTO2]]+Tabla3[[#This Row],[MONTO3]]+Tabla3[[#This Row],[MONTO4]]+Tabla3[[#This Row],[MONTO5]]+Tabla3[[#This Row],[MONTO6]]+Tabla3[[#This Row],[MONTO7]])</f>
        <v>15000000</v>
      </c>
      <c r="S20" s="52">
        <f t="shared" ref="S20:S32" si="0">R20-(R20*10%)</f>
        <v>13500000</v>
      </c>
      <c r="T20" s="53">
        <f t="shared" ref="T20:T32" si="1">(S20*1%)</f>
        <v>135000</v>
      </c>
      <c r="U20" s="53">
        <f>(Tabla3[[#This Row],[TOTAL -10%]]*Tabla3[[#This Row],[FIDUCIA]])</f>
        <v>13365000</v>
      </c>
      <c r="V20" s="53">
        <f>(Tabla3[[#This Row],[TOTAL -10%]]*Tabla3[[#This Row],[NUBE]])</f>
        <v>0</v>
      </c>
      <c r="W20" s="86" t="s">
        <v>40</v>
      </c>
      <c r="X20" s="84" t="s">
        <v>42</v>
      </c>
      <c r="Y20" s="85">
        <v>0.01</v>
      </c>
      <c r="Z20" s="85">
        <v>0.99</v>
      </c>
      <c r="AA20" s="85"/>
      <c r="AB20" s="87">
        <f>SUM(Y20:AA20)</f>
        <v>1</v>
      </c>
      <c r="AC20" s="81" t="str">
        <f>IF(AB20="","",IF(AB20=100%,"OK","ERROR"))</f>
        <v>OK</v>
      </c>
    </row>
    <row r="21" spans="1:107" ht="31.5" x14ac:dyDescent="0.5">
      <c r="A21" s="70">
        <f t="shared" ref="A21:A75" si="2">(A20+1)</f>
        <v>2</v>
      </c>
      <c r="B21" s="112">
        <v>1070022846</v>
      </c>
      <c r="C21" s="115" t="s">
        <v>124</v>
      </c>
      <c r="D21" s="114"/>
      <c r="E21" s="50"/>
      <c r="F21" s="114">
        <v>5</v>
      </c>
      <c r="G21" s="50">
        <v>50000000</v>
      </c>
      <c r="H21" s="114">
        <v>3</v>
      </c>
      <c r="I21" s="50">
        <v>22500000</v>
      </c>
      <c r="J21" s="68"/>
      <c r="K21" s="50"/>
      <c r="L21" s="68"/>
      <c r="M21" s="50"/>
      <c r="N21" s="68"/>
      <c r="O21" s="50"/>
      <c r="P21" s="68"/>
      <c r="Q21" s="50"/>
      <c r="R21" s="51">
        <f>(Tabla3[[#This Row],[MONTO]]+Tabla3[[#This Row],[MONTO2]]+Tabla3[[#This Row],[MONTO3]]+Tabla3[[#This Row],[MONTO4]]+Tabla3[[#This Row],[MONTO5]]+Tabla3[[#This Row],[MONTO6]]+Tabla3[[#This Row],[MONTO7]])</f>
        <v>72500000</v>
      </c>
      <c r="S21" s="52">
        <f t="shared" si="0"/>
        <v>65250000</v>
      </c>
      <c r="T21" s="54">
        <f t="shared" si="1"/>
        <v>652500</v>
      </c>
      <c r="U21" s="54">
        <f>(Tabla3[[#This Row],[TOTAL -10%]]*Tabla3[[#This Row],[FIDUCIA]])</f>
        <v>64597500</v>
      </c>
      <c r="V21" s="54">
        <f>(Tabla3[[#This Row],[TOTAL -10%]]*Tabla3[[#This Row],[NUBE]])</f>
        <v>0</v>
      </c>
      <c r="W21" s="86" t="s">
        <v>40</v>
      </c>
      <c r="X21" s="84" t="s">
        <v>42</v>
      </c>
      <c r="Y21" s="85">
        <v>0.01</v>
      </c>
      <c r="Z21" s="85">
        <v>0.99</v>
      </c>
      <c r="AA21" s="85"/>
      <c r="AB21" s="87">
        <f t="shared" ref="AB21:AB35" si="3">SUM(Y21:AA21)</f>
        <v>1</v>
      </c>
      <c r="AC21" s="81" t="str">
        <f t="shared" ref="AC21:AC75" si="4">IF(AB21="","",IF(AB21=100%,"OK","ERROR"))</f>
        <v>OK</v>
      </c>
    </row>
    <row r="22" spans="1:107" ht="31.5" x14ac:dyDescent="0.5">
      <c r="A22" s="70">
        <f t="shared" si="2"/>
        <v>3</v>
      </c>
      <c r="B22" s="112">
        <v>51760534</v>
      </c>
      <c r="C22" s="115" t="s">
        <v>125</v>
      </c>
      <c r="D22" s="114">
        <v>1142</v>
      </c>
      <c r="E22" s="50">
        <f>(Tabla3[[#This Row],[CANT]]*5000000)</f>
        <v>5710000000</v>
      </c>
      <c r="F22" s="114">
        <v>1</v>
      </c>
      <c r="G22" s="50">
        <v>10000000</v>
      </c>
      <c r="H22" s="114">
        <v>22</v>
      </c>
      <c r="I22" s="50">
        <v>165000000</v>
      </c>
      <c r="J22" s="68">
        <v>2</v>
      </c>
      <c r="K22" s="50">
        <v>1000000</v>
      </c>
      <c r="L22" s="68"/>
      <c r="M22" s="50"/>
      <c r="N22" s="68">
        <v>1</v>
      </c>
      <c r="O22" s="50">
        <f>(Tabla3[[#This Row],[CANT6]]*200000)</f>
        <v>200000</v>
      </c>
      <c r="P22" s="68"/>
      <c r="Q22" s="50"/>
      <c r="R22" s="51">
        <f>(Tabla3[[#This Row],[MONTO]]+Tabla3[[#This Row],[MONTO2]]+Tabla3[[#This Row],[MONTO3]]+Tabla3[[#This Row],[MONTO4]]+Tabla3[[#This Row],[MONTO5]]+Tabla3[[#This Row],[MONTO6]]+Tabla3[[#This Row],[MONTO7]])</f>
        <v>5886200000</v>
      </c>
      <c r="S22" s="52">
        <f t="shared" si="0"/>
        <v>5297580000</v>
      </c>
      <c r="T22" s="54">
        <f t="shared" si="1"/>
        <v>52975800</v>
      </c>
      <c r="U22" s="54">
        <f>(Tabla3[[#This Row],[TOTAL -10%]]*Tabla3[[#This Row],[FIDUCIA]])</f>
        <v>2119032000</v>
      </c>
      <c r="V22" s="54">
        <f>(Tabla3[[#This Row],[TOTAL -10%]]*Tabla3[[#This Row],[NUBE]])</f>
        <v>3125572200</v>
      </c>
      <c r="W22" s="86" t="s">
        <v>40</v>
      </c>
      <c r="X22" s="84" t="s">
        <v>25</v>
      </c>
      <c r="Y22" s="85">
        <v>0.01</v>
      </c>
      <c r="Z22" s="85">
        <v>0.4</v>
      </c>
      <c r="AA22" s="85">
        <v>0.59</v>
      </c>
      <c r="AB22" s="87">
        <f t="shared" si="3"/>
        <v>1</v>
      </c>
      <c r="AC22" s="81" t="str">
        <f t="shared" si="4"/>
        <v>OK</v>
      </c>
    </row>
    <row r="23" spans="1:107" ht="31.5" x14ac:dyDescent="0.5">
      <c r="A23" s="70">
        <f t="shared" si="2"/>
        <v>4</v>
      </c>
      <c r="B23" s="112">
        <v>16266851</v>
      </c>
      <c r="C23" s="115" t="s">
        <v>126</v>
      </c>
      <c r="D23" s="114">
        <v>2</v>
      </c>
      <c r="E23" s="50">
        <f>(Tabla3[[#This Row],[CANT]]*5000000)</f>
        <v>10000000</v>
      </c>
      <c r="F23" s="114">
        <v>3</v>
      </c>
      <c r="G23" s="50">
        <v>30000000</v>
      </c>
      <c r="H23" s="114">
        <v>2</v>
      </c>
      <c r="I23" s="50">
        <v>15000000</v>
      </c>
      <c r="J23" s="68"/>
      <c r="K23" s="50"/>
      <c r="L23" s="68"/>
      <c r="M23" s="50"/>
      <c r="N23" s="68"/>
      <c r="O23" s="50"/>
      <c r="P23" s="68"/>
      <c r="Q23" s="50"/>
      <c r="R23" s="51">
        <f>(Tabla3[[#This Row],[MONTO]]+Tabla3[[#This Row],[MONTO2]]+Tabla3[[#This Row],[MONTO3]]+Tabla3[[#This Row],[MONTO4]]+Tabla3[[#This Row],[MONTO5]]+Tabla3[[#This Row],[MONTO6]]+Tabla3[[#This Row],[MONTO7]])</f>
        <v>55000000</v>
      </c>
      <c r="S23" s="52">
        <f t="shared" si="0"/>
        <v>49500000</v>
      </c>
      <c r="T23" s="54">
        <f t="shared" si="1"/>
        <v>495000</v>
      </c>
      <c r="U23" s="54">
        <f>(Tabla3[[#This Row],[TOTAL -10%]]*Tabla3[[#This Row],[FIDUCIA]])</f>
        <v>49005000</v>
      </c>
      <c r="V23" s="54">
        <f>(Tabla3[[#This Row],[TOTAL -10%]]*Tabla3[[#This Row],[NUBE]])</f>
        <v>0</v>
      </c>
      <c r="W23" s="86" t="s">
        <v>40</v>
      </c>
      <c r="X23" s="84" t="s">
        <v>42</v>
      </c>
      <c r="Y23" s="85">
        <v>0.01</v>
      </c>
      <c r="Z23" s="85">
        <v>0.99</v>
      </c>
      <c r="AA23" s="85"/>
      <c r="AB23" s="87">
        <f t="shared" si="3"/>
        <v>1</v>
      </c>
      <c r="AC23" s="81" t="str">
        <f t="shared" si="4"/>
        <v>OK</v>
      </c>
    </row>
    <row r="24" spans="1:107" ht="31.5" x14ac:dyDescent="0.5">
      <c r="A24" s="70">
        <f t="shared" si="2"/>
        <v>5</v>
      </c>
      <c r="B24" s="112">
        <v>39585053</v>
      </c>
      <c r="C24" s="115" t="s">
        <v>127</v>
      </c>
      <c r="D24" s="114">
        <v>2</v>
      </c>
      <c r="E24" s="50">
        <f>(Tabla3[[#This Row],[CANT]]*5000000)</f>
        <v>10000000</v>
      </c>
      <c r="F24" s="114"/>
      <c r="G24" s="50"/>
      <c r="H24" s="114">
        <v>1</v>
      </c>
      <c r="I24" s="50">
        <v>7500000</v>
      </c>
      <c r="J24" s="68"/>
      <c r="K24" s="50"/>
      <c r="L24" s="68"/>
      <c r="M24" s="50"/>
      <c r="N24" s="68"/>
      <c r="O24" s="50"/>
      <c r="P24" s="68"/>
      <c r="Q24" s="50"/>
      <c r="R24" s="51">
        <f>(Tabla3[[#This Row],[MONTO]]+Tabla3[[#This Row],[MONTO2]]+Tabla3[[#This Row],[MONTO3]]+Tabla3[[#This Row],[MONTO4]]+Tabla3[[#This Row],[MONTO5]]+Tabla3[[#This Row],[MONTO6]]+Tabla3[[#This Row],[MONTO7]])</f>
        <v>17500000</v>
      </c>
      <c r="S24" s="52">
        <f t="shared" si="0"/>
        <v>15750000</v>
      </c>
      <c r="T24" s="54">
        <f t="shared" si="1"/>
        <v>157500</v>
      </c>
      <c r="U24" s="54">
        <f>(Tabla3[[#This Row],[TOTAL -10%]]*Tabla3[[#This Row],[FIDUCIA]])</f>
        <v>15592500</v>
      </c>
      <c r="V24" s="54">
        <f>(Tabla3[[#This Row],[TOTAL -10%]]*Tabla3[[#This Row],[NUBE]])</f>
        <v>0</v>
      </c>
      <c r="W24" s="86" t="s">
        <v>40</v>
      </c>
      <c r="X24" s="84" t="s">
        <v>42</v>
      </c>
      <c r="Y24" s="85">
        <v>0.01</v>
      </c>
      <c r="Z24" s="85">
        <v>0.99</v>
      </c>
      <c r="AA24" s="85"/>
      <c r="AB24" s="87">
        <f t="shared" si="3"/>
        <v>1</v>
      </c>
      <c r="AC24" s="81" t="str">
        <f t="shared" si="4"/>
        <v>OK</v>
      </c>
    </row>
    <row r="25" spans="1:107" ht="31.5" x14ac:dyDescent="0.5">
      <c r="A25" s="70">
        <f t="shared" si="2"/>
        <v>6</v>
      </c>
      <c r="B25" s="151">
        <v>7717811</v>
      </c>
      <c r="C25" s="153" t="s">
        <v>484</v>
      </c>
      <c r="D25" s="152">
        <v>9</v>
      </c>
      <c r="E25" s="50">
        <f>(Tabla3[[#This Row],[CANT]]*5000000)</f>
        <v>45000000</v>
      </c>
      <c r="F25" s="152"/>
      <c r="G25" s="50"/>
      <c r="H25" s="152"/>
      <c r="I25" s="50"/>
      <c r="J25" s="68"/>
      <c r="K25" s="50"/>
      <c r="L25" s="68"/>
      <c r="M25" s="50"/>
      <c r="N25" s="68"/>
      <c r="O25" s="50"/>
      <c r="P25" s="68"/>
      <c r="Q25" s="50"/>
      <c r="R25" s="51">
        <f>(Tabla3[[#This Row],[MONTO]]+Tabla3[[#This Row],[MONTO2]]+Tabla3[[#This Row],[MONTO3]]+Tabla3[[#This Row],[MONTO4]]+Tabla3[[#This Row],[MONTO5]]+Tabla3[[#This Row],[MONTO6]]+Tabla3[[#This Row],[MONTO7]])</f>
        <v>45000000</v>
      </c>
      <c r="S25" s="67">
        <f>R25-(R25*10%)</f>
        <v>40500000</v>
      </c>
      <c r="T25" s="54">
        <f>(S25*1%)</f>
        <v>405000</v>
      </c>
      <c r="U25" s="54">
        <f>(Tabla3[[#This Row],[TOTAL -10%]]*Tabla3[[#This Row],[FIDUCIA]])</f>
        <v>40095000</v>
      </c>
      <c r="V25" s="54">
        <f>(Tabla3[[#This Row],[TOTAL -10%]]*Tabla3[[#This Row],[NUBE]])</f>
        <v>0</v>
      </c>
      <c r="W25" s="86" t="s">
        <v>40</v>
      </c>
      <c r="X25" s="117" t="s">
        <v>42</v>
      </c>
      <c r="Y25" s="118">
        <v>0.01</v>
      </c>
      <c r="Z25" s="118">
        <v>0.99</v>
      </c>
      <c r="AA25" s="118"/>
      <c r="AB25" s="119">
        <f>SUM(Y25:AA25)</f>
        <v>1</v>
      </c>
      <c r="AC25" s="81" t="str">
        <f t="shared" si="4"/>
        <v>OK</v>
      </c>
    </row>
    <row r="26" spans="1:107" ht="31.5" x14ac:dyDescent="0.5">
      <c r="A26" s="70">
        <f t="shared" si="2"/>
        <v>7</v>
      </c>
      <c r="B26" s="112">
        <v>1106896741</v>
      </c>
      <c r="C26" s="115" t="s">
        <v>128</v>
      </c>
      <c r="D26" s="114">
        <v>4</v>
      </c>
      <c r="E26" s="50">
        <f>(Tabla3[[#This Row],[CANT]]*5000000)</f>
        <v>20000000</v>
      </c>
      <c r="F26" s="114"/>
      <c r="G26" s="50"/>
      <c r="H26" s="114">
        <v>1</v>
      </c>
      <c r="I26" s="50">
        <v>7500000</v>
      </c>
      <c r="J26" s="68"/>
      <c r="K26" s="50"/>
      <c r="L26" s="68"/>
      <c r="M26" s="50"/>
      <c r="N26" s="68"/>
      <c r="O26" s="50"/>
      <c r="P26" s="68"/>
      <c r="Q26" s="50"/>
      <c r="R26" s="51">
        <f>(Tabla3[[#This Row],[MONTO]]+Tabla3[[#This Row],[MONTO2]]+Tabla3[[#This Row],[MONTO3]]+Tabla3[[#This Row],[MONTO4]]+Tabla3[[#This Row],[MONTO5]]+Tabla3[[#This Row],[MONTO6]]+Tabla3[[#This Row],[MONTO7]])</f>
        <v>27500000</v>
      </c>
      <c r="S26" s="52">
        <f t="shared" si="0"/>
        <v>24750000</v>
      </c>
      <c r="T26" s="54">
        <f t="shared" si="1"/>
        <v>247500</v>
      </c>
      <c r="U26" s="54">
        <f>(Tabla3[[#This Row],[TOTAL -10%]]*Tabla3[[#This Row],[FIDUCIA]])</f>
        <v>0</v>
      </c>
      <c r="V26" s="54">
        <f>(Tabla3[[#This Row],[TOTAL -10%]]*Tabla3[[#This Row],[NUBE]])</f>
        <v>24502500</v>
      </c>
      <c r="W26" s="86" t="s">
        <v>40</v>
      </c>
      <c r="X26" s="84" t="s">
        <v>43</v>
      </c>
      <c r="Y26" s="85">
        <v>0.01</v>
      </c>
      <c r="Z26" s="85"/>
      <c r="AA26" s="85">
        <v>0.99</v>
      </c>
      <c r="AB26" s="87">
        <f t="shared" si="3"/>
        <v>1</v>
      </c>
      <c r="AC26" s="81" t="str">
        <f t="shared" si="4"/>
        <v>OK</v>
      </c>
    </row>
    <row r="27" spans="1:107" ht="31.5" x14ac:dyDescent="0.5">
      <c r="A27" s="70">
        <f t="shared" si="2"/>
        <v>8</v>
      </c>
      <c r="B27" s="112">
        <v>41650899</v>
      </c>
      <c r="C27" s="115" t="s">
        <v>129</v>
      </c>
      <c r="D27" s="114">
        <v>11</v>
      </c>
      <c r="E27" s="50">
        <f>(Tabla3[[#This Row],[CANT]]*5000000)</f>
        <v>55000000</v>
      </c>
      <c r="F27" s="114">
        <v>2</v>
      </c>
      <c r="G27" s="50">
        <v>20000000</v>
      </c>
      <c r="H27" s="114">
        <v>2</v>
      </c>
      <c r="I27" s="50">
        <v>15000000</v>
      </c>
      <c r="J27" s="68"/>
      <c r="K27" s="50"/>
      <c r="L27" s="68"/>
      <c r="M27" s="50"/>
      <c r="N27" s="68"/>
      <c r="O27" s="50"/>
      <c r="P27" s="68"/>
      <c r="Q27" s="50"/>
      <c r="R27" s="51">
        <f>(Tabla3[[#This Row],[MONTO]]+Tabla3[[#This Row],[MONTO2]]+Tabla3[[#This Row],[MONTO3]]+Tabla3[[#This Row],[MONTO4]]+Tabla3[[#This Row],[MONTO5]]+Tabla3[[#This Row],[MONTO6]]+Tabla3[[#This Row],[MONTO7]])</f>
        <v>90000000</v>
      </c>
      <c r="S27" s="52">
        <f t="shared" si="0"/>
        <v>81000000</v>
      </c>
      <c r="T27" s="54">
        <f t="shared" si="1"/>
        <v>810000</v>
      </c>
      <c r="U27" s="54">
        <f>(Tabla3[[#This Row],[TOTAL -10%]]*Tabla3[[#This Row],[FIDUCIA]])</f>
        <v>80190000</v>
      </c>
      <c r="V27" s="54">
        <f>(Tabla3[[#This Row],[TOTAL -10%]]*Tabla3[[#This Row],[NUBE]])</f>
        <v>0</v>
      </c>
      <c r="W27" s="86" t="s">
        <v>40</v>
      </c>
      <c r="X27" s="84" t="s">
        <v>42</v>
      </c>
      <c r="Y27" s="85">
        <v>0.01</v>
      </c>
      <c r="Z27" s="85">
        <v>0.99</v>
      </c>
      <c r="AA27" s="85"/>
      <c r="AB27" s="87">
        <f t="shared" si="3"/>
        <v>1</v>
      </c>
      <c r="AC27" s="81" t="str">
        <f t="shared" si="4"/>
        <v>OK</v>
      </c>
    </row>
    <row r="28" spans="1:107" ht="31.5" x14ac:dyDescent="0.5">
      <c r="A28" s="70">
        <f t="shared" si="2"/>
        <v>9</v>
      </c>
      <c r="B28" s="112">
        <v>28844684</v>
      </c>
      <c r="C28" s="115" t="s">
        <v>130</v>
      </c>
      <c r="D28" s="114">
        <v>6</v>
      </c>
      <c r="E28" s="50">
        <f>(Tabla3[[#This Row],[CANT]]*5000000)</f>
        <v>30000000</v>
      </c>
      <c r="F28" s="114"/>
      <c r="G28" s="50"/>
      <c r="H28" s="114"/>
      <c r="I28" s="50"/>
      <c r="J28" s="68"/>
      <c r="K28" s="50"/>
      <c r="L28" s="68"/>
      <c r="M28" s="50"/>
      <c r="N28" s="68"/>
      <c r="O28" s="50"/>
      <c r="P28" s="68"/>
      <c r="Q28" s="50"/>
      <c r="R28" s="51">
        <f>(Tabla3[[#This Row],[MONTO]]+Tabla3[[#This Row],[MONTO2]]+Tabla3[[#This Row],[MONTO3]]+Tabla3[[#This Row],[MONTO4]]+Tabla3[[#This Row],[MONTO5]]+Tabla3[[#This Row],[MONTO6]]+Tabla3[[#This Row],[MONTO7]])</f>
        <v>30000000</v>
      </c>
      <c r="S28" s="52">
        <f t="shared" si="0"/>
        <v>27000000</v>
      </c>
      <c r="T28" s="54">
        <f t="shared" si="1"/>
        <v>270000</v>
      </c>
      <c r="U28" s="54">
        <f>(Tabla3[[#This Row],[TOTAL -10%]]*Tabla3[[#This Row],[FIDUCIA]])</f>
        <v>0</v>
      </c>
      <c r="V28" s="54">
        <f>(Tabla3[[#This Row],[TOTAL -10%]]*Tabla3[[#This Row],[NUBE]])</f>
        <v>26730000</v>
      </c>
      <c r="W28" s="86" t="s">
        <v>40</v>
      </c>
      <c r="X28" s="84" t="s">
        <v>43</v>
      </c>
      <c r="Y28" s="85">
        <v>0.01</v>
      </c>
      <c r="Z28" s="85"/>
      <c r="AA28" s="85">
        <v>0.99</v>
      </c>
      <c r="AB28" s="87">
        <f t="shared" si="3"/>
        <v>1</v>
      </c>
      <c r="AC28" s="81" t="str">
        <f t="shared" si="4"/>
        <v>OK</v>
      </c>
    </row>
    <row r="29" spans="1:107" ht="31.5" x14ac:dyDescent="0.5">
      <c r="A29" s="70">
        <f t="shared" si="2"/>
        <v>10</v>
      </c>
      <c r="B29" s="112">
        <v>38225833</v>
      </c>
      <c r="C29" s="115" t="s">
        <v>131</v>
      </c>
      <c r="D29" s="114">
        <v>4</v>
      </c>
      <c r="E29" s="50">
        <f>(Tabla3[[#This Row],[CANT]]*5000000)</f>
        <v>20000000</v>
      </c>
      <c r="F29" s="114">
        <v>5</v>
      </c>
      <c r="G29" s="50">
        <v>50000000</v>
      </c>
      <c r="H29" s="114">
        <v>5</v>
      </c>
      <c r="I29" s="50">
        <v>37500000</v>
      </c>
      <c r="J29" s="68">
        <v>1</v>
      </c>
      <c r="K29" s="50">
        <v>500000</v>
      </c>
      <c r="L29" s="68"/>
      <c r="M29" s="50"/>
      <c r="N29" s="68"/>
      <c r="O29" s="50"/>
      <c r="P29" s="68"/>
      <c r="Q29" s="50"/>
      <c r="R29" s="51">
        <f>(Tabla3[[#This Row],[MONTO]]+Tabla3[[#This Row],[MONTO2]]+Tabla3[[#This Row],[MONTO3]]+Tabla3[[#This Row],[MONTO4]]+Tabla3[[#This Row],[MONTO5]]+Tabla3[[#This Row],[MONTO6]]+Tabla3[[#This Row],[MONTO7]])</f>
        <v>108000000</v>
      </c>
      <c r="S29" s="52">
        <f t="shared" si="0"/>
        <v>97200000</v>
      </c>
      <c r="T29" s="54">
        <f t="shared" si="1"/>
        <v>972000</v>
      </c>
      <c r="U29" s="54">
        <f>(Tabla3[[#This Row],[TOTAL -10%]]*Tabla3[[#This Row],[FIDUCIA]])</f>
        <v>96228000</v>
      </c>
      <c r="V29" s="54">
        <f>(Tabla3[[#This Row],[TOTAL -10%]]*Tabla3[[#This Row],[NUBE]])</f>
        <v>0</v>
      </c>
      <c r="W29" s="86" t="s">
        <v>40</v>
      </c>
      <c r="X29" s="84" t="s">
        <v>42</v>
      </c>
      <c r="Y29" s="85">
        <v>0.01</v>
      </c>
      <c r="Z29" s="85">
        <v>0.99</v>
      </c>
      <c r="AA29" s="85"/>
      <c r="AB29" s="87">
        <f t="shared" si="3"/>
        <v>1</v>
      </c>
      <c r="AC29" s="81" t="str">
        <f t="shared" si="4"/>
        <v>OK</v>
      </c>
    </row>
    <row r="30" spans="1:107" ht="31.5" x14ac:dyDescent="0.5">
      <c r="A30" s="70">
        <f t="shared" si="2"/>
        <v>11</v>
      </c>
      <c r="B30" s="112">
        <v>11315053</v>
      </c>
      <c r="C30" s="115" t="s">
        <v>132</v>
      </c>
      <c r="D30" s="114">
        <v>9</v>
      </c>
      <c r="E30" s="50">
        <f>(Tabla3[[#This Row],[CANT]]*5000000)</f>
        <v>45000000</v>
      </c>
      <c r="F30" s="114">
        <v>13</v>
      </c>
      <c r="G30" s="50">
        <v>130000000</v>
      </c>
      <c r="H30" s="114">
        <v>7</v>
      </c>
      <c r="I30" s="50">
        <v>52500000</v>
      </c>
      <c r="J30" s="68"/>
      <c r="K30" s="50"/>
      <c r="L30" s="68"/>
      <c r="M30" s="50"/>
      <c r="N30" s="68"/>
      <c r="O30" s="50"/>
      <c r="P30" s="68"/>
      <c r="Q30" s="50"/>
      <c r="R30" s="51">
        <f>(Tabla3[[#This Row],[MONTO]]+Tabla3[[#This Row],[MONTO2]]+Tabla3[[#This Row],[MONTO3]]+Tabla3[[#This Row],[MONTO4]]+Tabla3[[#This Row],[MONTO5]]+Tabla3[[#This Row],[MONTO6]]+Tabla3[[#This Row],[MONTO7]])</f>
        <v>227500000</v>
      </c>
      <c r="S30" s="52">
        <f t="shared" si="0"/>
        <v>204750000</v>
      </c>
      <c r="T30" s="54">
        <f t="shared" si="1"/>
        <v>2047500</v>
      </c>
      <c r="U30" s="54">
        <f>(Tabla3[[#This Row],[TOTAL -10%]]*Tabla3[[#This Row],[FIDUCIA]])</f>
        <v>0</v>
      </c>
      <c r="V30" s="54">
        <f>(Tabla3[[#This Row],[TOTAL -10%]]*Tabla3[[#This Row],[NUBE]])</f>
        <v>202702500</v>
      </c>
      <c r="W30" s="86" t="s">
        <v>40</v>
      </c>
      <c r="X30" s="84" t="s">
        <v>43</v>
      </c>
      <c r="Y30" s="85">
        <v>0.01</v>
      </c>
      <c r="Z30" s="85"/>
      <c r="AA30" s="85">
        <v>0.99</v>
      </c>
      <c r="AB30" s="87">
        <f t="shared" si="3"/>
        <v>1</v>
      </c>
      <c r="AC30" s="81" t="str">
        <f t="shared" si="4"/>
        <v>OK</v>
      </c>
    </row>
    <row r="31" spans="1:107" ht="31.5" x14ac:dyDescent="0.5">
      <c r="A31" s="70">
        <f t="shared" si="2"/>
        <v>12</v>
      </c>
      <c r="B31" s="112">
        <v>80355504</v>
      </c>
      <c r="C31" s="115" t="s">
        <v>133</v>
      </c>
      <c r="D31" s="114">
        <v>3</v>
      </c>
      <c r="E31" s="50">
        <f>(Tabla3[[#This Row],[CANT]]*5000000)</f>
        <v>15000000</v>
      </c>
      <c r="F31" s="114"/>
      <c r="G31" s="50"/>
      <c r="H31" s="114">
        <v>1</v>
      </c>
      <c r="I31" s="50">
        <v>7500000</v>
      </c>
      <c r="J31" s="68"/>
      <c r="K31" s="50"/>
      <c r="L31" s="68"/>
      <c r="M31" s="50"/>
      <c r="N31" s="68"/>
      <c r="O31" s="50"/>
      <c r="P31" s="68"/>
      <c r="Q31" s="50"/>
      <c r="R31" s="51">
        <f>(Tabla3[[#This Row],[MONTO]]+Tabla3[[#This Row],[MONTO2]]+Tabla3[[#This Row],[MONTO3]]+Tabla3[[#This Row],[MONTO4]]+Tabla3[[#This Row],[MONTO5]]+Tabla3[[#This Row],[MONTO6]]+Tabla3[[#This Row],[MONTO7]])</f>
        <v>22500000</v>
      </c>
      <c r="S31" s="52">
        <f t="shared" si="0"/>
        <v>20250000</v>
      </c>
      <c r="T31" s="54">
        <f t="shared" si="1"/>
        <v>202500</v>
      </c>
      <c r="U31" s="54">
        <f>(Tabla3[[#This Row],[TOTAL -10%]]*Tabla3[[#This Row],[FIDUCIA]])</f>
        <v>0</v>
      </c>
      <c r="V31" s="54">
        <f>(Tabla3[[#This Row],[TOTAL -10%]]*Tabla3[[#This Row],[NUBE]])</f>
        <v>20047500</v>
      </c>
      <c r="W31" s="86" t="s">
        <v>40</v>
      </c>
      <c r="X31" s="84" t="s">
        <v>43</v>
      </c>
      <c r="Y31" s="85">
        <v>0.01</v>
      </c>
      <c r="Z31" s="85"/>
      <c r="AA31" s="85">
        <v>0.99</v>
      </c>
      <c r="AB31" s="87">
        <f t="shared" si="3"/>
        <v>1</v>
      </c>
      <c r="AC31" s="81" t="str">
        <f t="shared" si="4"/>
        <v>OK</v>
      </c>
    </row>
    <row r="32" spans="1:107" ht="31.5" x14ac:dyDescent="0.5">
      <c r="A32" s="70">
        <f t="shared" si="2"/>
        <v>13</v>
      </c>
      <c r="B32" s="112">
        <v>13460654</v>
      </c>
      <c r="C32" s="115" t="s">
        <v>134</v>
      </c>
      <c r="D32" s="114">
        <v>9</v>
      </c>
      <c r="E32" s="50">
        <f>(Tabla3[[#This Row],[CANT]]*5000000)</f>
        <v>45000000</v>
      </c>
      <c r="F32" s="114">
        <v>1</v>
      </c>
      <c r="G32" s="50">
        <v>10000000</v>
      </c>
      <c r="H32" s="114">
        <v>1</v>
      </c>
      <c r="I32" s="50">
        <v>7500000</v>
      </c>
      <c r="J32" s="68"/>
      <c r="K32" s="50"/>
      <c r="L32" s="68"/>
      <c r="M32" s="50"/>
      <c r="N32" s="68"/>
      <c r="O32" s="50"/>
      <c r="P32" s="68"/>
      <c r="Q32" s="50"/>
      <c r="R32" s="51">
        <f>(Tabla3[[#This Row],[MONTO]]+Tabla3[[#This Row],[MONTO2]]+Tabla3[[#This Row],[MONTO3]]+Tabla3[[#This Row],[MONTO4]]+Tabla3[[#This Row],[MONTO5]]+Tabla3[[#This Row],[MONTO6]]+Tabla3[[#This Row],[MONTO7]])</f>
        <v>62500000</v>
      </c>
      <c r="S32" s="52">
        <f t="shared" si="0"/>
        <v>56250000</v>
      </c>
      <c r="T32" s="54">
        <f t="shared" si="1"/>
        <v>562500</v>
      </c>
      <c r="U32" s="54">
        <f>(Tabla3[[#This Row],[TOTAL -10%]]*Tabla3[[#This Row],[FIDUCIA]])</f>
        <v>55687500</v>
      </c>
      <c r="V32" s="54">
        <f>(Tabla3[[#This Row],[TOTAL -10%]]*Tabla3[[#This Row],[NUBE]])</f>
        <v>0</v>
      </c>
      <c r="W32" s="86" t="s">
        <v>40</v>
      </c>
      <c r="X32" s="84" t="s">
        <v>42</v>
      </c>
      <c r="Y32" s="85">
        <v>0.01</v>
      </c>
      <c r="Z32" s="85">
        <v>0.99</v>
      </c>
      <c r="AA32" s="85"/>
      <c r="AB32" s="87">
        <f t="shared" si="3"/>
        <v>1</v>
      </c>
      <c r="AC32" s="81" t="str">
        <f t="shared" si="4"/>
        <v>OK</v>
      </c>
    </row>
    <row r="33" spans="1:29" ht="31.5" x14ac:dyDescent="0.5">
      <c r="A33" s="70">
        <f t="shared" si="2"/>
        <v>14</v>
      </c>
      <c r="B33" s="112">
        <v>14370092</v>
      </c>
      <c r="C33" s="115" t="s">
        <v>135</v>
      </c>
      <c r="D33" s="114">
        <v>4</v>
      </c>
      <c r="E33" s="50">
        <f>(Tabla3[[#This Row],[CANT]]*5000000)</f>
        <v>20000000</v>
      </c>
      <c r="F33" s="114"/>
      <c r="G33" s="50"/>
      <c r="H33" s="114">
        <v>1</v>
      </c>
      <c r="I33" s="50">
        <v>7500000</v>
      </c>
      <c r="J33" s="68"/>
      <c r="K33" s="50"/>
      <c r="L33" s="68"/>
      <c r="M33" s="50"/>
      <c r="N33" s="68"/>
      <c r="O33" s="50"/>
      <c r="P33" s="68"/>
      <c r="Q33" s="50"/>
      <c r="R33" s="51">
        <f>(Tabla3[[#This Row],[MONTO]]+Tabla3[[#This Row],[MONTO2]]+Tabla3[[#This Row],[MONTO3]]+Tabla3[[#This Row],[MONTO4]]+Tabla3[[#This Row],[MONTO5]]+Tabla3[[#This Row],[MONTO6]]+Tabla3[[#This Row],[MONTO7]])</f>
        <v>27500000</v>
      </c>
      <c r="S33" s="67">
        <f t="shared" ref="S33:S35" si="5">R33-(R33*10%)</f>
        <v>24750000</v>
      </c>
      <c r="T33" s="54">
        <f t="shared" ref="T33:T35" si="6">(S33*1%)</f>
        <v>247500</v>
      </c>
      <c r="U33" s="54">
        <f>(Tabla3[[#This Row],[TOTAL -10%]]*Tabla3[[#This Row],[FIDUCIA]])</f>
        <v>24502500</v>
      </c>
      <c r="V33" s="54">
        <f>(Tabla3[[#This Row],[TOTAL -10%]]*Tabla3[[#This Row],[NUBE]])</f>
        <v>0</v>
      </c>
      <c r="W33" s="86" t="s">
        <v>40</v>
      </c>
      <c r="X33" s="84" t="s">
        <v>42</v>
      </c>
      <c r="Y33" s="85">
        <v>0.01</v>
      </c>
      <c r="Z33" s="85">
        <v>0.99</v>
      </c>
      <c r="AA33" s="85"/>
      <c r="AB33" s="87">
        <f t="shared" si="3"/>
        <v>1</v>
      </c>
      <c r="AC33" s="81" t="str">
        <f t="shared" si="4"/>
        <v>OK</v>
      </c>
    </row>
    <row r="34" spans="1:29" ht="31.5" x14ac:dyDescent="0.5">
      <c r="A34" s="70">
        <f t="shared" si="2"/>
        <v>15</v>
      </c>
      <c r="B34" s="112">
        <v>1075231467</v>
      </c>
      <c r="C34" s="115" t="s">
        <v>136</v>
      </c>
      <c r="D34" s="114">
        <v>6</v>
      </c>
      <c r="E34" s="50">
        <f>(Tabla3[[#This Row],[CANT]]*5000000)</f>
        <v>30000000</v>
      </c>
      <c r="F34" s="114"/>
      <c r="G34" s="50"/>
      <c r="H34" s="114"/>
      <c r="I34" s="50"/>
      <c r="J34" s="68"/>
      <c r="K34" s="50"/>
      <c r="L34" s="68"/>
      <c r="M34" s="50"/>
      <c r="N34" s="68"/>
      <c r="O34" s="50"/>
      <c r="P34" s="68"/>
      <c r="Q34" s="50"/>
      <c r="R34" s="51">
        <f>(Tabla3[[#This Row],[MONTO]]+Tabla3[[#This Row],[MONTO2]]+Tabla3[[#This Row],[MONTO3]]+Tabla3[[#This Row],[MONTO4]]+Tabla3[[#This Row],[MONTO5]]+Tabla3[[#This Row],[MONTO6]]+Tabla3[[#This Row],[MONTO7]])</f>
        <v>30000000</v>
      </c>
      <c r="S34" s="67">
        <f t="shared" si="5"/>
        <v>27000000</v>
      </c>
      <c r="T34" s="54">
        <f t="shared" si="6"/>
        <v>270000</v>
      </c>
      <c r="U34" s="54">
        <f>(Tabla3[[#This Row],[TOTAL -10%]]*Tabla3[[#This Row],[FIDUCIA]])</f>
        <v>26730000</v>
      </c>
      <c r="V34" s="54">
        <f>(Tabla3[[#This Row],[TOTAL -10%]]*Tabla3[[#This Row],[NUBE]])</f>
        <v>0</v>
      </c>
      <c r="W34" s="86" t="s">
        <v>40</v>
      </c>
      <c r="X34" s="84" t="s">
        <v>42</v>
      </c>
      <c r="Y34" s="85">
        <v>0.01</v>
      </c>
      <c r="Z34" s="85">
        <v>0.99</v>
      </c>
      <c r="AA34" s="85"/>
      <c r="AB34" s="87">
        <f t="shared" si="3"/>
        <v>1</v>
      </c>
      <c r="AC34" s="81" t="str">
        <f t="shared" si="4"/>
        <v>OK</v>
      </c>
    </row>
    <row r="35" spans="1:29" ht="31.5" x14ac:dyDescent="0.5">
      <c r="A35" s="70">
        <f t="shared" si="2"/>
        <v>16</v>
      </c>
      <c r="B35" s="112">
        <v>20563430</v>
      </c>
      <c r="C35" s="115" t="s">
        <v>137</v>
      </c>
      <c r="D35" s="114">
        <v>6</v>
      </c>
      <c r="E35" s="50">
        <f>(Tabla3[[#This Row],[CANT]]*5000000)</f>
        <v>30000000</v>
      </c>
      <c r="F35" s="114">
        <v>2</v>
      </c>
      <c r="G35" s="50">
        <v>20000000</v>
      </c>
      <c r="H35" s="114">
        <v>1</v>
      </c>
      <c r="I35" s="50">
        <v>7500000</v>
      </c>
      <c r="J35" s="68"/>
      <c r="K35" s="50"/>
      <c r="L35" s="68"/>
      <c r="M35" s="50"/>
      <c r="N35" s="68"/>
      <c r="O35" s="50"/>
      <c r="P35" s="68"/>
      <c r="Q35" s="50"/>
      <c r="R35" s="51">
        <f>(Tabla3[[#This Row],[MONTO]]+Tabla3[[#This Row],[MONTO2]]+Tabla3[[#This Row],[MONTO3]]+Tabla3[[#This Row],[MONTO4]]+Tabla3[[#This Row],[MONTO5]]+Tabla3[[#This Row],[MONTO6]]+Tabla3[[#This Row],[MONTO7]])</f>
        <v>57500000</v>
      </c>
      <c r="S35" s="67">
        <f t="shared" si="5"/>
        <v>51750000</v>
      </c>
      <c r="T35" s="54">
        <f t="shared" si="6"/>
        <v>517500</v>
      </c>
      <c r="U35" s="54">
        <f>(Tabla3[[#This Row],[TOTAL -10%]]*Tabla3[[#This Row],[FIDUCIA]])</f>
        <v>51232500</v>
      </c>
      <c r="V35" s="54">
        <f>(Tabla3[[#This Row],[TOTAL -10%]]*Tabla3[[#This Row],[NUBE]])</f>
        <v>0</v>
      </c>
      <c r="W35" s="86" t="s">
        <v>40</v>
      </c>
      <c r="X35" s="84" t="s">
        <v>42</v>
      </c>
      <c r="Y35" s="85">
        <v>0.01</v>
      </c>
      <c r="Z35" s="85">
        <v>0.99</v>
      </c>
      <c r="AA35" s="85"/>
      <c r="AB35" s="87">
        <f t="shared" si="3"/>
        <v>1</v>
      </c>
      <c r="AC35" s="81" t="str">
        <f t="shared" si="4"/>
        <v>OK</v>
      </c>
    </row>
    <row r="36" spans="1:29" ht="31.5" x14ac:dyDescent="0.5">
      <c r="A36" s="70">
        <f t="shared" si="2"/>
        <v>17</v>
      </c>
      <c r="B36" s="112">
        <v>1018473483</v>
      </c>
      <c r="C36" s="115" t="s">
        <v>138</v>
      </c>
      <c r="D36" s="114">
        <v>2</v>
      </c>
      <c r="E36" s="50">
        <f>(Tabla3[[#This Row],[CANT]]*5000000)</f>
        <v>10000000</v>
      </c>
      <c r="F36" s="114">
        <v>2</v>
      </c>
      <c r="G36" s="50">
        <v>20000000</v>
      </c>
      <c r="H36" s="114"/>
      <c r="I36" s="50"/>
      <c r="J36" s="68"/>
      <c r="K36" s="50"/>
      <c r="L36" s="68"/>
      <c r="M36" s="50"/>
      <c r="N36" s="68"/>
      <c r="O36" s="50"/>
      <c r="P36" s="68"/>
      <c r="Q36" s="50"/>
      <c r="R36" s="51">
        <f>(Tabla3[[#This Row],[MONTO]]+Tabla3[[#This Row],[MONTO2]]+Tabla3[[#This Row],[MONTO3]]+Tabla3[[#This Row],[MONTO4]]+Tabla3[[#This Row],[MONTO5]]+Tabla3[[#This Row],[MONTO6]]+Tabla3[[#This Row],[MONTO7]])</f>
        <v>30000000</v>
      </c>
      <c r="S36" s="67">
        <f t="shared" ref="S36:S64" si="7">R36-(R36*10%)</f>
        <v>27000000</v>
      </c>
      <c r="T36" s="54">
        <f t="shared" ref="T36:T64" si="8">(S36*1%)</f>
        <v>270000</v>
      </c>
      <c r="U36" s="54">
        <f>(Tabla3[[#This Row],[TOTAL -10%]]*Tabla3[[#This Row],[FIDUCIA]])</f>
        <v>10800000</v>
      </c>
      <c r="V36" s="54">
        <f>(Tabla3[[#This Row],[TOTAL -10%]]*Tabla3[[#This Row],[NUBE]])</f>
        <v>15930000</v>
      </c>
      <c r="W36" s="86" t="s">
        <v>40</v>
      </c>
      <c r="X36" s="117" t="s">
        <v>25</v>
      </c>
      <c r="Y36" s="85">
        <v>0.01</v>
      </c>
      <c r="Z36" s="85">
        <v>0.4</v>
      </c>
      <c r="AA36" s="118">
        <v>0.59</v>
      </c>
      <c r="AB36" s="119">
        <f t="shared" ref="AB36:AB64" si="9">SUM(Y36:AA36)</f>
        <v>1</v>
      </c>
      <c r="AC36" s="81" t="str">
        <f t="shared" si="4"/>
        <v>OK</v>
      </c>
    </row>
    <row r="37" spans="1:29" ht="31.5" x14ac:dyDescent="0.5">
      <c r="A37" s="70">
        <f t="shared" si="2"/>
        <v>18</v>
      </c>
      <c r="B37" s="112">
        <v>20647654</v>
      </c>
      <c r="C37" s="115" t="s">
        <v>139</v>
      </c>
      <c r="D37" s="114">
        <v>16</v>
      </c>
      <c r="E37" s="50">
        <f>(Tabla3[[#This Row],[CANT]]*5000000)</f>
        <v>80000000</v>
      </c>
      <c r="F37" s="114">
        <v>16</v>
      </c>
      <c r="G37" s="50">
        <v>160000000</v>
      </c>
      <c r="H37" s="114">
        <v>4</v>
      </c>
      <c r="I37" s="50">
        <v>30000000</v>
      </c>
      <c r="J37" s="68"/>
      <c r="K37" s="50"/>
      <c r="L37" s="68"/>
      <c r="M37" s="50"/>
      <c r="N37" s="68"/>
      <c r="O37" s="50"/>
      <c r="P37" s="68"/>
      <c r="Q37" s="50"/>
      <c r="R37" s="51">
        <f>(Tabla3[[#This Row],[MONTO]]+Tabla3[[#This Row],[MONTO2]]+Tabla3[[#This Row],[MONTO3]]+Tabla3[[#This Row],[MONTO4]]+Tabla3[[#This Row],[MONTO5]]+Tabla3[[#This Row],[MONTO6]]+Tabla3[[#This Row],[MONTO7]])</f>
        <v>270000000</v>
      </c>
      <c r="S37" s="67">
        <f t="shared" si="7"/>
        <v>243000000</v>
      </c>
      <c r="T37" s="54">
        <f t="shared" si="8"/>
        <v>2430000</v>
      </c>
      <c r="U37" s="130">
        <f>(Tabla3[[#This Row],[TOTAL -10%]]*Tabla3[[#This Row],[FIDUCIA]])</f>
        <v>0</v>
      </c>
      <c r="V37" s="130">
        <f>(Tabla3[[#This Row],[TOTAL -10%]]*Tabla3[[#This Row],[NUBE]])</f>
        <v>240570000</v>
      </c>
      <c r="W37" s="86" t="s">
        <v>40</v>
      </c>
      <c r="X37" s="117" t="s">
        <v>43</v>
      </c>
      <c r="Y37" s="85">
        <v>0.01</v>
      </c>
      <c r="Z37" s="85"/>
      <c r="AA37" s="85">
        <v>0.99</v>
      </c>
      <c r="AB37" s="119">
        <f t="shared" si="9"/>
        <v>1</v>
      </c>
      <c r="AC37" s="81" t="str">
        <f t="shared" si="4"/>
        <v>OK</v>
      </c>
    </row>
    <row r="38" spans="1:29" ht="31.5" x14ac:dyDescent="0.5">
      <c r="A38" s="70">
        <f t="shared" si="2"/>
        <v>19</v>
      </c>
      <c r="B38" s="112">
        <v>31496340</v>
      </c>
      <c r="C38" s="115" t="s">
        <v>140</v>
      </c>
      <c r="D38" s="114">
        <v>2</v>
      </c>
      <c r="E38" s="50">
        <f>(Tabla3[[#This Row],[CANT]]*5000000)</f>
        <v>10000000</v>
      </c>
      <c r="F38" s="114">
        <v>1</v>
      </c>
      <c r="G38" s="50">
        <v>10000000</v>
      </c>
      <c r="H38" s="114"/>
      <c r="I38" s="50"/>
      <c r="J38" s="68"/>
      <c r="K38" s="50"/>
      <c r="L38" s="68"/>
      <c r="M38" s="50"/>
      <c r="N38" s="68"/>
      <c r="O38" s="50"/>
      <c r="P38" s="68"/>
      <c r="Q38" s="50"/>
      <c r="R38" s="51">
        <f>(Tabla3[[#This Row],[MONTO]]+Tabla3[[#This Row],[MONTO2]]+Tabla3[[#This Row],[MONTO3]]+Tabla3[[#This Row],[MONTO4]]+Tabla3[[#This Row],[MONTO5]]+Tabla3[[#This Row],[MONTO6]]+Tabla3[[#This Row],[MONTO7]])</f>
        <v>20000000</v>
      </c>
      <c r="S38" s="67">
        <f t="shared" si="7"/>
        <v>18000000</v>
      </c>
      <c r="T38" s="54">
        <f t="shared" si="8"/>
        <v>180000</v>
      </c>
      <c r="U38" s="130">
        <f>(Tabla3[[#This Row],[TOTAL -10%]]*Tabla3[[#This Row],[FIDUCIA]])</f>
        <v>17820000</v>
      </c>
      <c r="V38" s="130">
        <f>(Tabla3[[#This Row],[TOTAL -10%]]*Tabla3[[#This Row],[NUBE]])</f>
        <v>0</v>
      </c>
      <c r="W38" s="86" t="s">
        <v>40</v>
      </c>
      <c r="X38" s="117" t="s">
        <v>42</v>
      </c>
      <c r="Y38" s="85">
        <v>0.01</v>
      </c>
      <c r="Z38" s="85">
        <v>0.99</v>
      </c>
      <c r="AA38" s="85"/>
      <c r="AB38" s="119">
        <f t="shared" si="9"/>
        <v>1</v>
      </c>
      <c r="AC38" s="81" t="str">
        <f t="shared" si="4"/>
        <v>OK</v>
      </c>
    </row>
    <row r="39" spans="1:29" ht="31.5" x14ac:dyDescent="0.5">
      <c r="A39" s="70">
        <f t="shared" si="2"/>
        <v>20</v>
      </c>
      <c r="B39" s="112">
        <v>11315984</v>
      </c>
      <c r="C39" s="115" t="s">
        <v>141</v>
      </c>
      <c r="D39" s="114">
        <v>12</v>
      </c>
      <c r="E39" s="50">
        <f>(Tabla3[[#This Row],[CANT]]*5000000)</f>
        <v>60000000</v>
      </c>
      <c r="F39" s="114"/>
      <c r="G39" s="50"/>
      <c r="H39" s="114"/>
      <c r="I39" s="50"/>
      <c r="J39" s="68">
        <v>1</v>
      </c>
      <c r="K39" s="50">
        <v>500000</v>
      </c>
      <c r="L39" s="68"/>
      <c r="M39" s="50"/>
      <c r="N39" s="68"/>
      <c r="O39" s="50"/>
      <c r="P39" s="68"/>
      <c r="Q39" s="50"/>
      <c r="R39" s="51">
        <f>(Tabla3[[#This Row],[MONTO]]+Tabla3[[#This Row],[MONTO2]]+Tabla3[[#This Row],[MONTO3]]+Tabla3[[#This Row],[MONTO4]]+Tabla3[[#This Row],[MONTO5]]+Tabla3[[#This Row],[MONTO6]]+Tabla3[[#This Row],[MONTO7]])</f>
        <v>60500000</v>
      </c>
      <c r="S39" s="67">
        <f t="shared" si="7"/>
        <v>54450000</v>
      </c>
      <c r="T39" s="54">
        <f t="shared" si="8"/>
        <v>544500</v>
      </c>
      <c r="U39" s="130">
        <f>(Tabla3[[#This Row],[TOTAL -10%]]*Tabla3[[#This Row],[FIDUCIA]])</f>
        <v>53905500</v>
      </c>
      <c r="V39" s="130">
        <f>(Tabla3[[#This Row],[TOTAL -10%]]*Tabla3[[#This Row],[NUBE]])</f>
        <v>0</v>
      </c>
      <c r="W39" s="86" t="s">
        <v>40</v>
      </c>
      <c r="X39" s="117" t="s">
        <v>42</v>
      </c>
      <c r="Y39" s="85">
        <v>0.01</v>
      </c>
      <c r="Z39" s="85">
        <v>0.99</v>
      </c>
      <c r="AA39" s="85"/>
      <c r="AB39" s="119">
        <f t="shared" si="9"/>
        <v>1</v>
      </c>
      <c r="AC39" s="81" t="str">
        <f t="shared" si="4"/>
        <v>OK</v>
      </c>
    </row>
    <row r="40" spans="1:29" ht="31.5" x14ac:dyDescent="0.5">
      <c r="A40" s="70">
        <f t="shared" si="2"/>
        <v>21</v>
      </c>
      <c r="B40" s="112">
        <v>1015413288</v>
      </c>
      <c r="C40" s="115" t="s">
        <v>142</v>
      </c>
      <c r="D40" s="114">
        <v>9</v>
      </c>
      <c r="E40" s="50">
        <f>(Tabla3[[#This Row],[CANT]]*5000000)</f>
        <v>45000000</v>
      </c>
      <c r="F40" s="114">
        <v>3</v>
      </c>
      <c r="G40" s="50">
        <v>30000000</v>
      </c>
      <c r="H40" s="114"/>
      <c r="I40" s="50"/>
      <c r="J40" s="68"/>
      <c r="K40" s="50"/>
      <c r="L40" s="68"/>
      <c r="M40" s="50"/>
      <c r="N40" s="68"/>
      <c r="O40" s="50"/>
      <c r="P40" s="68"/>
      <c r="Q40" s="50"/>
      <c r="R40" s="51">
        <f>(Tabla3[[#This Row],[MONTO]]+Tabla3[[#This Row],[MONTO2]]+Tabla3[[#This Row],[MONTO3]]+Tabla3[[#This Row],[MONTO4]]+Tabla3[[#This Row],[MONTO5]]+Tabla3[[#This Row],[MONTO6]]+Tabla3[[#This Row],[MONTO7]])</f>
        <v>75000000</v>
      </c>
      <c r="S40" s="67">
        <f t="shared" si="7"/>
        <v>67500000</v>
      </c>
      <c r="T40" s="54">
        <f t="shared" si="8"/>
        <v>675000</v>
      </c>
      <c r="U40" s="130">
        <f>(Tabla3[[#This Row],[TOTAL -10%]]*Tabla3[[#This Row],[FIDUCIA]])</f>
        <v>66825000</v>
      </c>
      <c r="V40" s="130">
        <f>(Tabla3[[#This Row],[TOTAL -10%]]*Tabla3[[#This Row],[NUBE]])</f>
        <v>0</v>
      </c>
      <c r="W40" s="86" t="s">
        <v>40</v>
      </c>
      <c r="X40" s="117" t="s">
        <v>42</v>
      </c>
      <c r="Y40" s="85">
        <v>0.01</v>
      </c>
      <c r="Z40" s="85">
        <v>0.99</v>
      </c>
      <c r="AA40" s="85"/>
      <c r="AB40" s="119">
        <f t="shared" si="9"/>
        <v>1</v>
      </c>
      <c r="AC40" s="81" t="str">
        <f t="shared" si="4"/>
        <v>OK</v>
      </c>
    </row>
    <row r="41" spans="1:29" ht="31.5" x14ac:dyDescent="0.5">
      <c r="A41" s="70">
        <f t="shared" si="2"/>
        <v>22</v>
      </c>
      <c r="B41" s="112">
        <v>1069720253</v>
      </c>
      <c r="C41" s="115" t="s">
        <v>143</v>
      </c>
      <c r="D41" s="114">
        <v>2</v>
      </c>
      <c r="E41" s="50">
        <f>(Tabla3[[#This Row],[CANT]]*5000000)</f>
        <v>10000000</v>
      </c>
      <c r="F41" s="114">
        <v>1</v>
      </c>
      <c r="G41" s="50">
        <v>10000000</v>
      </c>
      <c r="H41" s="114"/>
      <c r="I41" s="50"/>
      <c r="J41" s="68"/>
      <c r="K41" s="50"/>
      <c r="L41" s="68"/>
      <c r="M41" s="50"/>
      <c r="N41" s="68"/>
      <c r="O41" s="50"/>
      <c r="P41" s="68"/>
      <c r="Q41" s="50"/>
      <c r="R41" s="51">
        <f>(Tabla3[[#This Row],[MONTO]]+Tabla3[[#This Row],[MONTO2]]+Tabla3[[#This Row],[MONTO3]]+Tabla3[[#This Row],[MONTO4]]+Tabla3[[#This Row],[MONTO5]]+Tabla3[[#This Row],[MONTO6]]+Tabla3[[#This Row],[MONTO7]])</f>
        <v>20000000</v>
      </c>
      <c r="S41" s="67">
        <f t="shared" si="7"/>
        <v>18000000</v>
      </c>
      <c r="T41" s="54">
        <f t="shared" si="8"/>
        <v>180000</v>
      </c>
      <c r="U41" s="130">
        <f>(Tabla3[[#This Row],[TOTAL -10%]]*Tabla3[[#This Row],[FIDUCIA]])</f>
        <v>17820000</v>
      </c>
      <c r="V41" s="130">
        <f>(Tabla3[[#This Row],[TOTAL -10%]]*Tabla3[[#This Row],[NUBE]])</f>
        <v>0</v>
      </c>
      <c r="W41" s="86" t="s">
        <v>40</v>
      </c>
      <c r="X41" s="117" t="s">
        <v>42</v>
      </c>
      <c r="Y41" s="85">
        <v>0.01</v>
      </c>
      <c r="Z41" s="85">
        <v>0.99</v>
      </c>
      <c r="AA41" s="118"/>
      <c r="AB41" s="119">
        <f t="shared" si="9"/>
        <v>1</v>
      </c>
      <c r="AC41" s="81" t="str">
        <f t="shared" si="4"/>
        <v>OK</v>
      </c>
    </row>
    <row r="42" spans="1:29" ht="31.5" x14ac:dyDescent="0.5">
      <c r="A42" s="70">
        <f t="shared" si="2"/>
        <v>23</v>
      </c>
      <c r="B42" s="112">
        <v>11310744</v>
      </c>
      <c r="C42" s="115" t="s">
        <v>144</v>
      </c>
      <c r="D42" s="114">
        <v>6</v>
      </c>
      <c r="E42" s="50">
        <f>(Tabla3[[#This Row],[CANT]]*5000000)</f>
        <v>30000000</v>
      </c>
      <c r="F42" s="114">
        <v>2</v>
      </c>
      <c r="G42" s="50">
        <v>20000000</v>
      </c>
      <c r="H42" s="114">
        <v>3</v>
      </c>
      <c r="I42" s="50">
        <v>22500000</v>
      </c>
      <c r="J42" s="68"/>
      <c r="K42" s="50"/>
      <c r="L42" s="68"/>
      <c r="M42" s="50"/>
      <c r="N42" s="68"/>
      <c r="O42" s="50"/>
      <c r="P42" s="68"/>
      <c r="Q42" s="50"/>
      <c r="R42" s="51">
        <f>(Tabla3[[#This Row],[MONTO]]+Tabla3[[#This Row],[MONTO2]]+Tabla3[[#This Row],[MONTO3]]+Tabla3[[#This Row],[MONTO4]]+Tabla3[[#This Row],[MONTO5]]+Tabla3[[#This Row],[MONTO6]]+Tabla3[[#This Row],[MONTO7]])</f>
        <v>72500000</v>
      </c>
      <c r="S42" s="67">
        <f t="shared" si="7"/>
        <v>65250000</v>
      </c>
      <c r="T42" s="54">
        <f t="shared" si="8"/>
        <v>652500</v>
      </c>
      <c r="U42" s="130">
        <f>(Tabla3[[#This Row],[TOTAL -10%]]*Tabla3[[#This Row],[FIDUCIA]])</f>
        <v>64597500</v>
      </c>
      <c r="V42" s="130">
        <f>(Tabla3[[#This Row],[TOTAL -10%]]*Tabla3[[#This Row],[NUBE]])</f>
        <v>0</v>
      </c>
      <c r="W42" s="86" t="s">
        <v>40</v>
      </c>
      <c r="X42" s="117" t="s">
        <v>42</v>
      </c>
      <c r="Y42" s="85">
        <v>0.01</v>
      </c>
      <c r="Z42" s="85">
        <v>0.99</v>
      </c>
      <c r="AA42" s="85"/>
      <c r="AB42" s="119">
        <f t="shared" si="9"/>
        <v>1</v>
      </c>
      <c r="AC42" s="81" t="str">
        <f t="shared" si="4"/>
        <v>OK</v>
      </c>
    </row>
    <row r="43" spans="1:29" ht="31.5" x14ac:dyDescent="0.5">
      <c r="A43" s="70">
        <f t="shared" si="2"/>
        <v>24</v>
      </c>
      <c r="B43" s="112">
        <v>1000862511</v>
      </c>
      <c r="C43" s="115" t="s">
        <v>145</v>
      </c>
      <c r="D43" s="114">
        <v>2</v>
      </c>
      <c r="E43" s="50">
        <f>(Tabla3[[#This Row],[CANT]]*5000000)</f>
        <v>10000000</v>
      </c>
      <c r="F43" s="114"/>
      <c r="G43" s="50"/>
      <c r="H43" s="114"/>
      <c r="I43" s="50"/>
      <c r="J43" s="68"/>
      <c r="K43" s="50"/>
      <c r="L43" s="68"/>
      <c r="M43" s="50"/>
      <c r="N43" s="68"/>
      <c r="O43" s="50"/>
      <c r="P43" s="68"/>
      <c r="Q43" s="50"/>
      <c r="R43" s="51">
        <f>(Tabla3[[#This Row],[MONTO]]+Tabla3[[#This Row],[MONTO2]]+Tabla3[[#This Row],[MONTO3]]+Tabla3[[#This Row],[MONTO4]]+Tabla3[[#This Row],[MONTO5]]+Tabla3[[#This Row],[MONTO6]]+Tabla3[[#This Row],[MONTO7]])</f>
        <v>10000000</v>
      </c>
      <c r="S43" s="67">
        <f t="shared" si="7"/>
        <v>9000000</v>
      </c>
      <c r="T43" s="54">
        <f t="shared" si="8"/>
        <v>90000</v>
      </c>
      <c r="U43" s="130">
        <f>(Tabla3[[#This Row],[TOTAL -10%]]*Tabla3[[#This Row],[FIDUCIA]])</f>
        <v>8910000</v>
      </c>
      <c r="V43" s="130">
        <f>(Tabla3[[#This Row],[TOTAL -10%]]*Tabla3[[#This Row],[NUBE]])</f>
        <v>0</v>
      </c>
      <c r="W43" s="86" t="s">
        <v>40</v>
      </c>
      <c r="X43" s="117" t="s">
        <v>42</v>
      </c>
      <c r="Y43" s="85">
        <v>0.01</v>
      </c>
      <c r="Z43" s="85">
        <v>0.99</v>
      </c>
      <c r="AA43" s="118"/>
      <c r="AB43" s="119">
        <f t="shared" si="9"/>
        <v>1</v>
      </c>
      <c r="AC43" s="81" t="str">
        <f t="shared" si="4"/>
        <v>OK</v>
      </c>
    </row>
    <row r="44" spans="1:29" ht="31.5" x14ac:dyDescent="0.5">
      <c r="A44" s="70">
        <f t="shared" si="2"/>
        <v>25</v>
      </c>
      <c r="B44" s="112">
        <v>11223744</v>
      </c>
      <c r="C44" s="115" t="s">
        <v>146</v>
      </c>
      <c r="D44" s="114">
        <v>9</v>
      </c>
      <c r="E44" s="50">
        <f>(Tabla3[[#This Row],[CANT]]*5000000)</f>
        <v>45000000</v>
      </c>
      <c r="F44" s="114">
        <v>1</v>
      </c>
      <c r="G44" s="50">
        <v>10000000</v>
      </c>
      <c r="H44" s="114">
        <v>1</v>
      </c>
      <c r="I44" s="50">
        <v>7500000</v>
      </c>
      <c r="J44" s="68"/>
      <c r="K44" s="50"/>
      <c r="L44" s="68"/>
      <c r="M44" s="50"/>
      <c r="N44" s="68"/>
      <c r="O44" s="50"/>
      <c r="P44" s="68"/>
      <c r="Q44" s="50"/>
      <c r="R44" s="51">
        <f>(Tabla3[[#This Row],[MONTO]]+Tabla3[[#This Row],[MONTO2]]+Tabla3[[#This Row],[MONTO3]]+Tabla3[[#This Row],[MONTO4]]+Tabla3[[#This Row],[MONTO5]]+Tabla3[[#This Row],[MONTO6]]+Tabla3[[#This Row],[MONTO7]])</f>
        <v>62500000</v>
      </c>
      <c r="S44" s="67">
        <f t="shared" si="7"/>
        <v>56250000</v>
      </c>
      <c r="T44" s="54">
        <f t="shared" si="8"/>
        <v>562500</v>
      </c>
      <c r="U44" s="130">
        <f>(Tabla3[[#This Row],[TOTAL -10%]]*Tabla3[[#This Row],[FIDUCIA]])</f>
        <v>55687500</v>
      </c>
      <c r="V44" s="130">
        <f>(Tabla3[[#This Row],[TOTAL -10%]]*Tabla3[[#This Row],[NUBE]])</f>
        <v>0</v>
      </c>
      <c r="W44" s="86" t="s">
        <v>40</v>
      </c>
      <c r="X44" s="117" t="s">
        <v>42</v>
      </c>
      <c r="Y44" s="85">
        <v>0.01</v>
      </c>
      <c r="Z44" s="85">
        <v>0.99</v>
      </c>
      <c r="AA44" s="85"/>
      <c r="AB44" s="119">
        <f t="shared" si="9"/>
        <v>1</v>
      </c>
      <c r="AC44" s="81" t="str">
        <f t="shared" si="4"/>
        <v>OK</v>
      </c>
    </row>
    <row r="45" spans="1:29" ht="31.5" x14ac:dyDescent="0.5">
      <c r="A45" s="70">
        <f t="shared" si="2"/>
        <v>26</v>
      </c>
      <c r="B45" s="112">
        <v>79912646</v>
      </c>
      <c r="C45" s="115" t="s">
        <v>147</v>
      </c>
      <c r="D45" s="114">
        <v>8</v>
      </c>
      <c r="E45" s="50">
        <f>(Tabla3[[#This Row],[CANT]]*5000000)</f>
        <v>40000000</v>
      </c>
      <c r="F45" s="114">
        <v>7</v>
      </c>
      <c r="G45" s="50">
        <v>70000000</v>
      </c>
      <c r="H45" s="114">
        <v>4</v>
      </c>
      <c r="I45" s="50">
        <v>30000000</v>
      </c>
      <c r="J45" s="68"/>
      <c r="K45" s="50"/>
      <c r="L45" s="68"/>
      <c r="M45" s="50"/>
      <c r="N45" s="68"/>
      <c r="O45" s="50"/>
      <c r="P45" s="68"/>
      <c r="Q45" s="50"/>
      <c r="R45" s="51">
        <f>(Tabla3[[#This Row],[MONTO]]+Tabla3[[#This Row],[MONTO2]]+Tabla3[[#This Row],[MONTO3]]+Tabla3[[#This Row],[MONTO4]]+Tabla3[[#This Row],[MONTO5]]+Tabla3[[#This Row],[MONTO6]]+Tabla3[[#This Row],[MONTO7]])</f>
        <v>140000000</v>
      </c>
      <c r="S45" s="67">
        <f t="shared" si="7"/>
        <v>126000000</v>
      </c>
      <c r="T45" s="54">
        <f t="shared" si="8"/>
        <v>1260000</v>
      </c>
      <c r="U45" s="130">
        <f>(Tabla3[[#This Row],[TOTAL -10%]]*Tabla3[[#This Row],[FIDUCIA]])</f>
        <v>124740000</v>
      </c>
      <c r="V45" s="130">
        <f>(Tabla3[[#This Row],[TOTAL -10%]]*Tabla3[[#This Row],[NUBE]])</f>
        <v>0</v>
      </c>
      <c r="W45" s="86" t="s">
        <v>40</v>
      </c>
      <c r="X45" s="117" t="s">
        <v>42</v>
      </c>
      <c r="Y45" s="85">
        <v>0.01</v>
      </c>
      <c r="Z45" s="85">
        <v>0.99</v>
      </c>
      <c r="AA45" s="85"/>
      <c r="AB45" s="119">
        <f t="shared" si="9"/>
        <v>1</v>
      </c>
      <c r="AC45" s="81" t="str">
        <f t="shared" si="4"/>
        <v>OK</v>
      </c>
    </row>
    <row r="46" spans="1:29" ht="31.5" x14ac:dyDescent="0.5">
      <c r="A46" s="70">
        <f t="shared" si="2"/>
        <v>27</v>
      </c>
      <c r="B46" s="112">
        <v>1018492143</v>
      </c>
      <c r="C46" s="115" t="s">
        <v>148</v>
      </c>
      <c r="D46" s="114">
        <v>4</v>
      </c>
      <c r="E46" s="50">
        <f>(Tabla3[[#This Row],[CANT]]*5000000)</f>
        <v>20000000</v>
      </c>
      <c r="F46" s="114">
        <v>1</v>
      </c>
      <c r="G46" s="50">
        <v>10000000</v>
      </c>
      <c r="H46" s="114"/>
      <c r="I46" s="50"/>
      <c r="J46" s="68"/>
      <c r="K46" s="50"/>
      <c r="L46" s="68"/>
      <c r="M46" s="50"/>
      <c r="N46" s="68"/>
      <c r="O46" s="50"/>
      <c r="P46" s="68"/>
      <c r="Q46" s="50"/>
      <c r="R46" s="51">
        <f>(Tabla3[[#This Row],[MONTO]]+Tabla3[[#This Row],[MONTO2]]+Tabla3[[#This Row],[MONTO3]]+Tabla3[[#This Row],[MONTO4]]+Tabla3[[#This Row],[MONTO5]]+Tabla3[[#This Row],[MONTO6]]+Tabla3[[#This Row],[MONTO7]])</f>
        <v>30000000</v>
      </c>
      <c r="S46" s="67">
        <f t="shared" si="7"/>
        <v>27000000</v>
      </c>
      <c r="T46" s="54">
        <f t="shared" si="8"/>
        <v>270000</v>
      </c>
      <c r="U46" s="130">
        <f>(Tabla3[[#This Row],[TOTAL -10%]]*Tabla3[[#This Row],[FIDUCIA]])</f>
        <v>10800000</v>
      </c>
      <c r="V46" s="130">
        <f>(Tabla3[[#This Row],[TOTAL -10%]]*Tabla3[[#This Row],[NUBE]])</f>
        <v>15930000</v>
      </c>
      <c r="W46" s="86" t="s">
        <v>40</v>
      </c>
      <c r="X46" s="117" t="s">
        <v>25</v>
      </c>
      <c r="Y46" s="85">
        <v>0.01</v>
      </c>
      <c r="Z46" s="85">
        <v>0.4</v>
      </c>
      <c r="AA46" s="118">
        <v>0.59</v>
      </c>
      <c r="AB46" s="119">
        <f t="shared" si="9"/>
        <v>1</v>
      </c>
      <c r="AC46" s="81" t="str">
        <f t="shared" si="4"/>
        <v>OK</v>
      </c>
    </row>
    <row r="47" spans="1:29" ht="31.5" x14ac:dyDescent="0.5">
      <c r="A47" s="70">
        <f t="shared" si="2"/>
        <v>28</v>
      </c>
      <c r="B47" s="112">
        <v>1034659000</v>
      </c>
      <c r="C47" s="115" t="s">
        <v>149</v>
      </c>
      <c r="D47" s="114">
        <v>2</v>
      </c>
      <c r="E47" s="50">
        <f>(Tabla3[[#This Row],[CANT]]*5000000)</f>
        <v>10000000</v>
      </c>
      <c r="F47" s="114"/>
      <c r="G47" s="50"/>
      <c r="H47" s="114"/>
      <c r="I47" s="50"/>
      <c r="J47" s="68"/>
      <c r="K47" s="50"/>
      <c r="L47" s="68"/>
      <c r="M47" s="50"/>
      <c r="N47" s="68"/>
      <c r="O47" s="50"/>
      <c r="P47" s="68"/>
      <c r="Q47" s="50"/>
      <c r="R47" s="51">
        <f>(Tabla3[[#This Row],[MONTO]]+Tabla3[[#This Row],[MONTO2]]+Tabla3[[#This Row],[MONTO3]]+Tabla3[[#This Row],[MONTO4]]+Tabla3[[#This Row],[MONTO5]]+Tabla3[[#This Row],[MONTO6]]+Tabla3[[#This Row],[MONTO7]])</f>
        <v>10000000</v>
      </c>
      <c r="S47" s="67">
        <f t="shared" si="7"/>
        <v>9000000</v>
      </c>
      <c r="T47" s="54">
        <f t="shared" si="8"/>
        <v>90000</v>
      </c>
      <c r="U47" s="130">
        <f>(Tabla3[[#This Row],[TOTAL -10%]]*Tabla3[[#This Row],[FIDUCIA]])</f>
        <v>8910000</v>
      </c>
      <c r="V47" s="130">
        <f>(Tabla3[[#This Row],[TOTAL -10%]]*Tabla3[[#This Row],[NUBE]])</f>
        <v>0</v>
      </c>
      <c r="W47" s="86" t="s">
        <v>40</v>
      </c>
      <c r="X47" s="117" t="s">
        <v>42</v>
      </c>
      <c r="Y47" s="85">
        <v>0.01</v>
      </c>
      <c r="Z47" s="85">
        <v>0.99</v>
      </c>
      <c r="AA47" s="118"/>
      <c r="AB47" s="119">
        <f t="shared" si="9"/>
        <v>1</v>
      </c>
      <c r="AC47" s="81" t="str">
        <f t="shared" si="4"/>
        <v>OK</v>
      </c>
    </row>
    <row r="48" spans="1:29" ht="31.5" x14ac:dyDescent="0.5">
      <c r="A48" s="70">
        <f t="shared" si="2"/>
        <v>29</v>
      </c>
      <c r="B48" s="112">
        <v>1014248041</v>
      </c>
      <c r="C48" s="115" t="s">
        <v>150</v>
      </c>
      <c r="D48" s="114">
        <v>6</v>
      </c>
      <c r="E48" s="50">
        <f>(Tabla3[[#This Row],[CANT]]*5000000)</f>
        <v>30000000</v>
      </c>
      <c r="F48" s="114"/>
      <c r="G48" s="50"/>
      <c r="H48" s="114"/>
      <c r="I48" s="50"/>
      <c r="J48" s="68"/>
      <c r="K48" s="50"/>
      <c r="L48" s="68"/>
      <c r="M48" s="50"/>
      <c r="N48" s="68"/>
      <c r="O48" s="50"/>
      <c r="P48" s="68"/>
      <c r="Q48" s="50"/>
      <c r="R48" s="51">
        <f>(Tabla3[[#This Row],[MONTO]]+Tabla3[[#This Row],[MONTO2]]+Tabla3[[#This Row],[MONTO3]]+Tabla3[[#This Row],[MONTO4]]+Tabla3[[#This Row],[MONTO5]]+Tabla3[[#This Row],[MONTO6]]+Tabla3[[#This Row],[MONTO7]])</f>
        <v>30000000</v>
      </c>
      <c r="S48" s="67">
        <f t="shared" si="7"/>
        <v>27000000</v>
      </c>
      <c r="T48" s="54">
        <f t="shared" si="8"/>
        <v>270000</v>
      </c>
      <c r="U48" s="130">
        <f>(Tabla3[[#This Row],[TOTAL -10%]]*Tabla3[[#This Row],[FIDUCIA]])</f>
        <v>26730000</v>
      </c>
      <c r="V48" s="130">
        <f>(Tabla3[[#This Row],[TOTAL -10%]]*Tabla3[[#This Row],[NUBE]])</f>
        <v>0</v>
      </c>
      <c r="W48" s="86" t="s">
        <v>40</v>
      </c>
      <c r="X48" s="117" t="s">
        <v>42</v>
      </c>
      <c r="Y48" s="85">
        <v>0.01</v>
      </c>
      <c r="Z48" s="85">
        <v>0.99</v>
      </c>
      <c r="AA48" s="85"/>
      <c r="AB48" s="119">
        <f t="shared" si="9"/>
        <v>1</v>
      </c>
      <c r="AC48" s="81" t="str">
        <f t="shared" si="4"/>
        <v>OK</v>
      </c>
    </row>
    <row r="49" spans="1:29" ht="31.5" x14ac:dyDescent="0.5">
      <c r="A49" s="70">
        <f t="shared" si="2"/>
        <v>30</v>
      </c>
      <c r="B49" s="112">
        <v>52286781</v>
      </c>
      <c r="C49" s="115" t="s">
        <v>151</v>
      </c>
      <c r="D49" s="114">
        <v>2</v>
      </c>
      <c r="E49" s="50">
        <f>(Tabla3[[#This Row],[CANT]]*5000000)</f>
        <v>10000000</v>
      </c>
      <c r="F49" s="114"/>
      <c r="G49" s="50"/>
      <c r="H49" s="114">
        <v>1</v>
      </c>
      <c r="I49" s="50">
        <v>7500000</v>
      </c>
      <c r="J49" s="68"/>
      <c r="K49" s="50"/>
      <c r="L49" s="68"/>
      <c r="M49" s="50"/>
      <c r="N49" s="68"/>
      <c r="O49" s="50"/>
      <c r="P49" s="68"/>
      <c r="Q49" s="50"/>
      <c r="R49" s="51">
        <f>(Tabla3[[#This Row],[MONTO]]+Tabla3[[#This Row],[MONTO2]]+Tabla3[[#This Row],[MONTO3]]+Tabla3[[#This Row],[MONTO4]]+Tabla3[[#This Row],[MONTO5]]+Tabla3[[#This Row],[MONTO6]]+Tabla3[[#This Row],[MONTO7]])</f>
        <v>17500000</v>
      </c>
      <c r="S49" s="67">
        <f t="shared" si="7"/>
        <v>15750000</v>
      </c>
      <c r="T49" s="54">
        <f t="shared" si="8"/>
        <v>157500</v>
      </c>
      <c r="U49" s="130">
        <f>(Tabla3[[#This Row],[TOTAL -10%]]*Tabla3[[#This Row],[FIDUCIA]])</f>
        <v>15592500</v>
      </c>
      <c r="V49" s="130">
        <f>(Tabla3[[#This Row],[TOTAL -10%]]*Tabla3[[#This Row],[NUBE]])</f>
        <v>0</v>
      </c>
      <c r="W49" s="86" t="s">
        <v>40</v>
      </c>
      <c r="X49" s="117" t="s">
        <v>42</v>
      </c>
      <c r="Y49" s="85">
        <v>0.01</v>
      </c>
      <c r="Z49" s="85">
        <v>0.99</v>
      </c>
      <c r="AA49" s="85"/>
      <c r="AB49" s="119">
        <f t="shared" si="9"/>
        <v>1</v>
      </c>
      <c r="AC49" s="81" t="str">
        <f t="shared" si="4"/>
        <v>OK</v>
      </c>
    </row>
    <row r="50" spans="1:29" ht="31.5" x14ac:dyDescent="0.5">
      <c r="A50" s="70">
        <f t="shared" si="2"/>
        <v>31</v>
      </c>
      <c r="B50" s="116">
        <v>3209263</v>
      </c>
      <c r="C50" s="135" t="s">
        <v>152</v>
      </c>
      <c r="D50" s="114">
        <v>8</v>
      </c>
      <c r="E50" s="50">
        <f>(Tabla3[[#This Row],[CANT]]*5000000)</f>
        <v>40000000</v>
      </c>
      <c r="F50" s="114">
        <v>1</v>
      </c>
      <c r="G50" s="50">
        <v>10000000</v>
      </c>
      <c r="H50" s="114">
        <v>1</v>
      </c>
      <c r="I50" s="50">
        <v>7500000</v>
      </c>
      <c r="J50" s="68"/>
      <c r="K50" s="50"/>
      <c r="L50" s="68"/>
      <c r="M50" s="50"/>
      <c r="N50" s="68"/>
      <c r="O50" s="50"/>
      <c r="P50" s="68"/>
      <c r="Q50" s="50"/>
      <c r="R50" s="51">
        <f>(Tabla3[[#This Row],[MONTO]]+Tabla3[[#This Row],[MONTO2]]+Tabla3[[#This Row],[MONTO3]]+Tabla3[[#This Row],[MONTO4]]+Tabla3[[#This Row],[MONTO5]]+Tabla3[[#This Row],[MONTO6]]+Tabla3[[#This Row],[MONTO7]])</f>
        <v>57500000</v>
      </c>
      <c r="S50" s="67">
        <f t="shared" si="7"/>
        <v>51750000</v>
      </c>
      <c r="T50" s="54">
        <f t="shared" si="8"/>
        <v>517500</v>
      </c>
      <c r="U50" s="130">
        <f>(Tabla3[[#This Row],[TOTAL -10%]]*Tabla3[[#This Row],[FIDUCIA]])</f>
        <v>0</v>
      </c>
      <c r="V50" s="130">
        <f>(Tabla3[[#This Row],[TOTAL -10%]]*Tabla3[[#This Row],[NUBE]])</f>
        <v>51232500</v>
      </c>
      <c r="W50" s="86" t="s">
        <v>40</v>
      </c>
      <c r="X50" s="117" t="s">
        <v>43</v>
      </c>
      <c r="Y50" s="85">
        <v>0.01</v>
      </c>
      <c r="Z50" s="118"/>
      <c r="AA50" s="85">
        <v>0.99</v>
      </c>
      <c r="AB50" s="119">
        <f t="shared" si="9"/>
        <v>1</v>
      </c>
      <c r="AC50" s="81" t="str">
        <f t="shared" si="4"/>
        <v>OK</v>
      </c>
    </row>
    <row r="51" spans="1:29" ht="31.5" x14ac:dyDescent="0.5">
      <c r="A51" s="70">
        <f t="shared" si="2"/>
        <v>32</v>
      </c>
      <c r="B51" s="116">
        <v>79427033</v>
      </c>
      <c r="C51" s="135" t="s">
        <v>153</v>
      </c>
      <c r="D51" s="114">
        <v>4</v>
      </c>
      <c r="E51" s="50">
        <f>(Tabla3[[#This Row],[CANT]]*5000000)</f>
        <v>20000000</v>
      </c>
      <c r="F51" s="114"/>
      <c r="G51" s="50"/>
      <c r="H51" s="114"/>
      <c r="I51" s="50"/>
      <c r="J51" s="68"/>
      <c r="K51" s="50"/>
      <c r="L51" s="68"/>
      <c r="M51" s="50"/>
      <c r="N51" s="68"/>
      <c r="O51" s="50"/>
      <c r="P51" s="68"/>
      <c r="Q51" s="50"/>
      <c r="R51" s="51">
        <f>(Tabla3[[#This Row],[MONTO]]+Tabla3[[#This Row],[MONTO2]]+Tabla3[[#This Row],[MONTO3]]+Tabla3[[#This Row],[MONTO4]]+Tabla3[[#This Row],[MONTO5]]+Tabla3[[#This Row],[MONTO6]]+Tabla3[[#This Row],[MONTO7]])</f>
        <v>20000000</v>
      </c>
      <c r="S51" s="67">
        <f t="shared" si="7"/>
        <v>18000000</v>
      </c>
      <c r="T51" s="54">
        <f t="shared" si="8"/>
        <v>180000</v>
      </c>
      <c r="U51" s="130">
        <f>(Tabla3[[#This Row],[TOTAL -10%]]*Tabla3[[#This Row],[FIDUCIA]])</f>
        <v>17820000</v>
      </c>
      <c r="V51" s="130">
        <f>(Tabla3[[#This Row],[TOTAL -10%]]*Tabla3[[#This Row],[NUBE]])</f>
        <v>0</v>
      </c>
      <c r="W51" s="86" t="s">
        <v>40</v>
      </c>
      <c r="X51" s="117" t="s">
        <v>42</v>
      </c>
      <c r="Y51" s="85">
        <v>0.01</v>
      </c>
      <c r="Z51" s="85">
        <v>0.99</v>
      </c>
      <c r="AA51" s="118"/>
      <c r="AB51" s="119">
        <f t="shared" si="9"/>
        <v>1</v>
      </c>
      <c r="AC51" s="81" t="str">
        <f t="shared" si="4"/>
        <v>OK</v>
      </c>
    </row>
    <row r="52" spans="1:29" ht="31.5" x14ac:dyDescent="0.5">
      <c r="A52" s="70">
        <f t="shared" si="2"/>
        <v>33</v>
      </c>
      <c r="B52" s="116">
        <v>11312576</v>
      </c>
      <c r="C52" s="135" t="s">
        <v>154</v>
      </c>
      <c r="D52" s="114">
        <v>3</v>
      </c>
      <c r="E52" s="50">
        <f>(Tabla3[[#This Row],[CANT]]*5000000)</f>
        <v>15000000</v>
      </c>
      <c r="F52" s="114"/>
      <c r="G52" s="50"/>
      <c r="H52" s="114"/>
      <c r="I52" s="50"/>
      <c r="J52" s="68"/>
      <c r="K52" s="50"/>
      <c r="L52" s="68"/>
      <c r="M52" s="50"/>
      <c r="N52" s="68"/>
      <c r="O52" s="50"/>
      <c r="P52" s="68"/>
      <c r="Q52" s="50"/>
      <c r="R52" s="51">
        <f>(Tabla3[[#This Row],[MONTO]]+Tabla3[[#This Row],[MONTO2]]+Tabla3[[#This Row],[MONTO3]]+Tabla3[[#This Row],[MONTO4]]+Tabla3[[#This Row],[MONTO5]]+Tabla3[[#This Row],[MONTO6]]+Tabla3[[#This Row],[MONTO7]])</f>
        <v>15000000</v>
      </c>
      <c r="S52" s="67">
        <f t="shared" si="7"/>
        <v>13500000</v>
      </c>
      <c r="T52" s="54">
        <f t="shared" si="8"/>
        <v>135000</v>
      </c>
      <c r="U52" s="130">
        <f>(Tabla3[[#This Row],[TOTAL -10%]]*Tabla3[[#This Row],[FIDUCIA]])</f>
        <v>13365000</v>
      </c>
      <c r="V52" s="130">
        <f>(Tabla3[[#This Row],[TOTAL -10%]]*Tabla3[[#This Row],[NUBE]])</f>
        <v>0</v>
      </c>
      <c r="W52" s="86" t="s">
        <v>40</v>
      </c>
      <c r="X52" s="117" t="s">
        <v>42</v>
      </c>
      <c r="Y52" s="85">
        <v>0.01</v>
      </c>
      <c r="Z52" s="85">
        <v>0.99</v>
      </c>
      <c r="AA52" s="118"/>
      <c r="AB52" s="119">
        <f t="shared" si="9"/>
        <v>1</v>
      </c>
      <c r="AC52" s="81" t="str">
        <f t="shared" si="4"/>
        <v>OK</v>
      </c>
    </row>
    <row r="53" spans="1:29" ht="31.5" x14ac:dyDescent="0.5">
      <c r="A53" s="70">
        <f t="shared" si="2"/>
        <v>34</v>
      </c>
      <c r="B53" s="116">
        <v>1003517850</v>
      </c>
      <c r="C53" s="135" t="s">
        <v>155</v>
      </c>
      <c r="D53" s="114">
        <v>2</v>
      </c>
      <c r="E53" s="50">
        <f>(Tabla3[[#This Row],[CANT]]*5000000)</f>
        <v>10000000</v>
      </c>
      <c r="F53" s="114"/>
      <c r="G53" s="50"/>
      <c r="H53" s="114">
        <v>1</v>
      </c>
      <c r="I53" s="50">
        <v>7500000</v>
      </c>
      <c r="J53" s="68"/>
      <c r="K53" s="50"/>
      <c r="L53" s="68"/>
      <c r="M53" s="50"/>
      <c r="N53" s="68"/>
      <c r="O53" s="50"/>
      <c r="P53" s="68"/>
      <c r="Q53" s="50"/>
      <c r="R53" s="51">
        <f>(Tabla3[[#This Row],[MONTO]]+Tabla3[[#This Row],[MONTO2]]+Tabla3[[#This Row],[MONTO3]]+Tabla3[[#This Row],[MONTO4]]+Tabla3[[#This Row],[MONTO5]]+Tabla3[[#This Row],[MONTO6]]+Tabla3[[#This Row],[MONTO7]])</f>
        <v>17500000</v>
      </c>
      <c r="S53" s="67">
        <f t="shared" si="7"/>
        <v>15750000</v>
      </c>
      <c r="T53" s="54">
        <f t="shared" si="8"/>
        <v>157500</v>
      </c>
      <c r="U53" s="130">
        <f>(Tabla3[[#This Row],[TOTAL -10%]]*Tabla3[[#This Row],[FIDUCIA]])</f>
        <v>15592500</v>
      </c>
      <c r="V53" s="130">
        <f>(Tabla3[[#This Row],[TOTAL -10%]]*Tabla3[[#This Row],[NUBE]])</f>
        <v>0</v>
      </c>
      <c r="W53" s="86" t="s">
        <v>40</v>
      </c>
      <c r="X53" s="117" t="s">
        <v>42</v>
      </c>
      <c r="Y53" s="85">
        <v>0.01</v>
      </c>
      <c r="Z53" s="85">
        <v>0.99</v>
      </c>
      <c r="AA53" s="85"/>
      <c r="AB53" s="119">
        <f t="shared" si="9"/>
        <v>1</v>
      </c>
      <c r="AC53" s="81" t="str">
        <f t="shared" si="4"/>
        <v>OK</v>
      </c>
    </row>
    <row r="54" spans="1:29" ht="31.5" x14ac:dyDescent="0.5">
      <c r="A54" s="70">
        <f t="shared" si="2"/>
        <v>35</v>
      </c>
      <c r="B54" s="116">
        <v>11303585</v>
      </c>
      <c r="C54" s="135" t="s">
        <v>156</v>
      </c>
      <c r="D54" s="114">
        <v>2</v>
      </c>
      <c r="E54" s="50">
        <f>(Tabla3[[#This Row],[CANT]]*5000000)</f>
        <v>10000000</v>
      </c>
      <c r="F54" s="114"/>
      <c r="G54" s="50"/>
      <c r="H54" s="114"/>
      <c r="I54" s="50"/>
      <c r="J54" s="68"/>
      <c r="K54" s="50"/>
      <c r="L54" s="68"/>
      <c r="M54" s="50"/>
      <c r="N54" s="68"/>
      <c r="O54" s="50"/>
      <c r="P54" s="68"/>
      <c r="Q54" s="50"/>
      <c r="R54" s="51">
        <f>(Tabla3[[#This Row],[MONTO]]+Tabla3[[#This Row],[MONTO2]]+Tabla3[[#This Row],[MONTO3]]+Tabla3[[#This Row],[MONTO4]]+Tabla3[[#This Row],[MONTO5]]+Tabla3[[#This Row],[MONTO6]]+Tabla3[[#This Row],[MONTO7]])</f>
        <v>10000000</v>
      </c>
      <c r="S54" s="67">
        <f t="shared" si="7"/>
        <v>9000000</v>
      </c>
      <c r="T54" s="54">
        <f t="shared" si="8"/>
        <v>90000</v>
      </c>
      <c r="U54" s="130">
        <f>(Tabla3[[#This Row],[TOTAL -10%]]*Tabla3[[#This Row],[FIDUCIA]])</f>
        <v>8910000</v>
      </c>
      <c r="V54" s="130">
        <f>(Tabla3[[#This Row],[TOTAL -10%]]*Tabla3[[#This Row],[NUBE]])</f>
        <v>0</v>
      </c>
      <c r="W54" s="86" t="s">
        <v>40</v>
      </c>
      <c r="X54" s="117" t="s">
        <v>42</v>
      </c>
      <c r="Y54" s="85">
        <v>0.01</v>
      </c>
      <c r="Z54" s="85">
        <v>0.99</v>
      </c>
      <c r="AA54" s="85"/>
      <c r="AB54" s="119">
        <f t="shared" si="9"/>
        <v>1</v>
      </c>
      <c r="AC54" s="81" t="str">
        <f t="shared" si="4"/>
        <v>OK</v>
      </c>
    </row>
    <row r="55" spans="1:29" ht="31.5" x14ac:dyDescent="0.5">
      <c r="A55" s="70">
        <f t="shared" si="2"/>
        <v>36</v>
      </c>
      <c r="B55" s="116">
        <v>51709795</v>
      </c>
      <c r="C55" s="135" t="s">
        <v>157</v>
      </c>
      <c r="D55" s="114">
        <v>21</v>
      </c>
      <c r="E55" s="50">
        <f>(Tabla3[[#This Row],[CANT]]*5000000)</f>
        <v>105000000</v>
      </c>
      <c r="F55" s="114">
        <v>1</v>
      </c>
      <c r="G55" s="50"/>
      <c r="H55" s="114"/>
      <c r="I55" s="50"/>
      <c r="J55" s="68"/>
      <c r="K55" s="50"/>
      <c r="L55" s="68"/>
      <c r="M55" s="50"/>
      <c r="N55" s="68"/>
      <c r="O55" s="50"/>
      <c r="P55" s="68"/>
      <c r="Q55" s="50"/>
      <c r="R55" s="51">
        <f>(Tabla3[[#This Row],[MONTO]]+Tabla3[[#This Row],[MONTO2]]+Tabla3[[#This Row],[MONTO3]]+Tabla3[[#This Row],[MONTO4]]+Tabla3[[#This Row],[MONTO5]]+Tabla3[[#This Row],[MONTO6]]+Tabla3[[#This Row],[MONTO7]])</f>
        <v>105000000</v>
      </c>
      <c r="S55" s="67">
        <f t="shared" si="7"/>
        <v>94500000</v>
      </c>
      <c r="T55" s="54">
        <f t="shared" si="8"/>
        <v>945000</v>
      </c>
      <c r="U55" s="130">
        <f>(Tabla3[[#This Row],[TOTAL -10%]]*Tabla3[[#This Row],[FIDUCIA]])</f>
        <v>93555000</v>
      </c>
      <c r="V55" s="130">
        <f>(Tabla3[[#This Row],[TOTAL -10%]]*Tabla3[[#This Row],[NUBE]])</f>
        <v>0</v>
      </c>
      <c r="W55" s="86" t="s">
        <v>40</v>
      </c>
      <c r="X55" s="117" t="s">
        <v>42</v>
      </c>
      <c r="Y55" s="85">
        <v>0.01</v>
      </c>
      <c r="Z55" s="85">
        <v>0.99</v>
      </c>
      <c r="AA55" s="118"/>
      <c r="AB55" s="119">
        <f t="shared" si="9"/>
        <v>1</v>
      </c>
      <c r="AC55" s="81" t="str">
        <f t="shared" si="4"/>
        <v>OK</v>
      </c>
    </row>
    <row r="56" spans="1:29" ht="31.5" x14ac:dyDescent="0.5">
      <c r="A56" s="70">
        <f t="shared" si="2"/>
        <v>37</v>
      </c>
      <c r="B56" s="116">
        <v>39577546</v>
      </c>
      <c r="C56" s="135" t="s">
        <v>158</v>
      </c>
      <c r="D56" s="114">
        <v>16</v>
      </c>
      <c r="E56" s="50">
        <f>(Tabla3[[#This Row],[CANT]]*5000000)</f>
        <v>80000000</v>
      </c>
      <c r="F56" s="114">
        <v>7</v>
      </c>
      <c r="G56" s="50">
        <v>70000000</v>
      </c>
      <c r="H56" s="114">
        <v>3</v>
      </c>
      <c r="I56" s="50">
        <v>22500000</v>
      </c>
      <c r="J56" s="68"/>
      <c r="K56" s="50"/>
      <c r="L56" s="68"/>
      <c r="M56" s="50"/>
      <c r="N56" s="68"/>
      <c r="O56" s="50"/>
      <c r="P56" s="68"/>
      <c r="Q56" s="50"/>
      <c r="R56" s="51">
        <f>(Tabla3[[#This Row],[MONTO]]+Tabla3[[#This Row],[MONTO2]]+Tabla3[[#This Row],[MONTO3]]+Tabla3[[#This Row],[MONTO4]]+Tabla3[[#This Row],[MONTO5]]+Tabla3[[#This Row],[MONTO6]]+Tabla3[[#This Row],[MONTO7]])</f>
        <v>172500000</v>
      </c>
      <c r="S56" s="67">
        <f t="shared" si="7"/>
        <v>155250000</v>
      </c>
      <c r="T56" s="54">
        <f t="shared" si="8"/>
        <v>1552500</v>
      </c>
      <c r="U56" s="130">
        <f>(Tabla3[[#This Row],[TOTAL -10%]]*Tabla3[[#This Row],[FIDUCIA]])</f>
        <v>0</v>
      </c>
      <c r="V56" s="130">
        <f>(Tabla3[[#This Row],[TOTAL -10%]]*Tabla3[[#This Row],[NUBE]])</f>
        <v>153697500</v>
      </c>
      <c r="W56" s="86" t="s">
        <v>40</v>
      </c>
      <c r="X56" s="117" t="s">
        <v>43</v>
      </c>
      <c r="Y56" s="85">
        <v>0.01</v>
      </c>
      <c r="Z56" s="118"/>
      <c r="AA56" s="85">
        <v>0.99</v>
      </c>
      <c r="AB56" s="119">
        <f t="shared" si="9"/>
        <v>1</v>
      </c>
      <c r="AC56" s="81" t="str">
        <f t="shared" si="4"/>
        <v>OK</v>
      </c>
    </row>
    <row r="57" spans="1:29" ht="31.5" x14ac:dyDescent="0.5">
      <c r="A57" s="70">
        <f t="shared" si="2"/>
        <v>38</v>
      </c>
      <c r="B57" s="116">
        <v>39790944</v>
      </c>
      <c r="C57" s="135" t="s">
        <v>159</v>
      </c>
      <c r="D57" s="114">
        <v>12</v>
      </c>
      <c r="E57" s="50">
        <f>(Tabla3[[#This Row],[CANT]]*5000000)</f>
        <v>60000000</v>
      </c>
      <c r="F57" s="114">
        <v>2</v>
      </c>
      <c r="G57" s="50">
        <v>70000000</v>
      </c>
      <c r="H57" s="114"/>
      <c r="I57" s="50"/>
      <c r="J57" s="68"/>
      <c r="K57" s="50"/>
      <c r="L57" s="68"/>
      <c r="M57" s="50"/>
      <c r="N57" s="68"/>
      <c r="O57" s="50"/>
      <c r="P57" s="68"/>
      <c r="Q57" s="50"/>
      <c r="R57" s="51">
        <f>(Tabla3[[#This Row],[MONTO]]+Tabla3[[#This Row],[MONTO2]]+Tabla3[[#This Row],[MONTO3]]+Tabla3[[#This Row],[MONTO4]]+Tabla3[[#This Row],[MONTO5]]+Tabla3[[#This Row],[MONTO6]]+Tabla3[[#This Row],[MONTO7]])</f>
        <v>130000000</v>
      </c>
      <c r="S57" s="67">
        <f t="shared" si="7"/>
        <v>117000000</v>
      </c>
      <c r="T57" s="54">
        <f t="shared" si="8"/>
        <v>1170000</v>
      </c>
      <c r="U57" s="130">
        <f>(Tabla3[[#This Row],[TOTAL -10%]]*Tabla3[[#This Row],[FIDUCIA]])</f>
        <v>115830000</v>
      </c>
      <c r="V57" s="130">
        <f>(Tabla3[[#This Row],[TOTAL -10%]]*Tabla3[[#This Row],[NUBE]])</f>
        <v>0</v>
      </c>
      <c r="W57" s="86" t="s">
        <v>40</v>
      </c>
      <c r="X57" s="117" t="s">
        <v>42</v>
      </c>
      <c r="Y57" s="85">
        <v>0.01</v>
      </c>
      <c r="Z57" s="85">
        <v>0.99</v>
      </c>
      <c r="AA57" s="118"/>
      <c r="AB57" s="119">
        <f t="shared" si="9"/>
        <v>1</v>
      </c>
      <c r="AC57" s="81" t="str">
        <f t="shared" si="4"/>
        <v>OK</v>
      </c>
    </row>
    <row r="58" spans="1:29" ht="31.5" x14ac:dyDescent="0.5">
      <c r="A58" s="70">
        <f t="shared" si="2"/>
        <v>39</v>
      </c>
      <c r="B58" s="116">
        <v>39567642</v>
      </c>
      <c r="C58" s="135" t="s">
        <v>160</v>
      </c>
      <c r="D58" s="114">
        <v>11</v>
      </c>
      <c r="E58" s="50">
        <f>(Tabla3[[#This Row],[CANT]]*5000000)</f>
        <v>55000000</v>
      </c>
      <c r="F58" s="114">
        <v>10</v>
      </c>
      <c r="G58" s="50">
        <v>70000000</v>
      </c>
      <c r="H58" s="114">
        <v>11</v>
      </c>
      <c r="I58" s="50">
        <v>45000000</v>
      </c>
      <c r="J58" s="68"/>
      <c r="K58" s="50"/>
      <c r="L58" s="68"/>
      <c r="M58" s="50"/>
      <c r="N58" s="68"/>
      <c r="O58" s="50"/>
      <c r="P58" s="68"/>
      <c r="Q58" s="50"/>
      <c r="R58" s="51">
        <f>(Tabla3[[#This Row],[MONTO]]+Tabla3[[#This Row],[MONTO2]]+Tabla3[[#This Row],[MONTO3]]+Tabla3[[#This Row],[MONTO4]]+Tabla3[[#This Row],[MONTO5]]+Tabla3[[#This Row],[MONTO6]]+Tabla3[[#This Row],[MONTO7]])</f>
        <v>170000000</v>
      </c>
      <c r="S58" s="67">
        <f t="shared" si="7"/>
        <v>153000000</v>
      </c>
      <c r="T58" s="54">
        <f t="shared" si="8"/>
        <v>1530000</v>
      </c>
      <c r="U58" s="130">
        <f>(Tabla3[[#This Row],[TOTAL -10%]]*Tabla3[[#This Row],[FIDUCIA]])</f>
        <v>0</v>
      </c>
      <c r="V58" s="130">
        <f>(Tabla3[[#This Row],[TOTAL -10%]]*Tabla3[[#This Row],[NUBE]])</f>
        <v>151470000</v>
      </c>
      <c r="W58" s="86" t="s">
        <v>40</v>
      </c>
      <c r="X58" s="117" t="s">
        <v>43</v>
      </c>
      <c r="Y58" s="85">
        <v>0.01</v>
      </c>
      <c r="Z58" s="85"/>
      <c r="AA58" s="85">
        <v>0.99</v>
      </c>
      <c r="AB58" s="119">
        <f t="shared" si="9"/>
        <v>1</v>
      </c>
      <c r="AC58" s="81" t="str">
        <f t="shared" si="4"/>
        <v>OK</v>
      </c>
    </row>
    <row r="59" spans="1:29" ht="31.5" x14ac:dyDescent="0.5">
      <c r="A59" s="70">
        <f t="shared" si="2"/>
        <v>40</v>
      </c>
      <c r="B59" s="116">
        <v>55169200</v>
      </c>
      <c r="C59" s="135" t="s">
        <v>161</v>
      </c>
      <c r="D59" s="114">
        <v>40</v>
      </c>
      <c r="E59" s="50">
        <f>(Tabla3[[#This Row],[CANT]]*5000000)</f>
        <v>200000000</v>
      </c>
      <c r="F59" s="114">
        <v>9</v>
      </c>
      <c r="G59" s="50">
        <v>90000000</v>
      </c>
      <c r="H59" s="114">
        <v>3</v>
      </c>
      <c r="I59" s="50">
        <v>22500000</v>
      </c>
      <c r="J59" s="68">
        <v>5</v>
      </c>
      <c r="K59" s="50">
        <v>2500000</v>
      </c>
      <c r="L59" s="68"/>
      <c r="M59" s="50"/>
      <c r="N59" s="68"/>
      <c r="O59" s="50"/>
      <c r="P59" s="68"/>
      <c r="Q59" s="50"/>
      <c r="R59" s="51">
        <f>(Tabla3[[#This Row],[MONTO]]+Tabla3[[#This Row],[MONTO2]]+Tabla3[[#This Row],[MONTO3]]+Tabla3[[#This Row],[MONTO4]]+Tabla3[[#This Row],[MONTO5]]+Tabla3[[#This Row],[MONTO6]]+Tabla3[[#This Row],[MONTO7]])</f>
        <v>315000000</v>
      </c>
      <c r="S59" s="67">
        <f t="shared" si="7"/>
        <v>283500000</v>
      </c>
      <c r="T59" s="54">
        <f t="shared" si="8"/>
        <v>2835000</v>
      </c>
      <c r="U59" s="130">
        <f>(Tabla3[[#This Row],[TOTAL -10%]]*Tabla3[[#This Row],[FIDUCIA]])</f>
        <v>280665000</v>
      </c>
      <c r="V59" s="130">
        <f>(Tabla3[[#This Row],[TOTAL -10%]]*Tabla3[[#This Row],[NUBE]])</f>
        <v>0</v>
      </c>
      <c r="W59" s="86" t="s">
        <v>40</v>
      </c>
      <c r="X59" s="117" t="s">
        <v>42</v>
      </c>
      <c r="Y59" s="85">
        <v>0.01</v>
      </c>
      <c r="Z59" s="85">
        <v>0.99</v>
      </c>
      <c r="AA59" s="118"/>
      <c r="AB59" s="119">
        <f t="shared" si="9"/>
        <v>1</v>
      </c>
      <c r="AC59" s="81" t="str">
        <f t="shared" si="4"/>
        <v>OK</v>
      </c>
    </row>
    <row r="60" spans="1:29" ht="31.5" x14ac:dyDescent="0.5">
      <c r="A60" s="70">
        <f t="shared" si="2"/>
        <v>41</v>
      </c>
      <c r="B60" s="116">
        <v>39568234</v>
      </c>
      <c r="C60" s="135" t="s">
        <v>162</v>
      </c>
      <c r="D60" s="114">
        <v>3</v>
      </c>
      <c r="E60" s="50">
        <f>(Tabla3[[#This Row],[CANT]]*5000000)</f>
        <v>15000000</v>
      </c>
      <c r="F60" s="114"/>
      <c r="G60" s="50"/>
      <c r="H60" s="114">
        <v>2</v>
      </c>
      <c r="I60" s="50">
        <v>15000000</v>
      </c>
      <c r="J60" s="68"/>
      <c r="K60" s="50"/>
      <c r="L60" s="68"/>
      <c r="M60" s="50"/>
      <c r="N60" s="68"/>
      <c r="O60" s="50"/>
      <c r="P60" s="68"/>
      <c r="Q60" s="50"/>
      <c r="R60" s="51">
        <f>(Tabla3[[#This Row],[MONTO]]+Tabla3[[#This Row],[MONTO2]]+Tabla3[[#This Row],[MONTO3]]+Tabla3[[#This Row],[MONTO4]]+Tabla3[[#This Row],[MONTO5]]+Tabla3[[#This Row],[MONTO6]]+Tabla3[[#This Row],[MONTO7]])</f>
        <v>30000000</v>
      </c>
      <c r="S60" s="67">
        <f t="shared" si="7"/>
        <v>27000000</v>
      </c>
      <c r="T60" s="54">
        <f t="shared" si="8"/>
        <v>270000</v>
      </c>
      <c r="U60" s="130">
        <f>(Tabla3[[#This Row],[TOTAL -10%]]*Tabla3[[#This Row],[FIDUCIA]])</f>
        <v>26730000</v>
      </c>
      <c r="V60" s="130">
        <f>(Tabla3[[#This Row],[TOTAL -10%]]*Tabla3[[#This Row],[NUBE]])</f>
        <v>0</v>
      </c>
      <c r="W60" s="86" t="s">
        <v>40</v>
      </c>
      <c r="X60" s="117" t="s">
        <v>42</v>
      </c>
      <c r="Y60" s="85">
        <v>0.01</v>
      </c>
      <c r="Z60" s="85">
        <v>0.99</v>
      </c>
      <c r="AA60" s="85"/>
      <c r="AB60" s="119">
        <f t="shared" si="9"/>
        <v>1</v>
      </c>
      <c r="AC60" s="81" t="str">
        <f t="shared" si="4"/>
        <v>OK</v>
      </c>
    </row>
    <row r="61" spans="1:29" ht="31.5" x14ac:dyDescent="0.5">
      <c r="A61" s="70">
        <f t="shared" si="2"/>
        <v>42</v>
      </c>
      <c r="B61" s="116">
        <v>19288893</v>
      </c>
      <c r="C61" s="135" t="s">
        <v>163</v>
      </c>
      <c r="D61" s="114">
        <v>7</v>
      </c>
      <c r="E61" s="50">
        <f>(Tabla3[[#This Row],[CANT]]*5000000)</f>
        <v>35000000</v>
      </c>
      <c r="F61" s="114"/>
      <c r="G61" s="50"/>
      <c r="H61" s="114"/>
      <c r="I61" s="50"/>
      <c r="J61" s="68"/>
      <c r="K61" s="50"/>
      <c r="L61" s="68"/>
      <c r="M61" s="50"/>
      <c r="N61" s="68"/>
      <c r="O61" s="50"/>
      <c r="P61" s="133"/>
      <c r="Q61" s="134"/>
      <c r="R61" s="51">
        <f>(Tabla3[[#This Row],[MONTO]]+Tabla3[[#This Row],[MONTO2]]+Tabla3[[#This Row],[MONTO3]]+Tabla3[[#This Row],[MONTO4]]+Tabla3[[#This Row],[MONTO5]]+Tabla3[[#This Row],[MONTO6]]+Tabla3[[#This Row],[MONTO7]])</f>
        <v>35000000</v>
      </c>
      <c r="S61" s="67">
        <f t="shared" si="7"/>
        <v>31500000</v>
      </c>
      <c r="T61" s="54">
        <f t="shared" si="8"/>
        <v>315000</v>
      </c>
      <c r="U61" s="130">
        <f>(Tabla3[[#This Row],[TOTAL -10%]]*Tabla3[[#This Row],[FIDUCIA]])</f>
        <v>31185000</v>
      </c>
      <c r="V61" s="130">
        <f>(Tabla3[[#This Row],[TOTAL -10%]]*Tabla3[[#This Row],[NUBE]])</f>
        <v>0</v>
      </c>
      <c r="W61" s="86" t="s">
        <v>40</v>
      </c>
      <c r="X61" s="117" t="s">
        <v>42</v>
      </c>
      <c r="Y61" s="85">
        <v>0.01</v>
      </c>
      <c r="Z61" s="85">
        <v>0.99</v>
      </c>
      <c r="AA61" s="85"/>
      <c r="AB61" s="119">
        <f t="shared" si="9"/>
        <v>1</v>
      </c>
      <c r="AC61" s="81" t="str">
        <f t="shared" si="4"/>
        <v>OK</v>
      </c>
    </row>
    <row r="62" spans="1:29" ht="31.5" x14ac:dyDescent="0.5">
      <c r="A62" s="70">
        <f t="shared" si="2"/>
        <v>43</v>
      </c>
      <c r="B62" s="116">
        <v>35253687</v>
      </c>
      <c r="C62" s="135" t="s">
        <v>164</v>
      </c>
      <c r="D62" s="114">
        <v>19</v>
      </c>
      <c r="E62" s="50">
        <f>(Tabla3[[#This Row],[CANT]]*5000000)</f>
        <v>95000000</v>
      </c>
      <c r="F62" s="114">
        <v>20</v>
      </c>
      <c r="G62" s="50">
        <v>150000000</v>
      </c>
      <c r="H62" s="114">
        <v>7</v>
      </c>
      <c r="I62" s="50">
        <v>52500000</v>
      </c>
      <c r="J62" s="68"/>
      <c r="K62" s="50"/>
      <c r="L62" s="68"/>
      <c r="M62" s="50"/>
      <c r="N62" s="68">
        <v>1</v>
      </c>
      <c r="O62" s="50">
        <f>(Tabla3[[#This Row],[CANT6]]*200000)</f>
        <v>200000</v>
      </c>
      <c r="P62" s="68"/>
      <c r="Q62" s="50"/>
      <c r="R62" s="51">
        <f>(Tabla3[[#This Row],[MONTO]]+Tabla3[[#This Row],[MONTO2]]+Tabla3[[#This Row],[MONTO3]]+Tabla3[[#This Row],[MONTO4]]+Tabla3[[#This Row],[MONTO5]]+Tabla3[[#This Row],[MONTO6]]+Tabla3[[#This Row],[MONTO7]])</f>
        <v>297700000</v>
      </c>
      <c r="S62" s="67">
        <f t="shared" si="7"/>
        <v>267930000</v>
      </c>
      <c r="T62" s="54">
        <f t="shared" si="8"/>
        <v>2679300</v>
      </c>
      <c r="U62" s="130">
        <f>(Tabla3[[#This Row],[TOTAL -10%]]*Tabla3[[#This Row],[FIDUCIA]])</f>
        <v>265250700</v>
      </c>
      <c r="V62" s="130">
        <f>(Tabla3[[#This Row],[TOTAL -10%]]*Tabla3[[#This Row],[NUBE]])</f>
        <v>0</v>
      </c>
      <c r="W62" s="86" t="s">
        <v>40</v>
      </c>
      <c r="X62" s="117" t="s">
        <v>42</v>
      </c>
      <c r="Y62" s="85">
        <v>0.01</v>
      </c>
      <c r="Z62" s="85">
        <v>0.99</v>
      </c>
      <c r="AA62" s="118"/>
      <c r="AB62" s="119">
        <f t="shared" si="9"/>
        <v>1</v>
      </c>
      <c r="AC62" s="81" t="str">
        <f t="shared" si="4"/>
        <v>OK</v>
      </c>
    </row>
    <row r="63" spans="1:29" ht="31.5" x14ac:dyDescent="0.5">
      <c r="A63" s="70">
        <f t="shared" si="2"/>
        <v>44</v>
      </c>
      <c r="B63" s="116">
        <v>1069733480</v>
      </c>
      <c r="C63" s="135" t="s">
        <v>165</v>
      </c>
      <c r="D63" s="114">
        <v>2</v>
      </c>
      <c r="E63" s="50">
        <f>(Tabla3[[#This Row],[CANT]]*5000000)</f>
        <v>10000000</v>
      </c>
      <c r="F63" s="114"/>
      <c r="G63" s="50"/>
      <c r="H63" s="114">
        <v>1</v>
      </c>
      <c r="I63" s="50">
        <v>7500000</v>
      </c>
      <c r="J63" s="68"/>
      <c r="K63" s="50"/>
      <c r="L63" s="68"/>
      <c r="M63" s="50"/>
      <c r="N63" s="68"/>
      <c r="O63" s="50"/>
      <c r="P63" s="68"/>
      <c r="Q63" s="50"/>
      <c r="R63" s="51">
        <f>(Tabla3[[#This Row],[MONTO]]+Tabla3[[#This Row],[MONTO2]]+Tabla3[[#This Row],[MONTO3]]+Tabla3[[#This Row],[MONTO4]]+Tabla3[[#This Row],[MONTO5]]+Tabla3[[#This Row],[MONTO6]]+Tabla3[[#This Row],[MONTO7]])</f>
        <v>17500000</v>
      </c>
      <c r="S63" s="67">
        <f t="shared" si="7"/>
        <v>15750000</v>
      </c>
      <c r="T63" s="54">
        <f t="shared" si="8"/>
        <v>157500</v>
      </c>
      <c r="U63" s="130">
        <f>(Tabla3[[#This Row],[TOTAL -10%]]*Tabla3[[#This Row],[FIDUCIA]])</f>
        <v>15592500</v>
      </c>
      <c r="V63" s="130">
        <f>(Tabla3[[#This Row],[TOTAL -10%]]*Tabla3[[#This Row],[NUBE]])</f>
        <v>0</v>
      </c>
      <c r="W63" s="86" t="s">
        <v>40</v>
      </c>
      <c r="X63" s="117" t="s">
        <v>42</v>
      </c>
      <c r="Y63" s="85">
        <v>0.01</v>
      </c>
      <c r="Z63" s="85">
        <v>0.99</v>
      </c>
      <c r="AA63" s="85"/>
      <c r="AB63" s="119">
        <f t="shared" si="9"/>
        <v>1</v>
      </c>
      <c r="AC63" s="81" t="str">
        <f t="shared" si="4"/>
        <v>OK</v>
      </c>
    </row>
    <row r="64" spans="1:29" ht="31.5" x14ac:dyDescent="0.5">
      <c r="A64" s="70">
        <f t="shared" si="2"/>
        <v>45</v>
      </c>
      <c r="B64" s="116">
        <v>52774800</v>
      </c>
      <c r="C64" s="135" t="s">
        <v>166</v>
      </c>
      <c r="D64" s="114">
        <v>3</v>
      </c>
      <c r="E64" s="50">
        <f>(Tabla3[[#This Row],[CANT]]*5000000)</f>
        <v>15000000</v>
      </c>
      <c r="F64" s="114">
        <v>1</v>
      </c>
      <c r="G64" s="50">
        <v>10000000</v>
      </c>
      <c r="H64" s="114">
        <v>1</v>
      </c>
      <c r="I64" s="50">
        <v>7500000</v>
      </c>
      <c r="J64" s="68"/>
      <c r="K64" s="50"/>
      <c r="L64" s="68"/>
      <c r="M64" s="50"/>
      <c r="N64" s="68"/>
      <c r="O64" s="50"/>
      <c r="P64" s="68"/>
      <c r="Q64" s="50"/>
      <c r="R64" s="51">
        <f>(Tabla3[[#This Row],[MONTO]]+Tabla3[[#This Row],[MONTO2]]+Tabla3[[#This Row],[MONTO3]]+Tabla3[[#This Row],[MONTO4]]+Tabla3[[#This Row],[MONTO5]]+Tabla3[[#This Row],[MONTO6]]+Tabla3[[#This Row],[MONTO7]])</f>
        <v>32500000</v>
      </c>
      <c r="S64" s="67">
        <f t="shared" si="7"/>
        <v>29250000</v>
      </c>
      <c r="T64" s="54">
        <f t="shared" si="8"/>
        <v>292500</v>
      </c>
      <c r="U64" s="130">
        <f>(Tabla3[[#This Row],[TOTAL -10%]]*Tabla3[[#This Row],[FIDUCIA]])</f>
        <v>28957500</v>
      </c>
      <c r="V64" s="130">
        <f>(Tabla3[[#This Row],[TOTAL -10%]]*Tabla3[[#This Row],[NUBE]])</f>
        <v>0</v>
      </c>
      <c r="W64" s="86" t="s">
        <v>40</v>
      </c>
      <c r="X64" s="117" t="s">
        <v>42</v>
      </c>
      <c r="Y64" s="85">
        <v>0.01</v>
      </c>
      <c r="Z64" s="85">
        <v>0.99</v>
      </c>
      <c r="AA64" s="118"/>
      <c r="AB64" s="119">
        <f t="shared" si="9"/>
        <v>1</v>
      </c>
      <c r="AC64" s="81" t="str">
        <f t="shared" si="4"/>
        <v>OK</v>
      </c>
    </row>
    <row r="65" spans="1:29" ht="31.5" x14ac:dyDescent="0.5">
      <c r="A65" s="70">
        <f t="shared" si="2"/>
        <v>46</v>
      </c>
      <c r="B65" s="116">
        <v>11223414</v>
      </c>
      <c r="C65" s="135" t="s">
        <v>167</v>
      </c>
      <c r="D65" s="114">
        <v>2</v>
      </c>
      <c r="E65" s="50">
        <f>(Tabla3[[#This Row],[CANT]]*5000000)</f>
        <v>10000000</v>
      </c>
      <c r="F65" s="114">
        <v>3</v>
      </c>
      <c r="G65" s="50">
        <v>30000000</v>
      </c>
      <c r="H65" s="114">
        <v>3</v>
      </c>
      <c r="I65" s="50">
        <v>22500000</v>
      </c>
      <c r="J65" s="68"/>
      <c r="K65" s="50"/>
      <c r="L65" s="68"/>
      <c r="M65" s="50"/>
      <c r="N65" s="68"/>
      <c r="O65" s="50"/>
      <c r="P65" s="68"/>
      <c r="Q65" s="50"/>
      <c r="R65" s="51">
        <f>(Tabla3[[#This Row],[MONTO]]+Tabla3[[#This Row],[MONTO2]]+Tabla3[[#This Row],[MONTO3]]+Tabla3[[#This Row],[MONTO4]]+Tabla3[[#This Row],[MONTO5]]+Tabla3[[#This Row],[MONTO6]]+Tabla3[[#This Row],[MONTO7]])</f>
        <v>62500000</v>
      </c>
      <c r="S65" s="67">
        <f t="shared" ref="S65:S75" si="10">R65-(R65*10%)</f>
        <v>56250000</v>
      </c>
      <c r="T65" s="54">
        <f t="shared" ref="T65:T75" si="11">(S65*1%)</f>
        <v>562500</v>
      </c>
      <c r="U65" s="130">
        <f>(Tabla3[[#This Row],[TOTAL -10%]]*Tabla3[[#This Row],[FIDUCIA]])</f>
        <v>55687500</v>
      </c>
      <c r="V65" s="130">
        <f>(Tabla3[[#This Row],[TOTAL -10%]]*Tabla3[[#This Row],[NUBE]])</f>
        <v>0</v>
      </c>
      <c r="W65" s="86" t="s">
        <v>40</v>
      </c>
      <c r="X65" s="117" t="s">
        <v>42</v>
      </c>
      <c r="Y65" s="85">
        <v>0.01</v>
      </c>
      <c r="Z65" s="85">
        <v>0.99</v>
      </c>
      <c r="AA65" s="85"/>
      <c r="AB65" s="119">
        <f t="shared" ref="AB65:AB75" si="12">SUM(Y65:AA65)</f>
        <v>1</v>
      </c>
      <c r="AC65" s="81" t="str">
        <f t="shared" si="4"/>
        <v>OK</v>
      </c>
    </row>
    <row r="66" spans="1:29" ht="31.5" x14ac:dyDescent="0.5">
      <c r="A66" s="70">
        <f t="shared" si="2"/>
        <v>47</v>
      </c>
      <c r="B66" s="116">
        <v>1003515620</v>
      </c>
      <c r="C66" s="135" t="s">
        <v>168</v>
      </c>
      <c r="D66" s="114">
        <v>22</v>
      </c>
      <c r="E66" s="50">
        <f>(Tabla3[[#This Row],[CANT]]*5000000)</f>
        <v>110000000</v>
      </c>
      <c r="F66" s="114">
        <v>3</v>
      </c>
      <c r="G66" s="50">
        <v>30000000</v>
      </c>
      <c r="H66" s="114">
        <v>4</v>
      </c>
      <c r="I66" s="50">
        <v>30000000</v>
      </c>
      <c r="J66" s="68"/>
      <c r="K66" s="50"/>
      <c r="L66" s="68"/>
      <c r="M66" s="50"/>
      <c r="N66" s="68"/>
      <c r="O66" s="50"/>
      <c r="P66" s="68"/>
      <c r="Q66" s="50"/>
      <c r="R66" s="51">
        <f>(Tabla3[[#This Row],[MONTO]]+Tabla3[[#This Row],[MONTO2]]+Tabla3[[#This Row],[MONTO3]]+Tabla3[[#This Row],[MONTO4]]+Tabla3[[#This Row],[MONTO5]]+Tabla3[[#This Row],[MONTO6]]+Tabla3[[#This Row],[MONTO7]])</f>
        <v>170000000</v>
      </c>
      <c r="S66" s="67">
        <f t="shared" si="10"/>
        <v>153000000</v>
      </c>
      <c r="T66" s="54">
        <f t="shared" si="11"/>
        <v>1530000</v>
      </c>
      <c r="U66" s="130">
        <f>(Tabla3[[#This Row],[TOTAL -10%]]*Tabla3[[#This Row],[FIDUCIA]])</f>
        <v>151470000</v>
      </c>
      <c r="V66" s="130">
        <f>(Tabla3[[#This Row],[TOTAL -10%]]*Tabla3[[#This Row],[NUBE]])</f>
        <v>0</v>
      </c>
      <c r="W66" s="86" t="s">
        <v>40</v>
      </c>
      <c r="X66" s="117" t="s">
        <v>42</v>
      </c>
      <c r="Y66" s="85">
        <v>0.01</v>
      </c>
      <c r="Z66" s="85">
        <v>0.99</v>
      </c>
      <c r="AA66" s="118"/>
      <c r="AB66" s="119">
        <f t="shared" si="12"/>
        <v>1</v>
      </c>
      <c r="AC66" s="81" t="str">
        <f t="shared" si="4"/>
        <v>OK</v>
      </c>
    </row>
    <row r="67" spans="1:29" ht="31.5" x14ac:dyDescent="0.5">
      <c r="A67" s="70">
        <f t="shared" si="2"/>
        <v>48</v>
      </c>
      <c r="B67" s="116">
        <v>11314129</v>
      </c>
      <c r="C67" s="135" t="s">
        <v>169</v>
      </c>
      <c r="D67" s="114">
        <v>3</v>
      </c>
      <c r="E67" s="50">
        <f>(Tabla3[[#This Row],[CANT]]*5000000)</f>
        <v>15000000</v>
      </c>
      <c r="F67" s="114"/>
      <c r="G67" s="50"/>
      <c r="H67" s="114">
        <v>2</v>
      </c>
      <c r="I67" s="50">
        <v>15000000</v>
      </c>
      <c r="J67" s="68"/>
      <c r="K67" s="50"/>
      <c r="L67" s="68"/>
      <c r="M67" s="50"/>
      <c r="N67" s="68"/>
      <c r="O67" s="50"/>
      <c r="P67" s="68"/>
      <c r="Q67" s="50"/>
      <c r="R67" s="51">
        <f>(Tabla3[[#This Row],[MONTO]]+Tabla3[[#This Row],[MONTO2]]+Tabla3[[#This Row],[MONTO3]]+Tabla3[[#This Row],[MONTO4]]+Tabla3[[#This Row],[MONTO5]]+Tabla3[[#This Row],[MONTO6]]+Tabla3[[#This Row],[MONTO7]])</f>
        <v>30000000</v>
      </c>
      <c r="S67" s="67">
        <f t="shared" si="10"/>
        <v>27000000</v>
      </c>
      <c r="T67" s="54">
        <f t="shared" si="11"/>
        <v>270000</v>
      </c>
      <c r="U67" s="130">
        <f>(Tabla3[[#This Row],[TOTAL -10%]]*Tabla3[[#This Row],[FIDUCIA]])</f>
        <v>26730000</v>
      </c>
      <c r="V67" s="130">
        <f>(Tabla3[[#This Row],[TOTAL -10%]]*Tabla3[[#This Row],[NUBE]])</f>
        <v>0</v>
      </c>
      <c r="W67" s="86" t="s">
        <v>40</v>
      </c>
      <c r="X67" s="117" t="s">
        <v>42</v>
      </c>
      <c r="Y67" s="85">
        <v>0.01</v>
      </c>
      <c r="Z67" s="85">
        <v>0.99</v>
      </c>
      <c r="AA67" s="85"/>
      <c r="AB67" s="119">
        <f t="shared" si="12"/>
        <v>1</v>
      </c>
      <c r="AC67" s="81" t="str">
        <f t="shared" si="4"/>
        <v>OK</v>
      </c>
    </row>
    <row r="68" spans="1:29" ht="31.5" x14ac:dyDescent="0.5">
      <c r="A68" s="70">
        <f t="shared" si="2"/>
        <v>49</v>
      </c>
      <c r="B68" s="116">
        <v>51722032</v>
      </c>
      <c r="C68" s="135" t="s">
        <v>170</v>
      </c>
      <c r="D68" s="114">
        <v>17</v>
      </c>
      <c r="E68" s="50">
        <f>(Tabla3[[#This Row],[CANT]]*5000000)</f>
        <v>85000000</v>
      </c>
      <c r="F68" s="114">
        <v>8</v>
      </c>
      <c r="G68" s="50">
        <v>80000000</v>
      </c>
      <c r="H68" s="114">
        <v>2</v>
      </c>
      <c r="I68" s="50">
        <v>15000000</v>
      </c>
      <c r="J68" s="68"/>
      <c r="K68" s="50"/>
      <c r="L68" s="68"/>
      <c r="M68" s="50"/>
      <c r="N68" s="68"/>
      <c r="O68" s="50"/>
      <c r="P68" s="68"/>
      <c r="Q68" s="50"/>
      <c r="R68" s="51">
        <f>(Tabla3[[#This Row],[MONTO]]+Tabla3[[#This Row],[MONTO2]]+Tabla3[[#This Row],[MONTO3]]+Tabla3[[#This Row],[MONTO4]]+Tabla3[[#This Row],[MONTO5]]+Tabla3[[#This Row],[MONTO6]]+Tabla3[[#This Row],[MONTO7]])</f>
        <v>180000000</v>
      </c>
      <c r="S68" s="67">
        <f t="shared" si="10"/>
        <v>162000000</v>
      </c>
      <c r="T68" s="54">
        <f t="shared" si="11"/>
        <v>1620000</v>
      </c>
      <c r="U68" s="130">
        <f>(Tabla3[[#This Row],[TOTAL -10%]]*Tabla3[[#This Row],[FIDUCIA]])</f>
        <v>0</v>
      </c>
      <c r="V68" s="130">
        <f>(Tabla3[[#This Row],[TOTAL -10%]]*Tabla3[[#This Row],[NUBE]])</f>
        <v>160380000</v>
      </c>
      <c r="W68" s="86" t="s">
        <v>40</v>
      </c>
      <c r="X68" s="117" t="s">
        <v>43</v>
      </c>
      <c r="Y68" s="85">
        <v>0.01</v>
      </c>
      <c r="Z68" s="118"/>
      <c r="AA68" s="85">
        <v>0.99</v>
      </c>
      <c r="AB68" s="119">
        <f t="shared" si="12"/>
        <v>1</v>
      </c>
      <c r="AC68" s="81" t="str">
        <f t="shared" si="4"/>
        <v>OK</v>
      </c>
    </row>
    <row r="69" spans="1:29" ht="31.5" x14ac:dyDescent="0.5">
      <c r="A69" s="70">
        <f t="shared" si="2"/>
        <v>50</v>
      </c>
      <c r="B69" s="116">
        <v>39568047</v>
      </c>
      <c r="C69" s="135" t="s">
        <v>171</v>
      </c>
      <c r="D69" s="114">
        <v>2</v>
      </c>
      <c r="E69" s="50">
        <f>(Tabla3[[#This Row],[CANT]]*5000000)</f>
        <v>10000000</v>
      </c>
      <c r="F69" s="114">
        <v>1</v>
      </c>
      <c r="G69" s="50">
        <v>10000000</v>
      </c>
      <c r="H69" s="114">
        <v>1</v>
      </c>
      <c r="I69" s="50">
        <v>7500000</v>
      </c>
      <c r="J69" s="68"/>
      <c r="K69" s="50"/>
      <c r="L69" s="68"/>
      <c r="M69" s="50"/>
      <c r="N69" s="68"/>
      <c r="O69" s="50"/>
      <c r="P69" s="68"/>
      <c r="Q69" s="50"/>
      <c r="R69" s="51">
        <f>(Tabla3[[#This Row],[MONTO]]+Tabla3[[#This Row],[MONTO2]]+Tabla3[[#This Row],[MONTO3]]+Tabla3[[#This Row],[MONTO4]]+Tabla3[[#This Row],[MONTO5]]+Tabla3[[#This Row],[MONTO6]]+Tabla3[[#This Row],[MONTO7]])</f>
        <v>27500000</v>
      </c>
      <c r="S69" s="67">
        <f t="shared" si="10"/>
        <v>24750000</v>
      </c>
      <c r="T69" s="54">
        <f t="shared" si="11"/>
        <v>247500</v>
      </c>
      <c r="U69" s="130">
        <f>(Tabla3[[#This Row],[TOTAL -10%]]*Tabla3[[#This Row],[FIDUCIA]])</f>
        <v>24502500</v>
      </c>
      <c r="V69" s="130">
        <f>(Tabla3[[#This Row],[TOTAL -10%]]*Tabla3[[#This Row],[NUBE]])</f>
        <v>0</v>
      </c>
      <c r="W69" s="86" t="s">
        <v>40</v>
      </c>
      <c r="X69" s="117" t="s">
        <v>42</v>
      </c>
      <c r="Y69" s="85">
        <v>0.01</v>
      </c>
      <c r="Z69" s="85">
        <v>0.99</v>
      </c>
      <c r="AA69" s="85"/>
      <c r="AB69" s="119">
        <f t="shared" si="12"/>
        <v>1</v>
      </c>
      <c r="AC69" s="81" t="str">
        <f t="shared" si="4"/>
        <v>OK</v>
      </c>
    </row>
    <row r="70" spans="1:29" ht="31.5" x14ac:dyDescent="0.5">
      <c r="A70" s="70">
        <f t="shared" si="2"/>
        <v>51</v>
      </c>
      <c r="B70" s="116">
        <v>1071988369</v>
      </c>
      <c r="C70" s="135" t="s">
        <v>172</v>
      </c>
      <c r="D70" s="114">
        <v>2</v>
      </c>
      <c r="E70" s="50">
        <f>(Tabla3[[#This Row],[CANT]]*5000000)</f>
        <v>10000000</v>
      </c>
      <c r="F70" s="114"/>
      <c r="G70" s="50"/>
      <c r="H70" s="114">
        <v>2</v>
      </c>
      <c r="I70" s="50">
        <v>15000000</v>
      </c>
      <c r="J70" s="68"/>
      <c r="K70" s="50"/>
      <c r="L70" s="68"/>
      <c r="M70" s="50"/>
      <c r="N70" s="68"/>
      <c r="O70" s="50"/>
      <c r="P70" s="68"/>
      <c r="Q70" s="50"/>
      <c r="R70" s="51">
        <f>(Tabla3[[#This Row],[MONTO]]+Tabla3[[#This Row],[MONTO2]]+Tabla3[[#This Row],[MONTO3]]+Tabla3[[#This Row],[MONTO4]]+Tabla3[[#This Row],[MONTO5]]+Tabla3[[#This Row],[MONTO6]]+Tabla3[[#This Row],[MONTO7]])</f>
        <v>25000000</v>
      </c>
      <c r="S70" s="67">
        <f t="shared" si="10"/>
        <v>22500000</v>
      </c>
      <c r="T70" s="54">
        <f t="shared" si="11"/>
        <v>225000</v>
      </c>
      <c r="U70" s="130">
        <f>(Tabla3[[#This Row],[TOTAL -10%]]*Tabla3[[#This Row],[FIDUCIA]])</f>
        <v>22275000</v>
      </c>
      <c r="V70" s="130">
        <f>(Tabla3[[#This Row],[TOTAL -10%]]*Tabla3[[#This Row],[NUBE]])</f>
        <v>0</v>
      </c>
      <c r="W70" s="86" t="s">
        <v>40</v>
      </c>
      <c r="X70" s="117" t="s">
        <v>42</v>
      </c>
      <c r="Y70" s="85">
        <v>0.01</v>
      </c>
      <c r="Z70" s="85">
        <v>0.99</v>
      </c>
      <c r="AA70" s="118"/>
      <c r="AB70" s="119">
        <f t="shared" si="12"/>
        <v>1</v>
      </c>
      <c r="AC70" s="81" t="str">
        <f t="shared" si="4"/>
        <v>OK</v>
      </c>
    </row>
    <row r="71" spans="1:29" ht="31.5" x14ac:dyDescent="0.5">
      <c r="A71" s="70">
        <f t="shared" si="2"/>
        <v>52</v>
      </c>
      <c r="B71" s="116">
        <v>1070610815</v>
      </c>
      <c r="C71" s="135" t="s">
        <v>173</v>
      </c>
      <c r="D71" s="114">
        <v>10</v>
      </c>
      <c r="E71" s="50">
        <f>(Tabla3[[#This Row],[CANT]]*5000000)</f>
        <v>50000000</v>
      </c>
      <c r="F71" s="114">
        <v>15</v>
      </c>
      <c r="G71" s="50">
        <v>150000000</v>
      </c>
      <c r="H71" s="114">
        <v>9</v>
      </c>
      <c r="I71" s="50">
        <v>67500000</v>
      </c>
      <c r="J71" s="68">
        <v>1</v>
      </c>
      <c r="K71" s="50">
        <v>500000</v>
      </c>
      <c r="L71" s="68"/>
      <c r="M71" s="50"/>
      <c r="N71" s="68"/>
      <c r="O71" s="50"/>
      <c r="P71" s="68"/>
      <c r="Q71" s="50"/>
      <c r="R71" s="51">
        <f>(Tabla3[[#This Row],[MONTO]]+Tabla3[[#This Row],[MONTO2]]+Tabla3[[#This Row],[MONTO3]]+Tabla3[[#This Row],[MONTO4]]+Tabla3[[#This Row],[MONTO5]]+Tabla3[[#This Row],[MONTO6]]+Tabla3[[#This Row],[MONTO7]])</f>
        <v>268000000</v>
      </c>
      <c r="S71" s="67">
        <f t="shared" si="10"/>
        <v>241200000</v>
      </c>
      <c r="T71" s="54">
        <f t="shared" si="11"/>
        <v>2412000</v>
      </c>
      <c r="U71" s="130">
        <f>(Tabla3[[#This Row],[TOTAL -10%]]*Tabla3[[#This Row],[FIDUCIA]])</f>
        <v>0</v>
      </c>
      <c r="V71" s="130">
        <f>(Tabla3[[#This Row],[TOTAL -10%]]*Tabla3[[#This Row],[NUBE]])</f>
        <v>238788000</v>
      </c>
      <c r="W71" s="86" t="s">
        <v>40</v>
      </c>
      <c r="X71" s="117" t="s">
        <v>43</v>
      </c>
      <c r="Y71" s="85">
        <v>0.01</v>
      </c>
      <c r="Z71" s="118"/>
      <c r="AA71" s="85">
        <v>0.99</v>
      </c>
      <c r="AB71" s="119">
        <f t="shared" si="12"/>
        <v>1</v>
      </c>
      <c r="AC71" s="81" t="str">
        <f t="shared" si="4"/>
        <v>OK</v>
      </c>
    </row>
    <row r="72" spans="1:29" ht="31.5" x14ac:dyDescent="0.5">
      <c r="A72" s="70">
        <f t="shared" si="2"/>
        <v>53</v>
      </c>
      <c r="B72" s="116">
        <v>41602697</v>
      </c>
      <c r="C72" s="135" t="s">
        <v>174</v>
      </c>
      <c r="D72" s="114">
        <v>2</v>
      </c>
      <c r="E72" s="50">
        <f>(Tabla3[[#This Row],[CANT]]*5000000)</f>
        <v>10000000</v>
      </c>
      <c r="F72" s="114">
        <v>1</v>
      </c>
      <c r="G72" s="50">
        <v>10000000</v>
      </c>
      <c r="H72" s="114"/>
      <c r="I72" s="50"/>
      <c r="J72" s="68"/>
      <c r="K72" s="50"/>
      <c r="L72" s="68"/>
      <c r="M72" s="50"/>
      <c r="N72" s="68"/>
      <c r="O72" s="50"/>
      <c r="P72" s="68"/>
      <c r="Q72" s="50"/>
      <c r="R72" s="51">
        <f>(Tabla3[[#This Row],[MONTO]]+Tabla3[[#This Row],[MONTO2]]+Tabla3[[#This Row],[MONTO3]]+Tabla3[[#This Row],[MONTO4]]+Tabla3[[#This Row],[MONTO5]]+Tabla3[[#This Row],[MONTO6]]+Tabla3[[#This Row],[MONTO7]])</f>
        <v>20000000</v>
      </c>
      <c r="S72" s="67">
        <f t="shared" si="10"/>
        <v>18000000</v>
      </c>
      <c r="T72" s="54">
        <f t="shared" si="11"/>
        <v>180000</v>
      </c>
      <c r="U72" s="130">
        <f>(Tabla3[[#This Row],[TOTAL -10%]]*Tabla3[[#This Row],[FIDUCIA]])</f>
        <v>17820000</v>
      </c>
      <c r="V72" s="130">
        <f>(Tabla3[[#This Row],[TOTAL -10%]]*Tabla3[[#This Row],[NUBE]])</f>
        <v>0</v>
      </c>
      <c r="W72" s="86" t="s">
        <v>40</v>
      </c>
      <c r="X72" s="117" t="s">
        <v>42</v>
      </c>
      <c r="Y72" s="85">
        <v>0.01</v>
      </c>
      <c r="Z72" s="85">
        <v>0.99</v>
      </c>
      <c r="AA72" s="85"/>
      <c r="AB72" s="119">
        <f t="shared" si="12"/>
        <v>1</v>
      </c>
      <c r="AC72" s="81" t="str">
        <f t="shared" si="4"/>
        <v>OK</v>
      </c>
    </row>
    <row r="73" spans="1:29" ht="31.5" x14ac:dyDescent="0.5">
      <c r="A73" s="70">
        <f t="shared" si="2"/>
        <v>54</v>
      </c>
      <c r="B73" s="151">
        <v>80384286</v>
      </c>
      <c r="C73" s="153" t="s">
        <v>462</v>
      </c>
      <c r="D73" s="152">
        <v>2</v>
      </c>
      <c r="E73" s="50">
        <f>(Tabla3[[#This Row],[CANT]]*5000000)</f>
        <v>10000000</v>
      </c>
      <c r="F73" s="152"/>
      <c r="G73" s="50"/>
      <c r="H73" s="152"/>
      <c r="I73" s="50"/>
      <c r="J73" s="68"/>
      <c r="K73" s="50"/>
      <c r="L73" s="68"/>
      <c r="M73" s="50"/>
      <c r="N73" s="68"/>
      <c r="O73" s="50"/>
      <c r="P73" s="68"/>
      <c r="Q73" s="50"/>
      <c r="R73" s="51">
        <f>(Tabla3[[#This Row],[MONTO]]+Tabla3[[#This Row],[MONTO2]]+Tabla3[[#This Row],[MONTO3]]+Tabla3[[#This Row],[MONTO4]]+Tabla3[[#This Row],[MONTO5]]+Tabla3[[#This Row],[MONTO6]]+Tabla3[[#This Row],[MONTO7]])</f>
        <v>10000000</v>
      </c>
      <c r="S73" s="67">
        <f>R73-(R73*10%)</f>
        <v>9000000</v>
      </c>
      <c r="T73" s="54">
        <f>(S73*1%)</f>
        <v>90000</v>
      </c>
      <c r="U73" s="54">
        <f>(Tabla3[[#This Row],[TOTAL -10%]]*Tabla3[[#This Row],[FIDUCIA]])</f>
        <v>0</v>
      </c>
      <c r="V73" s="54">
        <f>(Tabla3[[#This Row],[TOTAL -10%]]*Tabla3[[#This Row],[NUBE]])</f>
        <v>8910000</v>
      </c>
      <c r="W73" s="86" t="s">
        <v>40</v>
      </c>
      <c r="X73" s="117" t="s">
        <v>43</v>
      </c>
      <c r="Y73" s="118">
        <v>0.01</v>
      </c>
      <c r="Z73" s="118"/>
      <c r="AA73" s="118">
        <v>0.99</v>
      </c>
      <c r="AB73" s="119">
        <f>SUM(Y73:AA73)</f>
        <v>1</v>
      </c>
      <c r="AC73" s="81"/>
    </row>
    <row r="74" spans="1:29" ht="31.5" x14ac:dyDescent="0.5">
      <c r="A74" s="70">
        <f t="shared" si="2"/>
        <v>55</v>
      </c>
      <c r="B74" s="116">
        <v>39566851</v>
      </c>
      <c r="C74" s="135" t="s">
        <v>175</v>
      </c>
      <c r="D74" s="114">
        <v>1</v>
      </c>
      <c r="E74" s="50">
        <f>(Tabla3[[#This Row],[CANT]]*5000000)</f>
        <v>5000000</v>
      </c>
      <c r="F74" s="114">
        <v>3</v>
      </c>
      <c r="G74" s="50">
        <v>30000000</v>
      </c>
      <c r="H74" s="114">
        <v>1</v>
      </c>
      <c r="I74" s="50">
        <v>7500000</v>
      </c>
      <c r="J74" s="68"/>
      <c r="K74" s="50"/>
      <c r="L74" s="68"/>
      <c r="M74" s="50"/>
      <c r="N74" s="68"/>
      <c r="O74" s="50"/>
      <c r="P74" s="68"/>
      <c r="Q74" s="50"/>
      <c r="R74" s="51">
        <f>(Tabla3[[#This Row],[MONTO]]+Tabla3[[#This Row],[MONTO2]]+Tabla3[[#This Row],[MONTO3]]+Tabla3[[#This Row],[MONTO4]]+Tabla3[[#This Row],[MONTO5]]+Tabla3[[#This Row],[MONTO6]]+Tabla3[[#This Row],[MONTO7]])</f>
        <v>42500000</v>
      </c>
      <c r="S74" s="67">
        <f t="shared" si="10"/>
        <v>38250000</v>
      </c>
      <c r="T74" s="54">
        <f t="shared" si="11"/>
        <v>382500</v>
      </c>
      <c r="U74" s="130">
        <f>(Tabla3[[#This Row],[TOTAL -10%]]*Tabla3[[#This Row],[FIDUCIA]])</f>
        <v>37867500</v>
      </c>
      <c r="V74" s="130">
        <f>(Tabla3[[#This Row],[TOTAL -10%]]*Tabla3[[#This Row],[NUBE]])</f>
        <v>0</v>
      </c>
      <c r="W74" s="86" t="s">
        <v>40</v>
      </c>
      <c r="X74" s="117" t="s">
        <v>42</v>
      </c>
      <c r="Y74" s="85">
        <v>0.01</v>
      </c>
      <c r="Z74" s="85">
        <v>0.99</v>
      </c>
      <c r="AA74" s="118"/>
      <c r="AB74" s="119">
        <f t="shared" si="12"/>
        <v>1</v>
      </c>
      <c r="AC74" s="81" t="str">
        <f t="shared" si="4"/>
        <v>OK</v>
      </c>
    </row>
    <row r="75" spans="1:29" ht="31.5" x14ac:dyDescent="0.5">
      <c r="A75" s="70">
        <f t="shared" si="2"/>
        <v>56</v>
      </c>
      <c r="B75" s="116">
        <v>1010032581</v>
      </c>
      <c r="C75" s="135" t="s">
        <v>176</v>
      </c>
      <c r="D75" s="114">
        <v>2</v>
      </c>
      <c r="E75" s="50">
        <f>(Tabla3[[#This Row],[CANT]]*5000000)</f>
        <v>10000000</v>
      </c>
      <c r="F75" s="114"/>
      <c r="G75" s="50"/>
      <c r="H75" s="114"/>
      <c r="I75" s="50"/>
      <c r="J75" s="68"/>
      <c r="K75" s="50"/>
      <c r="L75" s="68"/>
      <c r="M75" s="50"/>
      <c r="N75" s="68"/>
      <c r="O75" s="50"/>
      <c r="P75" s="68"/>
      <c r="Q75" s="50"/>
      <c r="R75" s="51">
        <f>(Tabla3[[#This Row],[MONTO]]+Tabla3[[#This Row],[MONTO2]]+Tabla3[[#This Row],[MONTO3]]+Tabla3[[#This Row],[MONTO4]]+Tabla3[[#This Row],[MONTO5]]+Tabla3[[#This Row],[MONTO6]]+Tabla3[[#This Row],[MONTO7]])</f>
        <v>10000000</v>
      </c>
      <c r="S75" s="67">
        <f t="shared" si="10"/>
        <v>9000000</v>
      </c>
      <c r="T75" s="54">
        <f t="shared" si="11"/>
        <v>90000</v>
      </c>
      <c r="U75" s="130">
        <f>(Tabla3[[#This Row],[TOTAL -10%]]*Tabla3[[#This Row],[FIDUCIA]])</f>
        <v>8910000</v>
      </c>
      <c r="V75" s="130">
        <f>(Tabla3[[#This Row],[TOTAL -10%]]*Tabla3[[#This Row],[NUBE]])</f>
        <v>0</v>
      </c>
      <c r="W75" s="86" t="s">
        <v>40</v>
      </c>
      <c r="X75" s="117" t="s">
        <v>42</v>
      </c>
      <c r="Y75" s="85">
        <v>0.01</v>
      </c>
      <c r="Z75" s="85">
        <v>0.99</v>
      </c>
      <c r="AA75" s="118"/>
      <c r="AB75" s="119">
        <f t="shared" si="12"/>
        <v>1</v>
      </c>
      <c r="AC75" s="81" t="str">
        <f t="shared" si="4"/>
        <v>OK</v>
      </c>
    </row>
    <row r="76" spans="1:29" x14ac:dyDescent="0.25">
      <c r="X76" s="18"/>
      <c r="Y76" s="18"/>
      <c r="Z76" s="18"/>
      <c r="AA76" s="18"/>
      <c r="AB76" s="18"/>
    </row>
    <row r="77" spans="1:29" x14ac:dyDescent="0.25">
      <c r="X77" s="11"/>
    </row>
    <row r="78" spans="1:29" x14ac:dyDescent="0.25">
      <c r="X78" s="11"/>
    </row>
    <row r="79" spans="1:29" x14ac:dyDescent="0.25">
      <c r="X79" s="11"/>
    </row>
    <row r="80" spans="1:29" x14ac:dyDescent="0.25">
      <c r="X80" s="11"/>
    </row>
    <row r="81" spans="24:24" x14ac:dyDescent="0.25">
      <c r="X81" s="11"/>
    </row>
    <row r="82" spans="24:24" x14ac:dyDescent="0.25">
      <c r="X82" s="11"/>
    </row>
    <row r="83" spans="24:24" x14ac:dyDescent="0.25">
      <c r="X83" s="11"/>
    </row>
    <row r="84" spans="24:24" x14ac:dyDescent="0.25">
      <c r="X84" s="11"/>
    </row>
    <row r="85" spans="24:24" x14ac:dyDescent="0.25">
      <c r="X85" s="11"/>
    </row>
    <row r="86" spans="24:24" x14ac:dyDescent="0.25">
      <c r="X86" s="11"/>
    </row>
    <row r="87" spans="24:24" x14ac:dyDescent="0.25">
      <c r="X87" s="11"/>
    </row>
    <row r="88" spans="24:24" x14ac:dyDescent="0.25">
      <c r="X88" s="11"/>
    </row>
    <row r="89" spans="24:24" x14ac:dyDescent="0.25">
      <c r="X89" s="11"/>
    </row>
    <row r="90" spans="24:24" x14ac:dyDescent="0.25">
      <c r="X90" s="11"/>
    </row>
    <row r="91" spans="24:24" x14ac:dyDescent="0.25">
      <c r="X91" s="11"/>
    </row>
    <row r="92" spans="24:24" x14ac:dyDescent="0.25">
      <c r="X92" s="11"/>
    </row>
    <row r="93" spans="24:24" x14ac:dyDescent="0.25">
      <c r="X93" s="11"/>
    </row>
    <row r="94" spans="24:24" x14ac:dyDescent="0.25">
      <c r="X94" s="11"/>
    </row>
    <row r="95" spans="24:24" x14ac:dyDescent="0.25">
      <c r="X95" s="11"/>
    </row>
    <row r="96" spans="24:24" x14ac:dyDescent="0.25">
      <c r="X96" s="11"/>
    </row>
  </sheetData>
  <mergeCells count="9">
    <mergeCell ref="L18:M18"/>
    <mergeCell ref="N18:O18"/>
    <mergeCell ref="P18:Q18"/>
    <mergeCell ref="Y17:AA17"/>
    <mergeCell ref="D16:F16"/>
    <mergeCell ref="D18:E18"/>
    <mergeCell ref="F18:G18"/>
    <mergeCell ref="H18:I18"/>
    <mergeCell ref="J18:K18"/>
  </mergeCells>
  <phoneticPr fontId="57" type="noConversion"/>
  <conditionalFormatting sqref="B18:B19 B76:B226">
    <cfRule type="containsText" dxfId="408" priority="612" operator="containsText" text="PENDIENTE">
      <formula>NOT(ISERROR(SEARCH("PENDIENTE",B18)))</formula>
    </cfRule>
  </conditionalFormatting>
  <conditionalFormatting sqref="B18:B226">
    <cfRule type="containsText" dxfId="407" priority="609" operator="containsText" text="PENDIENTE">
      <formula>NOT(ISERROR(SEARCH("PENDIENTE",B18)))</formula>
    </cfRule>
  </conditionalFormatting>
  <conditionalFormatting sqref="C61">
    <cfRule type="duplicateValues" dxfId="406" priority="319"/>
    <cfRule type="duplicateValues" dxfId="405" priority="318"/>
    <cfRule type="duplicateValues" dxfId="404" priority="317"/>
    <cfRule type="duplicateValues" dxfId="403" priority="316"/>
    <cfRule type="duplicateValues" dxfId="402" priority="315"/>
    <cfRule type="duplicateValues" dxfId="401" priority="365"/>
    <cfRule type="duplicateValues" dxfId="400" priority="364"/>
    <cfRule type="duplicateValues" dxfId="399" priority="363"/>
    <cfRule type="duplicateValues" dxfId="398" priority="362"/>
    <cfRule type="duplicateValues" dxfId="397" priority="361"/>
    <cfRule type="duplicateValues" dxfId="396" priority="360"/>
    <cfRule type="duplicateValues" dxfId="395" priority="359"/>
    <cfRule type="duplicateValues" dxfId="394" priority="358"/>
    <cfRule type="duplicateValues" dxfId="393" priority="357"/>
    <cfRule type="duplicateValues" dxfId="392" priority="356"/>
    <cfRule type="duplicateValues" dxfId="391" priority="355"/>
    <cfRule type="duplicateValues" dxfId="390" priority="370"/>
    <cfRule type="duplicateValues" dxfId="389" priority="354"/>
    <cfRule type="duplicateValues" dxfId="388" priority="353"/>
    <cfRule type="duplicateValues" dxfId="387" priority="352"/>
    <cfRule type="duplicateValues" dxfId="386" priority="351"/>
    <cfRule type="duplicateValues" dxfId="385" priority="350"/>
    <cfRule type="duplicateValues" dxfId="384" priority="349"/>
    <cfRule type="duplicateValues" dxfId="383" priority="348"/>
    <cfRule type="duplicateValues" dxfId="382" priority="347"/>
    <cfRule type="duplicateValues" dxfId="381" priority="346"/>
    <cfRule type="duplicateValues" dxfId="380" priority="345"/>
    <cfRule type="duplicateValues" dxfId="379" priority="344"/>
    <cfRule type="duplicateValues" dxfId="378" priority="343"/>
    <cfRule type="duplicateValues" dxfId="377" priority="342"/>
    <cfRule type="duplicateValues" dxfId="376" priority="341"/>
    <cfRule type="duplicateValues" dxfId="375" priority="340"/>
    <cfRule type="duplicateValues" dxfId="374" priority="339"/>
    <cfRule type="duplicateValues" dxfId="373" priority="338"/>
    <cfRule type="duplicateValues" dxfId="372" priority="337"/>
    <cfRule type="duplicateValues" dxfId="371" priority="335"/>
    <cfRule type="duplicateValues" dxfId="370" priority="334"/>
    <cfRule type="duplicateValues" dxfId="369" priority="333"/>
    <cfRule type="duplicateValues" dxfId="368" priority="332"/>
    <cfRule type="duplicateValues" dxfId="367" priority="331"/>
    <cfRule type="duplicateValues" dxfId="366" priority="330"/>
    <cfRule type="duplicateValues" dxfId="365" priority="329"/>
    <cfRule type="duplicateValues" dxfId="364" priority="328"/>
    <cfRule type="duplicateValues" dxfId="363" priority="327"/>
    <cfRule type="duplicateValues" dxfId="362" priority="326"/>
    <cfRule type="duplicateValues" dxfId="361" priority="325"/>
    <cfRule type="duplicateValues" dxfId="360" priority="324"/>
    <cfRule type="duplicateValues" dxfId="359" priority="323"/>
    <cfRule type="duplicateValues" dxfId="358" priority="322"/>
    <cfRule type="duplicateValues" dxfId="357" priority="321"/>
    <cfRule type="duplicateValues" dxfId="356" priority="386"/>
    <cfRule type="duplicateValues" dxfId="355" priority="320"/>
    <cfRule type="duplicateValues" dxfId="354" priority="398"/>
    <cfRule type="duplicateValues" dxfId="353" priority="397"/>
    <cfRule type="duplicateValues" dxfId="352" priority="396"/>
    <cfRule type="duplicateValues" dxfId="351" priority="395"/>
    <cfRule type="duplicateValues" dxfId="350" priority="394"/>
    <cfRule type="duplicateValues" dxfId="349" priority="393"/>
    <cfRule type="duplicateValues" dxfId="348" priority="392"/>
    <cfRule type="duplicateValues" dxfId="347" priority="391"/>
    <cfRule type="duplicateValues" dxfId="346" priority="390"/>
    <cfRule type="duplicateValues" dxfId="345" priority="389"/>
    <cfRule type="duplicateValues" dxfId="344" priority="388"/>
    <cfRule type="duplicateValues" dxfId="343" priority="387"/>
    <cfRule type="duplicateValues" dxfId="342" priority="336"/>
    <cfRule type="duplicateValues" dxfId="341" priority="385"/>
    <cfRule type="duplicateValues" dxfId="340" priority="384"/>
    <cfRule type="duplicateValues" dxfId="339" priority="383"/>
    <cfRule type="duplicateValues" dxfId="338" priority="382"/>
    <cfRule type="duplicateValues" dxfId="337" priority="381"/>
    <cfRule type="duplicateValues" dxfId="336" priority="380"/>
    <cfRule type="duplicateValues" dxfId="335" priority="379"/>
    <cfRule type="duplicateValues" dxfId="334" priority="378"/>
    <cfRule type="duplicateValues" dxfId="333" priority="377"/>
    <cfRule type="duplicateValues" dxfId="332" priority="376"/>
    <cfRule type="duplicateValues" dxfId="331" priority="375"/>
    <cfRule type="duplicateValues" dxfId="330" priority="374"/>
    <cfRule type="duplicateValues" dxfId="329" priority="373"/>
    <cfRule type="duplicateValues" dxfId="328" priority="372"/>
    <cfRule type="duplicateValues" dxfId="327" priority="371"/>
    <cfRule type="duplicateValues" dxfId="326" priority="369"/>
    <cfRule type="duplicateValues" dxfId="325" priority="368"/>
    <cfRule type="duplicateValues" dxfId="324" priority="367"/>
    <cfRule type="duplicateValues" dxfId="323" priority="366"/>
  </conditionalFormatting>
  <conditionalFormatting sqref="C62">
    <cfRule type="duplicateValues" dxfId="322" priority="314"/>
    <cfRule type="duplicateValues" dxfId="321" priority="313"/>
    <cfRule type="duplicateValues" dxfId="320" priority="312"/>
    <cfRule type="duplicateValues" dxfId="319" priority="311"/>
    <cfRule type="duplicateValues" dxfId="318" priority="310"/>
    <cfRule type="duplicateValues" dxfId="317" priority="309"/>
    <cfRule type="duplicateValues" dxfId="316" priority="307"/>
    <cfRule type="duplicateValues" dxfId="315" priority="306"/>
    <cfRule type="duplicateValues" dxfId="314" priority="305"/>
    <cfRule type="duplicateValues" dxfId="313" priority="304"/>
    <cfRule type="duplicateValues" dxfId="312" priority="302"/>
    <cfRule type="duplicateValues" dxfId="311" priority="301"/>
    <cfRule type="duplicateValues" dxfId="310" priority="300"/>
    <cfRule type="duplicateValues" dxfId="309" priority="299"/>
    <cfRule type="duplicateValues" dxfId="308" priority="269"/>
    <cfRule type="duplicateValues" dxfId="307" priority="298"/>
    <cfRule type="duplicateValues" dxfId="306" priority="297"/>
    <cfRule type="duplicateValues" dxfId="305" priority="296"/>
    <cfRule type="duplicateValues" dxfId="304" priority="295"/>
    <cfRule type="duplicateValues" dxfId="303" priority="294"/>
    <cfRule type="duplicateValues" dxfId="302" priority="293"/>
    <cfRule type="duplicateValues" dxfId="301" priority="292"/>
    <cfRule type="duplicateValues" dxfId="300" priority="291"/>
    <cfRule type="duplicateValues" dxfId="299" priority="290"/>
    <cfRule type="duplicateValues" dxfId="298" priority="289"/>
    <cfRule type="duplicateValues" dxfId="297" priority="288"/>
    <cfRule type="duplicateValues" dxfId="296" priority="287"/>
    <cfRule type="duplicateValues" dxfId="295" priority="286"/>
    <cfRule type="duplicateValues" dxfId="294" priority="285"/>
    <cfRule type="duplicateValues" dxfId="293" priority="284"/>
    <cfRule type="duplicateValues" dxfId="292" priority="283"/>
    <cfRule type="duplicateValues" dxfId="291" priority="282"/>
    <cfRule type="duplicateValues" dxfId="290" priority="281"/>
    <cfRule type="duplicateValues" dxfId="289" priority="280"/>
    <cfRule type="duplicateValues" dxfId="288" priority="279"/>
    <cfRule type="duplicateValues" dxfId="287" priority="278"/>
    <cfRule type="duplicateValues" dxfId="286" priority="277"/>
    <cfRule type="duplicateValues" dxfId="285" priority="276"/>
    <cfRule type="duplicateValues" dxfId="284" priority="275"/>
    <cfRule type="duplicateValues" dxfId="283" priority="274"/>
    <cfRule type="duplicateValues" dxfId="282" priority="273"/>
    <cfRule type="duplicateValues" dxfId="281" priority="272"/>
    <cfRule type="duplicateValues" dxfId="280" priority="271"/>
    <cfRule type="duplicateValues" dxfId="279" priority="308"/>
    <cfRule type="duplicateValues" dxfId="278" priority="270"/>
    <cfRule type="duplicateValues" dxfId="277" priority="303"/>
  </conditionalFormatting>
  <conditionalFormatting sqref="C63">
    <cfRule type="duplicateValues" dxfId="276" priority="217"/>
    <cfRule type="duplicateValues" dxfId="275" priority="218"/>
    <cfRule type="duplicateValues" dxfId="274" priority="219"/>
    <cfRule type="duplicateValues" dxfId="273" priority="220"/>
    <cfRule type="duplicateValues" dxfId="272" priority="221"/>
    <cfRule type="duplicateValues" dxfId="271" priority="222"/>
    <cfRule type="duplicateValues" dxfId="270" priority="223"/>
    <cfRule type="duplicateValues" dxfId="269" priority="224"/>
    <cfRule type="duplicateValues" dxfId="268" priority="225"/>
    <cfRule type="duplicateValues" dxfId="267" priority="226"/>
    <cfRule type="duplicateValues" dxfId="266" priority="227"/>
    <cfRule type="duplicateValues" dxfId="265" priority="228"/>
    <cfRule type="duplicateValues" dxfId="264" priority="229"/>
    <cfRule type="duplicateValues" dxfId="263" priority="230"/>
    <cfRule type="duplicateValues" dxfId="262" priority="231"/>
    <cfRule type="duplicateValues" dxfId="261" priority="232"/>
    <cfRule type="duplicateValues" dxfId="260" priority="233"/>
    <cfRule type="duplicateValues" dxfId="259" priority="234"/>
    <cfRule type="duplicateValues" dxfId="258" priority="235"/>
    <cfRule type="duplicateValues" dxfId="257" priority="236"/>
    <cfRule type="duplicateValues" dxfId="256" priority="237"/>
    <cfRule type="duplicateValues" dxfId="255" priority="238"/>
    <cfRule type="duplicateValues" dxfId="254" priority="239"/>
    <cfRule type="duplicateValues" dxfId="253" priority="240"/>
    <cfRule type="duplicateValues" dxfId="252" priority="241"/>
    <cfRule type="duplicateValues" dxfId="251" priority="242"/>
    <cfRule type="duplicateValues" dxfId="250" priority="243"/>
    <cfRule type="duplicateValues" dxfId="249" priority="244"/>
    <cfRule type="duplicateValues" dxfId="248" priority="245"/>
    <cfRule type="duplicateValues" dxfId="247" priority="246"/>
    <cfRule type="duplicateValues" dxfId="246" priority="247"/>
    <cfRule type="duplicateValues" dxfId="245" priority="248"/>
    <cfRule type="duplicateValues" dxfId="244" priority="249"/>
    <cfRule type="duplicateValues" dxfId="243" priority="250"/>
    <cfRule type="duplicateValues" dxfId="242" priority="251"/>
    <cfRule type="duplicateValues" dxfId="241" priority="252"/>
    <cfRule type="duplicateValues" dxfId="240" priority="253"/>
    <cfRule type="duplicateValues" dxfId="239" priority="254"/>
    <cfRule type="duplicateValues" dxfId="238" priority="255"/>
    <cfRule type="duplicateValues" dxfId="237" priority="256"/>
    <cfRule type="duplicateValues" dxfId="236" priority="258"/>
    <cfRule type="duplicateValues" dxfId="235" priority="259"/>
    <cfRule type="duplicateValues" dxfId="234" priority="260"/>
    <cfRule type="duplicateValues" dxfId="233" priority="261"/>
    <cfRule type="duplicateValues" dxfId="232" priority="262"/>
    <cfRule type="duplicateValues" dxfId="231" priority="263"/>
    <cfRule type="duplicateValues" dxfId="230" priority="264"/>
    <cfRule type="duplicateValues" dxfId="229" priority="265"/>
    <cfRule type="duplicateValues" dxfId="228" priority="266"/>
    <cfRule type="duplicateValues" dxfId="227" priority="267"/>
    <cfRule type="duplicateValues" dxfId="226" priority="268"/>
    <cfRule type="duplicateValues" dxfId="225" priority="206"/>
    <cfRule type="duplicateValues" dxfId="224" priority="186"/>
    <cfRule type="duplicateValues" dxfId="223" priority="187"/>
    <cfRule type="duplicateValues" dxfId="222" priority="188"/>
    <cfRule type="duplicateValues" dxfId="221" priority="189"/>
    <cfRule type="duplicateValues" dxfId="220" priority="190"/>
    <cfRule type="duplicateValues" dxfId="219" priority="191"/>
    <cfRule type="duplicateValues" dxfId="218" priority="192"/>
    <cfRule type="duplicateValues" dxfId="217" priority="193"/>
    <cfRule type="duplicateValues" dxfId="216" priority="194"/>
    <cfRule type="duplicateValues" dxfId="215" priority="195"/>
    <cfRule type="duplicateValues" dxfId="214" priority="196"/>
    <cfRule type="duplicateValues" dxfId="213" priority="197"/>
    <cfRule type="duplicateValues" dxfId="212" priority="198"/>
    <cfRule type="duplicateValues" dxfId="211" priority="199"/>
    <cfRule type="duplicateValues" dxfId="210" priority="200"/>
    <cfRule type="duplicateValues" dxfId="209" priority="201"/>
    <cfRule type="duplicateValues" dxfId="208" priority="202"/>
    <cfRule type="duplicateValues" dxfId="207" priority="203"/>
    <cfRule type="duplicateValues" dxfId="206" priority="204"/>
    <cfRule type="duplicateValues" dxfId="205" priority="205"/>
    <cfRule type="duplicateValues" dxfId="204" priority="257"/>
    <cfRule type="duplicateValues" dxfId="203" priority="207"/>
    <cfRule type="duplicateValues" dxfId="202" priority="208"/>
    <cfRule type="duplicateValues" dxfId="201" priority="209"/>
    <cfRule type="duplicateValues" dxfId="200" priority="210"/>
    <cfRule type="duplicateValues" dxfId="199" priority="211"/>
    <cfRule type="duplicateValues" dxfId="198" priority="212"/>
    <cfRule type="duplicateValues" dxfId="197" priority="213"/>
    <cfRule type="duplicateValues" dxfId="196" priority="214"/>
    <cfRule type="duplicateValues" dxfId="195" priority="215"/>
    <cfRule type="duplicateValues" dxfId="194" priority="216"/>
  </conditionalFormatting>
  <conditionalFormatting sqref="C64">
    <cfRule type="duplicateValues" dxfId="193" priority="104"/>
    <cfRule type="duplicateValues" dxfId="192" priority="142"/>
    <cfRule type="duplicateValues" dxfId="191" priority="141"/>
    <cfRule type="duplicateValues" dxfId="190" priority="140"/>
    <cfRule type="duplicateValues" dxfId="189" priority="155"/>
    <cfRule type="duplicateValues" dxfId="188" priority="185"/>
    <cfRule type="duplicateValues" dxfId="187" priority="184"/>
    <cfRule type="duplicateValues" dxfId="186" priority="183"/>
    <cfRule type="duplicateValues" dxfId="185" priority="182"/>
    <cfRule type="duplicateValues" dxfId="184" priority="181"/>
    <cfRule type="duplicateValues" dxfId="183" priority="180"/>
    <cfRule type="duplicateValues" dxfId="182" priority="179"/>
    <cfRule type="duplicateValues" dxfId="181" priority="178"/>
    <cfRule type="duplicateValues" dxfId="180" priority="177"/>
    <cfRule type="duplicateValues" dxfId="179" priority="176"/>
    <cfRule type="duplicateValues" dxfId="178" priority="175"/>
    <cfRule type="duplicateValues" dxfId="177" priority="174"/>
    <cfRule type="duplicateValues" dxfId="176" priority="173"/>
    <cfRule type="duplicateValues" dxfId="175" priority="172"/>
    <cfRule type="duplicateValues" dxfId="174" priority="171"/>
    <cfRule type="duplicateValues" dxfId="173" priority="170"/>
    <cfRule type="duplicateValues" dxfId="172" priority="169"/>
    <cfRule type="duplicateValues" dxfId="171" priority="168"/>
    <cfRule type="duplicateValues" dxfId="170" priority="167"/>
    <cfRule type="duplicateValues" dxfId="169" priority="139"/>
    <cfRule type="duplicateValues" dxfId="168" priority="166"/>
    <cfRule type="duplicateValues" dxfId="167" priority="165"/>
    <cfRule type="duplicateValues" dxfId="166" priority="164"/>
    <cfRule type="duplicateValues" dxfId="165" priority="163"/>
    <cfRule type="duplicateValues" dxfId="164" priority="162"/>
    <cfRule type="duplicateValues" dxfId="163" priority="161"/>
    <cfRule type="duplicateValues" dxfId="162" priority="160"/>
    <cfRule type="duplicateValues" dxfId="161" priority="159"/>
    <cfRule type="duplicateValues" dxfId="160" priority="158"/>
    <cfRule type="duplicateValues" dxfId="159" priority="157"/>
    <cfRule type="duplicateValues" dxfId="158" priority="156"/>
    <cfRule type="duplicateValues" dxfId="157" priority="154"/>
    <cfRule type="duplicateValues" dxfId="156" priority="153"/>
    <cfRule type="duplicateValues" dxfId="155" priority="152"/>
    <cfRule type="duplicateValues" dxfId="154" priority="151"/>
    <cfRule type="duplicateValues" dxfId="153" priority="150"/>
    <cfRule type="duplicateValues" dxfId="152" priority="149"/>
    <cfRule type="duplicateValues" dxfId="151" priority="148"/>
    <cfRule type="duplicateValues" dxfId="150" priority="147"/>
    <cfRule type="duplicateValues" dxfId="149" priority="146"/>
    <cfRule type="duplicateValues" dxfId="148" priority="145"/>
    <cfRule type="duplicateValues" dxfId="147" priority="144"/>
    <cfRule type="duplicateValues" dxfId="146" priority="143"/>
    <cfRule type="duplicateValues" dxfId="145" priority="138"/>
    <cfRule type="duplicateValues" dxfId="144" priority="137"/>
    <cfRule type="duplicateValues" dxfId="143" priority="136"/>
    <cfRule type="duplicateValues" dxfId="142" priority="135"/>
    <cfRule type="duplicateValues" dxfId="141" priority="134"/>
    <cfRule type="duplicateValues" dxfId="140" priority="133"/>
    <cfRule type="duplicateValues" dxfId="139" priority="132"/>
    <cfRule type="duplicateValues" dxfId="138" priority="131"/>
    <cfRule type="duplicateValues" dxfId="137" priority="130"/>
    <cfRule type="duplicateValues" dxfId="136" priority="129"/>
    <cfRule type="duplicateValues" dxfId="135" priority="128"/>
    <cfRule type="duplicateValues" dxfId="134" priority="127"/>
    <cfRule type="duplicateValues" dxfId="133" priority="126"/>
    <cfRule type="duplicateValues" dxfId="132" priority="125"/>
    <cfRule type="duplicateValues" dxfId="131" priority="124"/>
    <cfRule type="duplicateValues" dxfId="130" priority="123"/>
    <cfRule type="duplicateValues" dxfId="129" priority="122"/>
    <cfRule type="duplicateValues" dxfId="128" priority="121"/>
    <cfRule type="duplicateValues" dxfId="127" priority="120"/>
    <cfRule type="duplicateValues" dxfId="126" priority="119"/>
    <cfRule type="duplicateValues" dxfId="125" priority="118"/>
    <cfRule type="duplicateValues" dxfId="124" priority="117"/>
    <cfRule type="duplicateValues" dxfId="123" priority="116"/>
    <cfRule type="duplicateValues" dxfId="122" priority="115"/>
    <cfRule type="duplicateValues" dxfId="121" priority="114"/>
    <cfRule type="duplicateValues" dxfId="120" priority="113"/>
    <cfRule type="duplicateValues" dxfId="119" priority="112"/>
    <cfRule type="duplicateValues" dxfId="118" priority="111"/>
    <cfRule type="duplicateValues" dxfId="117" priority="110"/>
    <cfRule type="duplicateValues" dxfId="116" priority="109"/>
    <cfRule type="duplicateValues" dxfId="115" priority="108"/>
    <cfRule type="duplicateValues" dxfId="114" priority="107"/>
    <cfRule type="duplicateValues" dxfId="113" priority="106"/>
    <cfRule type="duplicateValues" dxfId="112" priority="105"/>
    <cfRule type="duplicateValues" dxfId="111" priority="103"/>
    <cfRule type="duplicateValues" dxfId="110" priority="102"/>
    <cfRule type="duplicateValues" dxfId="109" priority="101"/>
    <cfRule type="duplicateValues" dxfId="108" priority="100"/>
    <cfRule type="duplicateValues" dxfId="107" priority="99"/>
    <cfRule type="duplicateValues" dxfId="106" priority="98"/>
    <cfRule type="duplicateValues" dxfId="105" priority="97"/>
    <cfRule type="duplicateValues" dxfId="104" priority="96"/>
    <cfRule type="duplicateValues" dxfId="103" priority="95"/>
    <cfRule type="duplicateValues" dxfId="102" priority="94"/>
    <cfRule type="duplicateValues" dxfId="101" priority="93"/>
    <cfRule type="duplicateValues" dxfId="100" priority="92"/>
    <cfRule type="duplicateValues" dxfId="99" priority="91"/>
    <cfRule type="duplicateValues" dxfId="98" priority="90"/>
    <cfRule type="duplicateValues" dxfId="97" priority="89"/>
    <cfRule type="duplicateValues" dxfId="96" priority="88"/>
  </conditionalFormatting>
  <conditionalFormatting sqref="C65">
    <cfRule type="duplicateValues" dxfId="95" priority="3"/>
    <cfRule type="duplicateValues" dxfId="94" priority="4"/>
    <cfRule type="duplicateValues" dxfId="93" priority="5"/>
    <cfRule type="duplicateValues" dxfId="92" priority="6"/>
    <cfRule type="duplicateValues" dxfId="91" priority="7"/>
    <cfRule type="duplicateValues" dxfId="90" priority="8"/>
    <cfRule type="duplicateValues" dxfId="89" priority="9"/>
    <cfRule type="duplicateValues" dxfId="88" priority="10"/>
    <cfRule type="duplicateValues" dxfId="87" priority="11"/>
    <cfRule type="duplicateValues" dxfId="86" priority="12"/>
    <cfRule type="duplicateValues" dxfId="85" priority="13"/>
    <cfRule type="duplicateValues" dxfId="84" priority="14"/>
    <cfRule type="duplicateValues" dxfId="83" priority="15"/>
    <cfRule type="duplicateValues" dxfId="82" priority="16"/>
    <cfRule type="duplicateValues" dxfId="81" priority="17"/>
    <cfRule type="duplicateValues" dxfId="80" priority="18"/>
    <cfRule type="duplicateValues" dxfId="79" priority="19"/>
    <cfRule type="duplicateValues" dxfId="78" priority="20"/>
    <cfRule type="duplicateValues" dxfId="77" priority="21"/>
    <cfRule type="duplicateValues" dxfId="76" priority="22"/>
    <cfRule type="duplicateValues" dxfId="75" priority="23"/>
    <cfRule type="duplicateValues" dxfId="74" priority="24"/>
    <cfRule type="duplicateValues" dxfId="73" priority="25"/>
    <cfRule type="duplicateValues" dxfId="72" priority="27"/>
    <cfRule type="duplicateValues" dxfId="71" priority="28"/>
    <cfRule type="duplicateValues" dxfId="70" priority="29"/>
    <cfRule type="duplicateValues" dxfId="69" priority="30"/>
    <cfRule type="duplicateValues" dxfId="68" priority="31"/>
    <cfRule type="duplicateValues" dxfId="67" priority="32"/>
    <cfRule type="duplicateValues" dxfId="66" priority="33"/>
    <cfRule type="duplicateValues" dxfId="65" priority="34"/>
    <cfRule type="duplicateValues" dxfId="64" priority="35"/>
    <cfRule type="duplicateValues" dxfId="63" priority="36"/>
    <cfRule type="duplicateValues" dxfId="62" priority="37"/>
    <cfRule type="duplicateValues" dxfId="61" priority="53"/>
    <cfRule type="duplicateValues" dxfId="60" priority="38"/>
    <cfRule type="duplicateValues" dxfId="59" priority="39"/>
    <cfRule type="duplicateValues" dxfId="58" priority="40"/>
    <cfRule type="duplicateValues" dxfId="57" priority="41"/>
    <cfRule type="duplicateValues" dxfId="56" priority="42"/>
    <cfRule type="duplicateValues" dxfId="55" priority="43"/>
    <cfRule type="duplicateValues" dxfId="54" priority="44"/>
    <cfRule type="duplicateValues" dxfId="53" priority="45"/>
    <cfRule type="duplicateValues" dxfId="52" priority="46"/>
    <cfRule type="duplicateValues" dxfId="51" priority="2"/>
    <cfRule type="duplicateValues" dxfId="50" priority="47"/>
    <cfRule type="duplicateValues" dxfId="49" priority="48"/>
    <cfRule type="duplicateValues" dxfId="48" priority="49"/>
    <cfRule type="duplicateValues" dxfId="47" priority="50"/>
    <cfRule type="duplicateValues" dxfId="46" priority="51"/>
    <cfRule type="duplicateValues" dxfId="45" priority="52"/>
    <cfRule type="duplicateValues" dxfId="44" priority="26"/>
    <cfRule type="duplicateValues" dxfId="43" priority="87"/>
    <cfRule type="duplicateValues" dxfId="42" priority="86"/>
    <cfRule type="duplicateValues" dxfId="41" priority="85"/>
    <cfRule type="duplicateValues" dxfId="40" priority="84"/>
    <cfRule type="duplicateValues" dxfId="39" priority="83"/>
    <cfRule type="duplicateValues" dxfId="38" priority="82"/>
    <cfRule type="duplicateValues" dxfId="37" priority="81"/>
    <cfRule type="duplicateValues" dxfId="36" priority="80"/>
    <cfRule type="duplicateValues" dxfId="35" priority="79"/>
    <cfRule type="duplicateValues" dxfId="34" priority="78"/>
    <cfRule type="duplicateValues" dxfId="33" priority="77"/>
    <cfRule type="duplicateValues" dxfId="32" priority="76"/>
    <cfRule type="duplicateValues" dxfId="31" priority="75"/>
    <cfRule type="duplicateValues" dxfId="30" priority="74"/>
    <cfRule type="duplicateValues" dxfId="29" priority="73"/>
    <cfRule type="duplicateValues" dxfId="28" priority="72"/>
    <cfRule type="duplicateValues" dxfId="27" priority="71"/>
    <cfRule type="duplicateValues" dxfId="26" priority="70"/>
    <cfRule type="duplicateValues" dxfId="25" priority="69"/>
    <cfRule type="duplicateValues" dxfId="24" priority="68"/>
    <cfRule type="duplicateValues" dxfId="23" priority="67"/>
    <cfRule type="duplicateValues" dxfId="22" priority="66"/>
    <cfRule type="duplicateValues" dxfId="21" priority="65"/>
    <cfRule type="duplicateValues" dxfId="20" priority="64"/>
    <cfRule type="duplicateValues" dxfId="19" priority="63"/>
    <cfRule type="duplicateValues" dxfId="18" priority="62"/>
    <cfRule type="duplicateValues" dxfId="17" priority="61"/>
    <cfRule type="duplicateValues" dxfId="16" priority="60"/>
    <cfRule type="duplicateValues" dxfId="15" priority="59"/>
    <cfRule type="duplicateValues" dxfId="14" priority="58"/>
    <cfRule type="duplicateValues" dxfId="13" priority="57"/>
    <cfRule type="duplicateValues" dxfId="12" priority="56"/>
    <cfRule type="duplicateValues" dxfId="11" priority="55"/>
    <cfRule type="duplicateValues" dxfId="10" priority="54"/>
  </conditionalFormatting>
  <conditionalFormatting sqref="X16:X17 Y36:AB75">
    <cfRule type="containsText" dxfId="9" priority="852" operator="containsText" text="SI APLICA">
      <formula>NOT(ISERROR(SEARCH("SI APLICA",X16)))</formula>
    </cfRule>
  </conditionalFormatting>
  <conditionalFormatting sqref="Y20:AA75">
    <cfRule type="containsText" dxfId="8" priority="829" operator="containsText" text="NO APLICA">
      <formula>NOT(ISERROR(SEARCH("NO APLICA",Y20)))</formula>
    </cfRule>
    <cfRule type="containsText" dxfId="7" priority="830" operator="containsText" text="SI APLICA">
      <formula>NOT(ISERROR(SEARCH("SI APLICA",Y20)))</formula>
    </cfRule>
  </conditionalFormatting>
  <conditionalFormatting sqref="Y36:AB75 X16:X17">
    <cfRule type="containsText" dxfId="6" priority="851" operator="containsText" text="NO APLICA">
      <formula>NOT(ISERROR(SEARCH("NO APLICA",X16)))</formula>
    </cfRule>
  </conditionalFormatting>
  <conditionalFormatting sqref="AA16">
    <cfRule type="containsText" dxfId="5" priority="849" operator="containsText" text="NO APLICA">
      <formula>NOT(ISERROR(SEARCH("NO APLICA",AA16)))</formula>
    </cfRule>
    <cfRule type="containsText" dxfId="4" priority="850" operator="containsText" text="SI APLICA">
      <formula>NOT(ISERROR(SEARCH("SI APLICA",AA16)))</formula>
    </cfRule>
  </conditionalFormatting>
  <conditionalFormatting sqref="AB16:AB17 AC18:AC75">
    <cfRule type="containsText" dxfId="3" priority="845" operator="containsText" text="ERROR">
      <formula>NOT(ISERROR(SEARCH("ERROR",AB16)))</formula>
    </cfRule>
    <cfRule type="containsText" dxfId="2" priority="846" operator="containsText" text="ERROR">
      <formula>NOT(ISERROR(SEARCH("ERROR",AB16)))</formula>
    </cfRule>
  </conditionalFormatting>
  <conditionalFormatting sqref="AB18:AB35">
    <cfRule type="containsText" dxfId="1" priority="835" operator="containsText" text="NO APLICA">
      <formula>NOT(ISERROR(SEARCH("NO APLICA",AB18)))</formula>
    </cfRule>
    <cfRule type="containsText" dxfId="0" priority="836" operator="containsText" text="SI APLICA">
      <formula>NOT(ISERROR(SEARCH("SI APLICA",AB18)))</formula>
    </cfRule>
  </conditionalFormatting>
  <dataValidations count="1">
    <dataValidation type="list" allowBlank="1" showInputMessage="1" showErrorMessage="1" sqref="X20:X75" xr:uid="{7F6ADCEB-924F-41E6-A19F-40129A6BAA3D}">
      <formula1>"FIDUCIA/NUBE, FIDUCIA, NUBE"</formula1>
    </dataValidation>
  </dataValidations>
  <pageMargins left="0.7" right="0.7" top="0.75" bottom="0.75" header="0.3" footer="0.3"/>
  <pageSetup paperSize="9" orientation="portrait" r:id="rId1"/>
  <drawing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DF5ACE-3E5A-4449-8957-9EE3A4E170B6}">
  <sheetPr codeName="Hoja3"/>
  <dimension ref="A1:R29"/>
  <sheetViews>
    <sheetView showGridLines="0" topLeftCell="C1" zoomScale="70" zoomScaleNormal="70" workbookViewId="0">
      <selection activeCell="P26" sqref="P26"/>
    </sheetView>
  </sheetViews>
  <sheetFormatPr baseColWidth="10" defaultRowHeight="12.75" x14ac:dyDescent="0.2"/>
  <cols>
    <col min="4" max="4" width="3.5703125" customWidth="1"/>
    <col min="5" max="5" width="35.7109375" bestFit="1" customWidth="1"/>
    <col min="6" max="6" width="17" customWidth="1"/>
    <col min="7" max="7" width="64.85546875" customWidth="1"/>
    <col min="8" max="8" width="2.42578125" customWidth="1"/>
    <col min="9" max="9" width="36.5703125" customWidth="1"/>
    <col min="10" max="10" width="3" customWidth="1"/>
    <col min="12" max="12" width="14" bestFit="1" customWidth="1"/>
    <col min="13" max="14" width="14" customWidth="1"/>
    <col min="15" max="15" width="22.7109375" customWidth="1"/>
    <col min="16" max="16" width="29" customWidth="1"/>
    <col min="17" max="17" width="19.5703125" customWidth="1"/>
    <col min="18" max="18" width="12.140625" customWidth="1"/>
    <col min="19" max="19" width="11.28515625" customWidth="1"/>
  </cols>
  <sheetData>
    <row r="1" spans="1:18" x14ac:dyDescent="0.2">
      <c r="A1" s="26"/>
      <c r="B1" s="26"/>
      <c r="C1" s="26"/>
      <c r="D1" s="26"/>
      <c r="E1" s="26"/>
      <c r="F1" s="26"/>
      <c r="G1" s="26"/>
      <c r="H1" s="26"/>
      <c r="I1" s="26"/>
      <c r="J1" s="26"/>
      <c r="K1" s="26"/>
      <c r="L1" s="26"/>
      <c r="M1" s="26"/>
      <c r="N1" s="26"/>
      <c r="O1" s="26"/>
    </row>
    <row r="2" spans="1:18" x14ac:dyDescent="0.2">
      <c r="A2" s="26"/>
      <c r="B2" s="26"/>
      <c r="C2" s="26"/>
      <c r="D2" s="26"/>
      <c r="E2" s="26"/>
      <c r="F2" s="26"/>
      <c r="G2" s="26"/>
      <c r="H2" s="26"/>
      <c r="I2" s="26"/>
      <c r="J2" s="26"/>
      <c r="K2" s="26"/>
      <c r="L2" s="26"/>
      <c r="M2" s="26"/>
      <c r="N2" s="26"/>
      <c r="O2" s="26"/>
    </row>
    <row r="3" spans="1:18" x14ac:dyDescent="0.2">
      <c r="A3" s="26"/>
      <c r="B3" s="26"/>
      <c r="C3" s="26"/>
      <c r="D3" s="26"/>
      <c r="E3" s="26"/>
      <c r="F3" s="26"/>
      <c r="G3" s="26"/>
      <c r="H3" s="26"/>
      <c r="I3" s="26"/>
      <c r="J3" s="26"/>
      <c r="K3" s="26"/>
      <c r="L3" s="26"/>
      <c r="M3" s="26"/>
      <c r="N3" s="26"/>
      <c r="O3" s="170" t="s">
        <v>13</v>
      </c>
      <c r="P3" s="170"/>
    </row>
    <row r="4" spans="1:18" ht="18.75" x14ac:dyDescent="0.3">
      <c r="A4" s="26"/>
      <c r="B4" s="26"/>
      <c r="C4" s="26"/>
      <c r="D4" s="6"/>
      <c r="E4" s="6"/>
      <c r="F4" s="6"/>
      <c r="G4" s="6"/>
      <c r="H4" s="6"/>
      <c r="I4" s="6"/>
      <c r="J4" s="6"/>
      <c r="K4" s="6"/>
      <c r="L4" s="26"/>
      <c r="M4" s="26"/>
      <c r="N4" s="26"/>
      <c r="O4" s="169">
        <f ca="1">TODAY()</f>
        <v>46288</v>
      </c>
      <c r="P4" s="169"/>
    </row>
    <row r="5" spans="1:18" ht="34.5" customHeight="1" thickBot="1" x14ac:dyDescent="0.3">
      <c r="A5" s="26"/>
      <c r="B5" s="26"/>
      <c r="C5" s="26"/>
      <c r="D5" s="6"/>
      <c r="E5" s="27" t="s">
        <v>20</v>
      </c>
      <c r="F5" s="171" t="str">
        <f>('MATRIZ LISTADO'!D16)</f>
        <v>ELIZABETH QUIROGA</v>
      </c>
      <c r="G5" s="171"/>
      <c r="H5" s="171"/>
      <c r="I5" s="6"/>
      <c r="J5" s="6"/>
      <c r="K5" s="6"/>
      <c r="L5" s="3"/>
      <c r="M5" s="3"/>
      <c r="N5" s="3"/>
      <c r="O5" s="175" t="s">
        <v>88</v>
      </c>
      <c r="P5" s="175"/>
      <c r="Q5" s="103" t="s">
        <v>87</v>
      </c>
      <c r="R5" s="3"/>
    </row>
    <row r="6" spans="1:18" ht="27" thickBot="1" x14ac:dyDescent="0.35">
      <c r="A6" s="26"/>
      <c r="B6" s="26"/>
      <c r="C6" s="26"/>
      <c r="D6" s="6"/>
      <c r="E6" s="6"/>
      <c r="F6" s="6"/>
      <c r="G6" s="6"/>
      <c r="H6" s="6"/>
      <c r="I6" s="6"/>
      <c r="J6" s="6"/>
      <c r="K6" s="6"/>
      <c r="L6" s="4"/>
      <c r="M6" s="4"/>
      <c r="N6" s="4"/>
      <c r="O6" s="107">
        <v>3192.92</v>
      </c>
      <c r="P6" s="5"/>
      <c r="Q6" s="3"/>
      <c r="R6" s="3"/>
    </row>
    <row r="7" spans="1:18" ht="36" x14ac:dyDescent="0.55000000000000004">
      <c r="A7" s="26"/>
      <c r="B7" s="26"/>
      <c r="C7" s="26"/>
      <c r="D7" s="6"/>
      <c r="E7" s="23" t="s">
        <v>30</v>
      </c>
      <c r="F7" s="172" t="str">
        <f>IFERROR(VLOOKUP(F8,'MATRIZ LISTADO'!B19:C75,2,0),"")</f>
        <v>CARLOS ERNESTO PAZ CABAL</v>
      </c>
      <c r="G7" s="173"/>
      <c r="H7" s="173"/>
      <c r="I7" s="60"/>
      <c r="J7" s="60"/>
      <c r="K7" s="6"/>
      <c r="L7" s="176" t="str">
        <f>('RESUMEN INDIVIDUAL'!F7)</f>
        <v>CARLOS ERNESTO PAZ CABAL</v>
      </c>
      <c r="M7" s="176"/>
      <c r="N7" s="176"/>
      <c r="O7" s="176"/>
      <c r="P7" s="176"/>
      <c r="Q7" s="176"/>
      <c r="R7" s="3"/>
    </row>
    <row r="8" spans="1:18" ht="34.5" thickBot="1" x14ac:dyDescent="0.55000000000000004">
      <c r="A8" s="26"/>
      <c r="B8" s="26"/>
      <c r="C8" s="26"/>
      <c r="D8" s="6"/>
      <c r="E8" s="24" t="s">
        <v>31</v>
      </c>
      <c r="F8" s="174">
        <v>16266851</v>
      </c>
      <c r="G8" s="174"/>
      <c r="H8" s="174"/>
      <c r="I8" s="18"/>
      <c r="J8" s="18"/>
      <c r="K8" s="6"/>
      <c r="L8" s="178" t="s">
        <v>90</v>
      </c>
      <c r="M8" s="178"/>
      <c r="N8" s="178"/>
      <c r="O8" s="178"/>
      <c r="P8" s="177" t="s">
        <v>18</v>
      </c>
      <c r="Q8" s="177"/>
      <c r="R8" s="177"/>
    </row>
    <row r="9" spans="1:18" ht="28.5" customHeight="1" x14ac:dyDescent="0.55000000000000004">
      <c r="A9" s="26"/>
      <c r="B9" s="26"/>
      <c r="C9" s="26"/>
      <c r="D9" s="6"/>
      <c r="E9" s="24"/>
      <c r="F9" s="36"/>
      <c r="G9" s="36"/>
      <c r="H9" s="18"/>
      <c r="I9" s="18"/>
      <c r="J9" s="18"/>
      <c r="K9" s="6"/>
      <c r="L9" s="180" t="s">
        <v>19</v>
      </c>
      <c r="M9" s="180"/>
      <c r="N9" s="180"/>
      <c r="O9" s="104">
        <v>-0.1</v>
      </c>
      <c r="P9" s="187">
        <f>(G26*O6)</f>
        <v>158049540000</v>
      </c>
      <c r="Q9" s="188"/>
      <c r="R9" s="189"/>
    </row>
    <row r="10" spans="1:18" ht="30" customHeight="1" x14ac:dyDescent="0.5">
      <c r="A10" s="26"/>
      <c r="B10" s="26"/>
      <c r="C10" s="26"/>
      <c r="D10" s="28"/>
      <c r="E10" s="16"/>
      <c r="F10" s="17"/>
      <c r="G10" s="17"/>
      <c r="H10" s="17"/>
      <c r="I10" s="17"/>
      <c r="J10" s="22"/>
      <c r="K10" s="6"/>
      <c r="L10" s="179">
        <v>0.01</v>
      </c>
      <c r="M10" s="179"/>
      <c r="N10" s="179"/>
      <c r="O10" s="105" t="s">
        <v>82</v>
      </c>
      <c r="P10" s="184">
        <f>(I14*O6)</f>
        <v>1580495400</v>
      </c>
      <c r="Q10" s="185"/>
      <c r="R10" s="186"/>
    </row>
    <row r="11" spans="1:18" ht="33.75" x14ac:dyDescent="0.5">
      <c r="A11" s="26"/>
      <c r="B11" s="26"/>
      <c r="C11" s="26"/>
      <c r="D11" s="28"/>
      <c r="E11" s="16"/>
      <c r="F11" s="100" t="s">
        <v>32</v>
      </c>
      <c r="G11" s="100" t="s">
        <v>39</v>
      </c>
      <c r="H11" s="22"/>
      <c r="I11" s="94" t="s">
        <v>86</v>
      </c>
      <c r="J11" s="22"/>
      <c r="K11" s="6"/>
      <c r="L11" s="179">
        <f>IFERROR(VLOOKUP(F8,'MATRIZ LISTADO'!B19:AB75,25,0),"")</f>
        <v>0.99</v>
      </c>
      <c r="M11" s="179"/>
      <c r="N11" s="179"/>
      <c r="O11" s="105" t="s">
        <v>42</v>
      </c>
      <c r="P11" s="184">
        <f>(I18*O6)</f>
        <v>156469044600</v>
      </c>
      <c r="Q11" s="185"/>
      <c r="R11" s="186"/>
    </row>
    <row r="12" spans="1:18" ht="34.5" thickBot="1" x14ac:dyDescent="0.55000000000000004">
      <c r="A12" s="26"/>
      <c r="B12" s="26"/>
      <c r="C12" s="26"/>
      <c r="D12" s="28"/>
      <c r="E12" s="34" t="s">
        <v>15</v>
      </c>
      <c r="F12" s="30">
        <f>IFERROR(VLOOKUP($F$8,Tabla3[[#All],[CC-ID-DNI]:[CANT]],3,0),"")</f>
        <v>2</v>
      </c>
      <c r="G12" s="31">
        <f>(F12*5000000)</f>
        <v>10000000</v>
      </c>
      <c r="H12" s="22"/>
      <c r="I12" s="101" t="s">
        <v>89</v>
      </c>
      <c r="J12" s="22"/>
      <c r="K12" s="6"/>
      <c r="L12" s="179">
        <f>IFERROR(VLOOKUP(F8,'MATRIZ LISTADO'!B19:AB75,26,0),"")</f>
        <v>0</v>
      </c>
      <c r="M12" s="179"/>
      <c r="N12" s="179"/>
      <c r="O12" s="106" t="s">
        <v>43</v>
      </c>
      <c r="P12" s="181">
        <f>(I22*O6)</f>
        <v>0</v>
      </c>
      <c r="Q12" s="182"/>
      <c r="R12" s="183"/>
    </row>
    <row r="13" spans="1:18" ht="9.75" customHeight="1" thickBot="1" x14ac:dyDescent="0.3">
      <c r="A13" s="26"/>
      <c r="B13" s="26"/>
      <c r="C13" s="26"/>
      <c r="D13" s="28"/>
      <c r="E13" s="35"/>
      <c r="F13" s="29"/>
      <c r="G13" s="17"/>
      <c r="H13" s="22"/>
      <c r="I13" s="22"/>
      <c r="J13" s="22"/>
      <c r="K13" s="6"/>
      <c r="L13" s="26"/>
      <c r="M13" s="26"/>
      <c r="N13" s="26"/>
      <c r="O13" s="26"/>
    </row>
    <row r="14" spans="1:18" ht="34.5" thickBot="1" x14ac:dyDescent="0.55000000000000004">
      <c r="A14" s="26"/>
      <c r="B14" s="26"/>
      <c r="C14" s="26"/>
      <c r="D14" s="28"/>
      <c r="E14" s="34" t="s">
        <v>28</v>
      </c>
      <c r="F14" s="30">
        <f>IFERROR(VLOOKUP($F$8,Tabla3[[CC-ID-DNI]:[1% PAGO INICIAL]],5,0),"")</f>
        <v>3</v>
      </c>
      <c r="G14" s="31">
        <f>(F14*10000000)</f>
        <v>30000000</v>
      </c>
      <c r="H14" s="22"/>
      <c r="I14" s="88">
        <f>(G26*1%)</f>
        <v>495000</v>
      </c>
      <c r="J14" s="22"/>
      <c r="K14" s="6"/>
      <c r="L14" s="26"/>
      <c r="M14" s="26"/>
      <c r="N14" s="26"/>
      <c r="O14" s="26"/>
    </row>
    <row r="15" spans="1:18" ht="9.75" customHeight="1" x14ac:dyDescent="0.25">
      <c r="A15" s="26"/>
      <c r="B15" s="26"/>
      <c r="C15" s="26"/>
      <c r="D15" s="28"/>
      <c r="E15" s="35"/>
      <c r="F15" s="29"/>
      <c r="G15" s="17"/>
      <c r="H15" s="22"/>
      <c r="I15" s="17"/>
      <c r="J15" s="22"/>
      <c r="K15" s="6"/>
      <c r="L15" s="26"/>
      <c r="M15" s="26"/>
      <c r="N15" s="26"/>
      <c r="O15" s="26"/>
    </row>
    <row r="16" spans="1:18" ht="31.5" x14ac:dyDescent="0.5">
      <c r="A16" s="26"/>
      <c r="B16" s="26"/>
      <c r="C16" s="26"/>
      <c r="D16" s="28"/>
      <c r="E16" s="34" t="s">
        <v>16</v>
      </c>
      <c r="F16" s="30">
        <f>IFERROR(VLOOKUP($F$8,Tabla3[[CC-ID-DNI]:[1% PAGO INICIAL]],7,0),"")</f>
        <v>2</v>
      </c>
      <c r="G16" s="31">
        <f>(F16*7500000)</f>
        <v>15000000</v>
      </c>
      <c r="H16" s="22"/>
      <c r="I16" s="102" t="s">
        <v>42</v>
      </c>
      <c r="J16" s="22"/>
      <c r="K16" s="6"/>
      <c r="L16" s="26"/>
      <c r="M16" s="26"/>
      <c r="N16" s="26"/>
      <c r="O16" s="26"/>
    </row>
    <row r="17" spans="1:15" ht="9.75" customHeight="1" thickBot="1" x14ac:dyDescent="0.4">
      <c r="A17" s="26"/>
      <c r="B17" s="26"/>
      <c r="C17" s="26"/>
      <c r="D17" s="28"/>
      <c r="E17" s="35"/>
      <c r="F17" s="29"/>
      <c r="G17" s="17"/>
      <c r="H17" s="22"/>
      <c r="I17" s="32"/>
      <c r="J17" s="22"/>
      <c r="K17" s="6"/>
      <c r="L17" s="26"/>
      <c r="M17" s="26"/>
      <c r="N17" s="26"/>
      <c r="O17" s="26"/>
    </row>
    <row r="18" spans="1:15" ht="32.25" thickBot="1" x14ac:dyDescent="0.55000000000000004">
      <c r="A18" s="26"/>
      <c r="B18" s="26"/>
      <c r="C18" s="26"/>
      <c r="D18" s="28"/>
      <c r="E18" s="34" t="s">
        <v>29</v>
      </c>
      <c r="F18" s="30">
        <f>IFERROR(VLOOKUP($F$8,Tabla3[[CC-ID-DNI]:[1% PAGO INICIAL]],9,0),"")</f>
        <v>0</v>
      </c>
      <c r="G18" s="31">
        <f>(F18*500000)</f>
        <v>0</v>
      </c>
      <c r="H18" s="22"/>
      <c r="I18" s="89">
        <f>IFERROR(VLOOKUP(F8,Tabla3[[#All],[CC-ID-DNI]:[% NUBE]],20,0),"")</f>
        <v>49005000</v>
      </c>
      <c r="J18" s="22"/>
      <c r="K18" s="6"/>
      <c r="L18" s="26"/>
      <c r="M18" s="26"/>
      <c r="N18" s="26"/>
      <c r="O18" s="26"/>
    </row>
    <row r="19" spans="1:15" ht="9.75" customHeight="1" x14ac:dyDescent="0.45">
      <c r="A19" s="26"/>
      <c r="B19" s="26"/>
      <c r="C19" s="26"/>
      <c r="D19" s="28"/>
      <c r="E19" s="35"/>
      <c r="F19" s="29"/>
      <c r="G19" s="17"/>
      <c r="H19" s="33"/>
      <c r="I19" s="28"/>
      <c r="J19" s="22"/>
      <c r="K19" s="6"/>
      <c r="L19" s="26"/>
      <c r="M19" s="26"/>
      <c r="N19" s="26"/>
      <c r="O19" s="26"/>
    </row>
    <row r="20" spans="1:15" ht="31.5" x14ac:dyDescent="0.5">
      <c r="A20" s="26"/>
      <c r="B20" s="26"/>
      <c r="C20" s="26"/>
      <c r="D20" s="28"/>
      <c r="E20" s="34" t="s">
        <v>121</v>
      </c>
      <c r="F20" s="30">
        <f>IFERROR(VLOOKUP($F$8,Tabla3[[CC-ID-DNI]:[1% PAGO INICIAL]],13,0),"")</f>
        <v>0</v>
      </c>
      <c r="G20" s="31">
        <f>(F20*200000)</f>
        <v>0</v>
      </c>
      <c r="H20" s="17"/>
      <c r="I20" s="102" t="s">
        <v>43</v>
      </c>
      <c r="J20" s="22"/>
      <c r="K20" s="6"/>
      <c r="L20" s="26"/>
      <c r="M20" s="26"/>
      <c r="N20" s="26"/>
      <c r="O20" s="26"/>
    </row>
    <row r="21" spans="1:15" ht="9.75" customHeight="1" thickBot="1" x14ac:dyDescent="0.5">
      <c r="A21" s="26"/>
      <c r="B21" s="26"/>
      <c r="C21" s="26"/>
      <c r="D21" s="28"/>
      <c r="E21" s="35"/>
      <c r="F21" s="29"/>
      <c r="G21" s="17"/>
      <c r="H21" s="33"/>
      <c r="I21" s="32"/>
      <c r="J21" s="22"/>
      <c r="K21" s="6"/>
      <c r="L21" s="26"/>
      <c r="M21" s="26"/>
      <c r="N21" s="26"/>
      <c r="O21" s="26"/>
    </row>
    <row r="22" spans="1:15" ht="32.25" thickBot="1" x14ac:dyDescent="0.55000000000000004">
      <c r="A22" s="26"/>
      <c r="B22" s="26"/>
      <c r="C22" s="26"/>
      <c r="D22" s="28"/>
      <c r="E22" s="136"/>
      <c r="F22" s="71"/>
      <c r="G22" s="137"/>
      <c r="H22" s="17"/>
      <c r="I22" s="89">
        <f>IFERROR(VLOOKUP(F8,Tabla3[[#All],[CC-ID-DNI]:[% NUBE]],21,0),"")</f>
        <v>0</v>
      </c>
      <c r="J22" s="22"/>
      <c r="K22" s="6"/>
      <c r="L22" s="26"/>
      <c r="M22" s="26"/>
      <c r="N22" s="26"/>
      <c r="O22" s="26"/>
    </row>
    <row r="23" spans="1:15" ht="9.75" customHeight="1" thickBot="1" x14ac:dyDescent="0.3">
      <c r="A23" s="26"/>
      <c r="B23" s="26"/>
      <c r="C23" s="26"/>
      <c r="D23" s="28"/>
      <c r="E23" s="131"/>
      <c r="F23" s="131"/>
      <c r="G23" s="131"/>
      <c r="H23" s="28"/>
      <c r="I23" s="131"/>
      <c r="J23" s="22"/>
      <c r="K23" s="6"/>
      <c r="L23" s="26"/>
      <c r="M23" s="26"/>
      <c r="N23" s="26"/>
      <c r="O23" s="26"/>
    </row>
    <row r="24" spans="1:15" ht="35.25" customHeight="1" x14ac:dyDescent="0.5">
      <c r="A24" s="26"/>
      <c r="B24" s="26"/>
      <c r="C24" s="26"/>
      <c r="D24" s="28"/>
      <c r="E24" s="95" t="s">
        <v>14</v>
      </c>
      <c r="F24" s="71"/>
      <c r="G24" s="98" t="s">
        <v>23</v>
      </c>
      <c r="H24" s="132"/>
      <c r="I24" s="131"/>
      <c r="J24" s="132"/>
      <c r="K24" s="6"/>
      <c r="L24" s="26"/>
      <c r="M24" s="26"/>
      <c r="N24" s="26"/>
      <c r="O24" s="26"/>
    </row>
    <row r="25" spans="1:15" ht="12.75" customHeight="1" x14ac:dyDescent="0.25">
      <c r="A25" s="26"/>
      <c r="B25" s="26"/>
      <c r="C25" s="26"/>
      <c r="D25" s="131"/>
      <c r="E25" s="22"/>
      <c r="F25" s="90"/>
      <c r="G25" s="96"/>
      <c r="H25" s="132"/>
      <c r="I25" s="132"/>
      <c r="J25" s="132"/>
      <c r="K25" s="26"/>
      <c r="L25" s="26"/>
      <c r="M25" s="26"/>
      <c r="N25" s="26"/>
      <c r="O25" s="26"/>
    </row>
    <row r="26" spans="1:15" ht="36" customHeight="1" thickBot="1" x14ac:dyDescent="0.55000000000000004">
      <c r="A26" s="26"/>
      <c r="B26" s="26"/>
      <c r="C26" s="26"/>
      <c r="D26" s="131"/>
      <c r="E26" s="97">
        <f>SUM(G12:G22)</f>
        <v>55000000</v>
      </c>
      <c r="F26" s="71"/>
      <c r="G26" s="99">
        <f>E26-(E26*10%)</f>
        <v>49500000</v>
      </c>
      <c r="H26" s="132"/>
      <c r="I26" s="131"/>
      <c r="J26" s="132"/>
      <c r="K26" s="26"/>
      <c r="L26" s="26"/>
      <c r="M26" s="26"/>
      <c r="N26" s="26"/>
      <c r="O26" s="26"/>
    </row>
    <row r="27" spans="1:15" ht="12.75" customHeight="1" x14ac:dyDescent="0.25">
      <c r="D27" s="131"/>
      <c r="E27" s="131"/>
      <c r="F27" s="131"/>
      <c r="G27" s="131"/>
      <c r="H27" s="132"/>
      <c r="I27" s="131"/>
      <c r="J27" s="132"/>
      <c r="K27" s="26"/>
      <c r="L27" s="26"/>
      <c r="M27" s="26"/>
      <c r="N27" s="26"/>
      <c r="O27" s="26"/>
    </row>
    <row r="28" spans="1:15" ht="30.75" customHeight="1" x14ac:dyDescent="0.25">
      <c r="E28" s="93"/>
      <c r="F28" s="93"/>
      <c r="G28" s="93"/>
      <c r="H28" s="93"/>
      <c r="I28" s="92"/>
      <c r="J28" s="93"/>
    </row>
    <row r="29" spans="1:15" ht="26.25" customHeight="1" x14ac:dyDescent="0.5">
      <c r="E29" s="93"/>
      <c r="F29" s="93"/>
      <c r="G29" s="93"/>
      <c r="H29" s="93"/>
      <c r="I29" s="91"/>
      <c r="J29" s="93"/>
    </row>
  </sheetData>
  <mergeCells count="17">
    <mergeCell ref="L11:N11"/>
    <mergeCell ref="L9:N9"/>
    <mergeCell ref="L12:N12"/>
    <mergeCell ref="L10:N10"/>
    <mergeCell ref="P12:R12"/>
    <mergeCell ref="P11:R11"/>
    <mergeCell ref="P10:R10"/>
    <mergeCell ref="P9:R9"/>
    <mergeCell ref="O4:P4"/>
    <mergeCell ref="O3:P3"/>
    <mergeCell ref="F5:H5"/>
    <mergeCell ref="F7:H7"/>
    <mergeCell ref="F8:H8"/>
    <mergeCell ref="O5:P5"/>
    <mergeCell ref="L7:Q7"/>
    <mergeCell ref="P8:R8"/>
    <mergeCell ref="L8:O8"/>
  </mergeCells>
  <hyperlinks>
    <hyperlink ref="Q5" r:id="rId1" xr:uid="{A581DF91-83CF-4D86-861B-B025E71568D8}"/>
  </hyperlinks>
  <pageMargins left="0.7" right="0.7" top="0.75" bottom="0.75" header="0.3" footer="0.3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7C1CEC89-E83F-4A8F-99C8-96C19943B7C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DATOS GENERALES</vt:lpstr>
      <vt:lpstr>MATRIZ LISTADO</vt:lpstr>
      <vt:lpstr>RESUMEN INDIVIDUAL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Carolina Diaz Suarez</cp:lastModifiedBy>
  <dcterms:created xsi:type="dcterms:W3CDTF">2026-02-10T00:01:49Z</dcterms:created>
  <dcterms:modified xsi:type="dcterms:W3CDTF">2026-09-23T22:04:50Z</dcterms:modified>
</cp:coreProperties>
</file>